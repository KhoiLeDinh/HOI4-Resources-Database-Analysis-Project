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I4v 1.14.4 countries" sheetId="1" state="visible" r:id="rId3"/>
  </sheets>
  <definedNames>
    <definedName function="false" hidden="true" localSheetId="0" name="_xlnm._FilterDatabase" vbProcedure="false">'HOI4v 1.14.4 countries'!$A$1:$AN$971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Mister Analyst</author>
  </authors>
  <commentList>
    <comment ref="F43" authorId="0">
      <text>
        <r>
          <rPr>
            <sz val="10"/>
            <rFont val="Arial"/>
            <family val="2"/>
          </rPr>
          <t xml:space="preserve">VP hand corrected due to vp/province incorrectly assigned to state id 295 instead of state id 889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38</xdr:row>
                <xdr:rowOff>17</xdr:rowOff>
              </xdr:from>
              <xdr:to>
                <xdr:col>8</xdr:col>
                <xdr:colOff>7</xdr:colOff>
                <xdr:row>45</xdr:row>
                <xdr:rowOff>15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VP hand corrected due to vp/province incorrectly assigned to state id 295 instead of state id 889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39</xdr:row>
                <xdr:rowOff>17</xdr:rowOff>
              </xdr:from>
              <xdr:to>
                <xdr:col>8</xdr:col>
                <xdr:colOff>7</xdr:colOff>
                <xdr:row>46</xdr:row>
                <xdr:rowOff>15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VP provinces transposed between state id 809 and state id 810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385</xdr:row>
                <xdr:rowOff>17</xdr:rowOff>
              </xdr:from>
              <xdr:to>
                <xdr:col>8</xdr:col>
                <xdr:colOff>7</xdr:colOff>
                <xdr:row>391</xdr:row>
                <xdr:rowOff>4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VP provinces transposed between state id 809 and state id 810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388</xdr:row>
                <xdr:rowOff>17</xdr:rowOff>
              </xdr:from>
              <xdr:to>
                <xdr:col>8</xdr:col>
                <xdr:colOff>7</xdr:colOff>
                <xdr:row>394</xdr:row>
                <xdr:rowOff>4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VP hand corrected due to vp/province incorrectly assigned to state id 97 instead of state id 95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458</xdr:row>
                <xdr:rowOff>17</xdr:rowOff>
              </xdr:from>
              <xdr:to>
                <xdr:col>8</xdr:col>
                <xdr:colOff>7</xdr:colOff>
                <xdr:row>465</xdr:row>
                <xdr:rowOff>15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VP hand corrected due to vp/province incorrectly assigned to state id 97 instead of state id 95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467</xdr:row>
                <xdr:rowOff>17</xdr:rowOff>
              </xdr:from>
              <xdr:to>
                <xdr:col>8</xdr:col>
                <xdr:colOff>7</xdr:colOff>
                <xdr:row>474</xdr:row>
                <xdr:rowOff>15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VP hand corrected due to vp/province incorrectly assigned to state id 939 instead of state id 969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519</xdr:row>
                <xdr:rowOff>17</xdr:rowOff>
              </xdr:from>
              <xdr:to>
                <xdr:col>8</xdr:col>
                <xdr:colOff>7</xdr:colOff>
                <xdr:row>526</xdr:row>
                <xdr:rowOff>15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VP hand corrected due to vp/province incorrectly assigned to state id 939 instead of state id 969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542</xdr:row>
                <xdr:rowOff>17</xdr:rowOff>
              </xdr:from>
              <xdr:to>
                <xdr:col>8</xdr:col>
                <xdr:colOff>7</xdr:colOff>
                <xdr:row>549</xdr:row>
                <xdr:rowOff>15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VP hand corrected due to vp/province incorrectly assigned to state id 353 instead of state id 354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788</xdr:row>
                <xdr:rowOff>17</xdr:rowOff>
              </xdr:from>
              <xdr:to>
                <xdr:col>8</xdr:col>
                <xdr:colOff>7</xdr:colOff>
                <xdr:row>795</xdr:row>
                <xdr:rowOff>15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VP hand corrected due to vp/province incorrectly assigned to state id 353 instead of state id 354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789</xdr:row>
                <xdr:rowOff>17</xdr:rowOff>
              </xdr:from>
              <xdr:to>
                <xdr:col>8</xdr:col>
                <xdr:colOff>7</xdr:colOff>
                <xdr:row>796</xdr:row>
                <xdr:rowOff>15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VP hand corrected due to vp/province incorrectly assigned to state id 549 instead of state id 884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833</xdr:row>
                <xdr:rowOff>17</xdr:rowOff>
              </xdr:from>
              <xdr:to>
                <xdr:col>8</xdr:col>
                <xdr:colOff>7</xdr:colOff>
                <xdr:row>840</xdr:row>
                <xdr:rowOff>15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VP hand corrected due to vp/province incorrectly assigned to state id 549 instead of state id 884 in history files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876</xdr:row>
                <xdr:rowOff>17</xdr:rowOff>
              </xdr:from>
              <xdr:to>
                <xdr:col>8</xdr:col>
                <xdr:colOff>7</xdr:colOff>
                <xdr:row>883</xdr:row>
                <xdr:rowOff>15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adjusted building slot = 1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17</xdr:row>
                <xdr:rowOff>15</xdr:rowOff>
              </xdr:from>
              <xdr:to>
                <xdr:col>15</xdr:col>
                <xdr:colOff>14</xdr:colOff>
                <xdr:row>21</xdr:row>
                <xdr:rowOff>9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adjusted building slot = 1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22</xdr:row>
                <xdr:rowOff>17</xdr:rowOff>
              </xdr:from>
              <xdr:to>
                <xdr:col>15</xdr:col>
                <xdr:colOff>14</xdr:colOff>
                <xdr:row>26</xdr:row>
                <xdr:rowOff>11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24</xdr:row>
                <xdr:rowOff>17</xdr:rowOff>
              </xdr:from>
              <xdr:to>
                <xdr:col>15</xdr:col>
                <xdr:colOff>14</xdr:colOff>
                <xdr:row>28</xdr:row>
                <xdr:rowOff>11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35</xdr:row>
                <xdr:rowOff>17</xdr:rowOff>
              </xdr:from>
              <xdr:to>
                <xdr:col>15</xdr:col>
                <xdr:colOff>14</xdr:colOff>
                <xdr:row>39</xdr:row>
                <xdr:rowOff>11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36</xdr:row>
                <xdr:rowOff>17</xdr:rowOff>
              </xdr:from>
              <xdr:to>
                <xdr:col>15</xdr:col>
                <xdr:colOff>14</xdr:colOff>
                <xdr:row>40</xdr:row>
                <xdr:rowOff>11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37</xdr:row>
                <xdr:rowOff>17</xdr:rowOff>
              </xdr:from>
              <xdr:to>
                <xdr:col>15</xdr:col>
                <xdr:colOff>14</xdr:colOff>
                <xdr:row>41</xdr:row>
                <xdr:rowOff>11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38</xdr:row>
                <xdr:rowOff>17</xdr:rowOff>
              </xdr:from>
              <xdr:to>
                <xdr:col>15</xdr:col>
                <xdr:colOff>14</xdr:colOff>
                <xdr:row>42</xdr:row>
                <xdr:rowOff>11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adjusted building slot = 1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40</xdr:row>
                <xdr:rowOff>16</xdr:rowOff>
              </xdr:from>
              <xdr:to>
                <xdr:col>15</xdr:col>
                <xdr:colOff>14</xdr:colOff>
                <xdr:row>44</xdr:row>
                <xdr:rowOff>11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40</xdr:row>
                <xdr:rowOff>17</xdr:rowOff>
              </xdr:from>
              <xdr:to>
                <xdr:col>15</xdr:col>
                <xdr:colOff>14</xdr:colOff>
                <xdr:row>44</xdr:row>
                <xdr:rowOff>11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41</xdr:row>
                <xdr:rowOff>17</xdr:rowOff>
              </xdr:from>
              <xdr:to>
                <xdr:col>15</xdr:col>
                <xdr:colOff>14</xdr:colOff>
                <xdr:row>45</xdr:row>
                <xdr:rowOff>11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42</xdr:row>
                <xdr:rowOff>17</xdr:rowOff>
              </xdr:from>
              <xdr:to>
                <xdr:col>15</xdr:col>
                <xdr:colOff>14</xdr:colOff>
                <xdr:row>46</xdr:row>
                <xdr:rowOff>11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Vlaanderen has 12 slots per add_extra_state_shared_building_slots = 2 from states history file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43</xdr:row>
                <xdr:rowOff>17</xdr:rowOff>
              </xdr:from>
              <xdr:to>
                <xdr:col>15</xdr:col>
                <xdr:colOff>14</xdr:colOff>
                <xdr:row>49</xdr:row>
                <xdr:rowOff>4</xdr:rowOff>
              </xdr:to>
            </anchor>
          </commentPr>
        </mc:Choice>
        <mc:Fallback/>
      </mc:AlternateContent>
    </comment>
    <comment ref="L229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224</xdr:row>
                <xdr:rowOff>17</xdr:rowOff>
              </xdr:from>
              <xdr:to>
                <xdr:col>15</xdr:col>
                <xdr:colOff>14</xdr:colOff>
                <xdr:row>228</xdr:row>
                <xdr:rowOff>11</xdr:rowOff>
              </xdr:to>
            </anchor>
          </commentPr>
        </mc:Choice>
        <mc:Fallback/>
      </mc:AlternateContent>
    </comment>
    <comment ref="L433" authorId="0">
      <text>
        <r>
          <rPr>
            <sz val="10"/>
            <rFont val="Arial"/>
            <family val="2"/>
          </rPr>
          <t xml:space="preserve">adjusted building slot = 1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428</xdr:row>
                <xdr:rowOff>17</xdr:rowOff>
              </xdr:from>
              <xdr:to>
                <xdr:col>15</xdr:col>
                <xdr:colOff>14</xdr:colOff>
                <xdr:row>432</xdr:row>
                <xdr:rowOff>11</xdr:rowOff>
              </xdr:to>
            </anchor>
          </commentPr>
        </mc:Choice>
        <mc:Fallback/>
      </mc:AlternateContent>
    </comment>
    <comment ref="L482" authorId="0">
      <text>
        <r>
          <rPr>
            <sz val="10"/>
            <rFont val="Arial"/>
            <family val="2"/>
          </rPr>
          <t xml:space="preserve">Beja has 3 slots per add_extra_state_shared_building_slots = 1 from states history file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477</xdr:row>
                <xdr:rowOff>17</xdr:rowOff>
              </xdr:from>
              <xdr:to>
                <xdr:col>15</xdr:col>
                <xdr:colOff>14</xdr:colOff>
                <xdr:row>483</xdr:row>
                <xdr:rowOff>4</xdr:rowOff>
              </xdr:to>
            </anchor>
          </commentPr>
        </mc:Choice>
        <mc:Fallback/>
      </mc:AlternateContent>
    </comment>
    <comment ref="L523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518</xdr:row>
                <xdr:rowOff>17</xdr:rowOff>
              </xdr:from>
              <xdr:to>
                <xdr:col>15</xdr:col>
                <xdr:colOff>14</xdr:colOff>
                <xdr:row>522</xdr:row>
                <xdr:rowOff>11</xdr:rowOff>
              </xdr:to>
            </anchor>
          </commentPr>
        </mc:Choice>
        <mc:Fallback/>
      </mc:AlternateContent>
    </comment>
    <comment ref="L524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519</xdr:row>
                <xdr:rowOff>17</xdr:rowOff>
              </xdr:from>
              <xdr:to>
                <xdr:col>15</xdr:col>
                <xdr:colOff>14</xdr:colOff>
                <xdr:row>523</xdr:row>
                <xdr:rowOff>11</xdr:rowOff>
              </xdr:to>
            </anchor>
          </commentPr>
        </mc:Choice>
        <mc:Fallback/>
      </mc:AlternateContent>
    </comment>
    <comment ref="L533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528</xdr:row>
                <xdr:rowOff>17</xdr:rowOff>
              </xdr:from>
              <xdr:to>
                <xdr:col>15</xdr:col>
                <xdr:colOff>14</xdr:colOff>
                <xdr:row>532</xdr:row>
                <xdr:rowOff>11</xdr:rowOff>
              </xdr:to>
            </anchor>
          </commentPr>
        </mc:Choice>
        <mc:Fallback/>
      </mc:AlternateContent>
    </comment>
    <comment ref="L534" authorId="0">
      <text>
        <r>
          <rPr>
            <sz val="10"/>
            <rFont val="Arial"/>
            <family val="2"/>
          </rPr>
          <t xml:space="preserve">Neglected state adjusted building slot =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529</xdr:row>
                <xdr:rowOff>17</xdr:rowOff>
              </xdr:from>
              <xdr:to>
                <xdr:col>15</xdr:col>
                <xdr:colOff>14</xdr:colOff>
                <xdr:row>533</xdr:row>
                <xdr:rowOff>11</xdr:rowOff>
              </xdr:to>
            </anchor>
          </commentPr>
        </mc:Choice>
        <mc:Fallback/>
      </mc:AlternateContent>
    </comment>
    <comment ref="L537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532</xdr:row>
                <xdr:rowOff>17</xdr:rowOff>
              </xdr:from>
              <xdr:to>
                <xdr:col>15</xdr:col>
                <xdr:colOff>14</xdr:colOff>
                <xdr:row>536</xdr:row>
                <xdr:rowOff>11</xdr:rowOff>
              </xdr:to>
            </anchor>
          </commentPr>
        </mc:Choice>
        <mc:Fallback/>
      </mc:AlternateContent>
    </comment>
    <comment ref="L538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533</xdr:row>
                <xdr:rowOff>17</xdr:rowOff>
              </xdr:from>
              <xdr:to>
                <xdr:col>15</xdr:col>
                <xdr:colOff>14</xdr:colOff>
                <xdr:row>537</xdr:row>
                <xdr:rowOff>11</xdr:rowOff>
              </xdr:to>
            </anchor>
          </commentPr>
        </mc:Choice>
        <mc:Fallback/>
      </mc:AlternateContent>
    </comment>
    <comment ref="L539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534</xdr:row>
                <xdr:rowOff>17</xdr:rowOff>
              </xdr:from>
              <xdr:to>
                <xdr:col>15</xdr:col>
                <xdr:colOff>14</xdr:colOff>
                <xdr:row>538</xdr:row>
                <xdr:rowOff>11</xdr:rowOff>
              </xdr:to>
            </anchor>
          </commentPr>
        </mc:Choice>
        <mc:Fallback/>
      </mc:AlternateContent>
    </comment>
    <comment ref="L540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535</xdr:row>
                <xdr:rowOff>17</xdr:rowOff>
              </xdr:from>
              <xdr:to>
                <xdr:col>15</xdr:col>
                <xdr:colOff>14</xdr:colOff>
                <xdr:row>539</xdr:row>
                <xdr:rowOff>11</xdr:rowOff>
              </xdr:to>
            </anchor>
          </commentPr>
        </mc:Choice>
        <mc:Fallback/>
      </mc:AlternateContent>
    </comment>
    <comment ref="L542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537</xdr:row>
                <xdr:rowOff>17</xdr:rowOff>
              </xdr:from>
              <xdr:to>
                <xdr:col>15</xdr:col>
                <xdr:colOff>14</xdr:colOff>
                <xdr:row>541</xdr:row>
                <xdr:rowOff>11</xdr:rowOff>
              </xdr:to>
            </anchor>
          </commentPr>
        </mc:Choice>
        <mc:Fallback/>
      </mc:AlternateContent>
    </comment>
    <comment ref="L543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538</xdr:row>
                <xdr:rowOff>17</xdr:rowOff>
              </xdr:from>
              <xdr:to>
                <xdr:col>15</xdr:col>
                <xdr:colOff>14</xdr:colOff>
                <xdr:row>542</xdr:row>
                <xdr:rowOff>11</xdr:rowOff>
              </xdr:to>
            </anchor>
          </commentPr>
        </mc:Choice>
        <mc:Fallback/>
      </mc:AlternateContent>
    </comment>
    <comment ref="L545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540</xdr:row>
                <xdr:rowOff>17</xdr:rowOff>
              </xdr:from>
              <xdr:to>
                <xdr:col>15</xdr:col>
                <xdr:colOff>14</xdr:colOff>
                <xdr:row>544</xdr:row>
                <xdr:rowOff>11</xdr:rowOff>
              </xdr:to>
            </anchor>
          </commentPr>
        </mc:Choice>
        <mc:Fallback/>
      </mc:AlternateContent>
    </comment>
    <comment ref="L546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541</xdr:row>
                <xdr:rowOff>17</xdr:rowOff>
              </xdr:from>
              <xdr:to>
                <xdr:col>15</xdr:col>
                <xdr:colOff>14</xdr:colOff>
                <xdr:row>545</xdr:row>
                <xdr:rowOff>11</xdr:rowOff>
              </xdr:to>
            </anchor>
          </commentPr>
        </mc:Choice>
        <mc:Fallback/>
      </mc:AlternateContent>
    </comment>
    <comment ref="L547" authorId="0">
      <text>
        <r>
          <rPr>
            <sz val="10"/>
            <rFont val="Arial"/>
            <family val="2"/>
          </rPr>
          <t xml:space="preserve">Neglected state adjusted building slot =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542</xdr:row>
                <xdr:rowOff>17</xdr:rowOff>
              </xdr:from>
              <xdr:to>
                <xdr:col>15</xdr:col>
                <xdr:colOff>14</xdr:colOff>
                <xdr:row>546</xdr:row>
                <xdr:rowOff>11</xdr:rowOff>
              </xdr:to>
            </anchor>
          </commentPr>
        </mc:Choice>
        <mc:Fallback/>
      </mc:AlternateContent>
    </comment>
    <comment ref="L549" authorId="0">
      <text>
        <r>
          <rPr>
            <sz val="10"/>
            <rFont val="Arial"/>
            <family val="2"/>
          </rPr>
          <t xml:space="preserve">Neglected state adjusted building slot =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544</xdr:row>
                <xdr:rowOff>17</xdr:rowOff>
              </xdr:from>
              <xdr:to>
                <xdr:col>15</xdr:col>
                <xdr:colOff>14</xdr:colOff>
                <xdr:row>548</xdr:row>
                <xdr:rowOff>11</xdr:rowOff>
              </xdr:to>
            </anchor>
          </commentPr>
        </mc:Choice>
        <mc:Fallback/>
      </mc:AlternateContent>
    </comment>
    <comment ref="L551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546</xdr:row>
                <xdr:rowOff>17</xdr:rowOff>
              </xdr:from>
              <xdr:to>
                <xdr:col>15</xdr:col>
                <xdr:colOff>14</xdr:colOff>
                <xdr:row>550</xdr:row>
                <xdr:rowOff>11</xdr:rowOff>
              </xdr:to>
            </anchor>
          </commentPr>
        </mc:Choice>
        <mc:Fallback/>
      </mc:AlternateContent>
    </comment>
    <comment ref="L553" authorId="0">
      <text>
        <r>
          <rPr>
            <sz val="10"/>
            <rFont val="Arial"/>
            <family val="2"/>
          </rPr>
          <t xml:space="preserve">Neglected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548</xdr:row>
                <xdr:rowOff>17</xdr:rowOff>
              </xdr:from>
              <xdr:to>
                <xdr:col>15</xdr:col>
                <xdr:colOff>14</xdr:colOff>
                <xdr:row>552</xdr:row>
                <xdr:rowOff>11</xdr:rowOff>
              </xdr:to>
            </anchor>
          </commentPr>
        </mc:Choice>
        <mc:Fallback/>
      </mc:AlternateContent>
    </comment>
    <comment ref="L752" authorId="0">
      <text>
        <r>
          <rPr>
            <sz val="10"/>
            <rFont val="Arial"/>
            <family val="2"/>
          </rPr>
          <t xml:space="preserve">undeveloped state adjusted building slot =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748</xdr:row>
                <xdr:rowOff>15</xdr:rowOff>
              </xdr:from>
              <xdr:to>
                <xdr:col>15</xdr:col>
                <xdr:colOff>14</xdr:colOff>
                <xdr:row>752</xdr:row>
                <xdr:rowOff>9</xdr:rowOff>
              </xdr:to>
            </anchor>
          </commentPr>
        </mc:Choice>
        <mc:Fallback/>
      </mc:AlternateContent>
    </comment>
    <comment ref="L809" authorId="0">
      <text>
        <r>
          <rPr>
            <sz val="10"/>
            <rFont val="Arial"/>
            <family val="2"/>
          </rPr>
          <t xml:space="preserve">adjusted building slot = 0 due to non-core controller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804</xdr:row>
                <xdr:rowOff>17</xdr:rowOff>
              </xdr:from>
              <xdr:to>
                <xdr:col>15</xdr:col>
                <xdr:colOff>14</xdr:colOff>
                <xdr:row>808</xdr:row>
                <xdr:rowOff>11</xdr:rowOff>
              </xdr:to>
            </anchor>
          </commentPr>
        </mc:Choice>
        <mc:Fallback/>
      </mc:AlternateContent>
    </comment>
    <comment ref="Q4" authorId="0">
      <text>
        <r>
          <rPr>
            <sz val="10"/>
            <rFont val="Arial"/>
            <family val="2"/>
          </rPr>
          <t xml:space="preserve">ITA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0</xdr:row>
                <xdr:rowOff>37</xdr:rowOff>
              </xdr:from>
              <xdr:to>
                <xdr:col>19</xdr:col>
                <xdr:colOff>20</xdr:colOff>
                <xdr:row>4</xdr:row>
                <xdr:rowOff>9</xdr:rowOff>
              </xdr:to>
            </anchor>
          </commentPr>
        </mc:Choice>
        <mc:Fallback/>
      </mc:AlternateContent>
    </comment>
    <comment ref="Q3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316</xdr:row>
                <xdr:rowOff>17</xdr:rowOff>
              </xdr:from>
              <xdr:to>
                <xdr:col>19</xdr:col>
                <xdr:colOff>20</xdr:colOff>
                <xdr:row>320</xdr:row>
                <xdr:rowOff>11</xdr:rowOff>
              </xdr:to>
            </anchor>
          </commentPr>
        </mc:Choice>
        <mc:Fallback/>
      </mc:AlternateContent>
    </comment>
    <comment ref="Q322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317</xdr:row>
                <xdr:rowOff>17</xdr:rowOff>
              </xdr:from>
              <xdr:to>
                <xdr:col>19</xdr:col>
                <xdr:colOff>20</xdr:colOff>
                <xdr:row>321</xdr:row>
                <xdr:rowOff>11</xdr:rowOff>
              </xdr:to>
            </anchor>
          </commentPr>
        </mc:Choice>
        <mc:Fallback/>
      </mc:AlternateContent>
    </comment>
    <comment ref="Q413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408</xdr:row>
                <xdr:rowOff>17</xdr:rowOff>
              </xdr:from>
              <xdr:to>
                <xdr:col>19</xdr:col>
                <xdr:colOff>20</xdr:colOff>
                <xdr:row>412</xdr:row>
                <xdr:rowOff>11</xdr:rowOff>
              </xdr:to>
            </anchor>
          </commentPr>
        </mc:Choice>
        <mc:Fallback/>
      </mc:AlternateContent>
    </comment>
    <comment ref="Q418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413</xdr:row>
                <xdr:rowOff>17</xdr:rowOff>
              </xdr:from>
              <xdr:to>
                <xdr:col>19</xdr:col>
                <xdr:colOff>20</xdr:colOff>
                <xdr:row>417</xdr:row>
                <xdr:rowOff>11</xdr:rowOff>
              </xdr:to>
            </anchor>
          </commentPr>
        </mc:Choice>
        <mc:Fallback/>
      </mc:AlternateContent>
    </comment>
    <comment ref="Q420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415</xdr:row>
                <xdr:rowOff>17</xdr:rowOff>
              </xdr:from>
              <xdr:to>
                <xdr:col>19</xdr:col>
                <xdr:colOff>20</xdr:colOff>
                <xdr:row>419</xdr:row>
                <xdr:rowOff>11</xdr:rowOff>
              </xdr:to>
            </anchor>
          </commentPr>
        </mc:Choice>
        <mc:Fallback/>
      </mc:AlternateContent>
    </comment>
    <comment ref="Q4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416</xdr:row>
                <xdr:rowOff>17</xdr:rowOff>
              </xdr:from>
              <xdr:to>
                <xdr:col>19</xdr:col>
                <xdr:colOff>20</xdr:colOff>
                <xdr:row>420</xdr:row>
                <xdr:rowOff>11</xdr:rowOff>
              </xdr:to>
            </anchor>
          </commentPr>
        </mc:Choice>
        <mc:Fallback/>
      </mc:AlternateContent>
    </comment>
    <comment ref="Q430" authorId="0">
      <text>
        <r>
          <rPr>
            <sz val="10"/>
            <rFont val="Arial"/>
            <family val="2"/>
          </rPr>
          <t xml:space="preserve">oil reduced to  31.5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425</xdr:row>
                <xdr:rowOff>17</xdr:rowOff>
              </xdr:from>
              <xdr:to>
                <xdr:col>19</xdr:col>
                <xdr:colOff>20</xdr:colOff>
                <xdr:row>429</xdr:row>
                <xdr:rowOff>11</xdr:rowOff>
              </xdr:to>
            </anchor>
          </commentPr>
        </mc:Choice>
        <mc:Fallback/>
      </mc:AlternateContent>
    </comment>
    <comment ref="Q797" authorId="0">
      <text>
        <r>
          <rPr>
            <sz val="10"/>
            <rFont val="Arial"/>
            <family val="2"/>
          </rPr>
          <t xml:space="preserve">oil reduced to 4.5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792</xdr:row>
                <xdr:rowOff>17</xdr:rowOff>
              </xdr:from>
              <xdr:to>
                <xdr:col>19</xdr:col>
                <xdr:colOff>20</xdr:colOff>
                <xdr:row>796</xdr:row>
                <xdr:rowOff>11</xdr:rowOff>
              </xdr:to>
            </anchor>
          </commentPr>
        </mc:Choice>
        <mc:Fallback/>
      </mc:AlternateContent>
    </comment>
    <comment ref="Q799" authorId="0">
      <text>
        <r>
          <rPr>
            <sz val="10"/>
            <rFont val="Arial"/>
            <family val="2"/>
          </rPr>
          <t xml:space="preserve">oil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794</xdr:row>
                <xdr:rowOff>17</xdr:rowOff>
              </xdr:from>
              <xdr:to>
                <xdr:col>19</xdr:col>
                <xdr:colOff>20</xdr:colOff>
                <xdr:row>798</xdr:row>
                <xdr:rowOff>11</xdr:rowOff>
              </xdr:to>
            </anchor>
          </commentPr>
        </mc:Choice>
        <mc:Fallback/>
      </mc:AlternateContent>
    </comment>
    <comment ref="Q879" authorId="0">
      <text>
        <r>
          <rPr>
            <sz val="10"/>
            <rFont val="Arial"/>
            <family val="2"/>
          </rPr>
          <t xml:space="preserve">oil reduced to  10.8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874</xdr:row>
                <xdr:rowOff>17</xdr:rowOff>
              </xdr:from>
              <xdr:to>
                <xdr:col>19</xdr:col>
                <xdr:colOff>20</xdr:colOff>
                <xdr:row>878</xdr:row>
                <xdr:rowOff>11</xdr:rowOff>
              </xdr:to>
            </anchor>
          </commentPr>
        </mc:Choice>
        <mc:Fallback/>
      </mc:AlternateContent>
    </comment>
    <comment ref="R89" authorId="0">
      <text>
        <r>
          <rPr>
            <sz val="10"/>
            <rFont val="Arial"/>
            <family val="2"/>
          </rPr>
          <t xml:space="preserve">aluminum added by hand due to 2 resource sets for state id 949 in history file which fools scripting tool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84</xdr:row>
                <xdr:rowOff>17</xdr:rowOff>
              </xdr:from>
              <xdr:to>
                <xdr:col>20</xdr:col>
                <xdr:colOff>23</xdr:colOff>
                <xdr:row>90</xdr:row>
                <xdr:rowOff>18</xdr:rowOff>
              </xdr:to>
            </anchor>
          </commentPr>
        </mc:Choice>
        <mc:Fallback/>
      </mc:AlternateContent>
    </comment>
    <comment ref="R433" authorId="0">
      <text>
        <r>
          <rPr>
            <sz val="10"/>
            <rFont val="Arial"/>
            <family val="2"/>
          </rPr>
          <t xml:space="preserve">aluminum reduced to 54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428</xdr:row>
                <xdr:rowOff>17</xdr:rowOff>
              </xdr:from>
              <xdr:to>
                <xdr:col>20</xdr:col>
                <xdr:colOff>23</xdr:colOff>
                <xdr:row>432</xdr:row>
                <xdr:rowOff>11</xdr:rowOff>
              </xdr:to>
            </anchor>
          </commentPr>
        </mc:Choice>
        <mc:Fallback/>
      </mc:AlternateContent>
    </comment>
    <comment ref="R523" authorId="0">
      <text>
        <r>
          <rPr>
            <sz val="10"/>
            <rFont val="Arial"/>
            <family val="2"/>
          </rPr>
          <t xml:space="preserve">aluminum reduced to 3.6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518</xdr:row>
                <xdr:rowOff>17</xdr:rowOff>
              </xdr:from>
              <xdr:to>
                <xdr:col>20</xdr:col>
                <xdr:colOff>23</xdr:colOff>
                <xdr:row>522</xdr:row>
                <xdr:rowOff>11</xdr:rowOff>
              </xdr:to>
            </anchor>
          </commentPr>
        </mc:Choice>
        <mc:Fallback/>
      </mc:AlternateContent>
    </comment>
    <comment ref="R524" authorId="0">
      <text>
        <r>
          <rPr>
            <sz val="10"/>
            <rFont val="Arial"/>
            <family val="2"/>
          </rPr>
          <t xml:space="preserve">aluminum reduced to 2.4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519</xdr:row>
                <xdr:rowOff>17</xdr:rowOff>
              </xdr:from>
              <xdr:to>
                <xdr:col>20</xdr:col>
                <xdr:colOff>23</xdr:colOff>
                <xdr:row>523</xdr:row>
                <xdr:rowOff>11</xdr:rowOff>
              </xdr:to>
            </anchor>
          </commentPr>
        </mc:Choice>
        <mc:Fallback/>
      </mc:AlternateContent>
    </comment>
    <comment ref="R537" authorId="0">
      <text>
        <r>
          <rPr>
            <sz val="10"/>
            <rFont val="Arial"/>
            <family val="2"/>
          </rPr>
          <t xml:space="preserve">aluminum reduced to 1.8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532</xdr:row>
                <xdr:rowOff>17</xdr:rowOff>
              </xdr:from>
              <xdr:to>
                <xdr:col>20</xdr:col>
                <xdr:colOff>23</xdr:colOff>
                <xdr:row>536</xdr:row>
                <xdr:rowOff>11</xdr:rowOff>
              </xdr:to>
            </anchor>
          </commentPr>
        </mc:Choice>
        <mc:Fallback/>
      </mc:AlternateContent>
    </comment>
    <comment ref="R809" authorId="0">
      <text>
        <r>
          <rPr>
            <sz val="10"/>
            <rFont val="Arial"/>
            <family val="2"/>
          </rPr>
          <t xml:space="preserve">aluminum reduced to 57.6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804</xdr:row>
                <xdr:rowOff>17</xdr:rowOff>
              </xdr:from>
              <xdr:to>
                <xdr:col>20</xdr:col>
                <xdr:colOff>23</xdr:colOff>
                <xdr:row>808</xdr:row>
                <xdr:rowOff>11</xdr:rowOff>
              </xdr:to>
            </anchor>
          </commentPr>
        </mc:Choice>
        <mc:Fallback/>
      </mc:AlternateContent>
    </comment>
    <comment ref="S41" authorId="0">
      <text>
        <r>
          <rPr>
            <sz val="10"/>
            <rFont val="Arial"/>
            <family val="2"/>
          </rPr>
          <t xml:space="preserve">rubber reduced to 4.5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36</xdr:row>
                <xdr:rowOff>17</xdr:rowOff>
              </xdr:from>
              <xdr:to>
                <xdr:col>21</xdr:col>
                <xdr:colOff>23</xdr:colOff>
                <xdr:row>40</xdr:row>
                <xdr:rowOff>11</xdr:rowOff>
              </xdr:to>
            </anchor>
          </commentPr>
        </mc:Choice>
        <mc:Fallback/>
      </mc:AlternateContent>
    </comment>
    <comment ref="S42" authorId="0">
      <text>
        <r>
          <rPr>
            <sz val="10"/>
            <rFont val="Arial"/>
            <family val="2"/>
          </rPr>
          <t xml:space="preserve">rubber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37</xdr:row>
                <xdr:rowOff>17</xdr:rowOff>
              </xdr:from>
              <xdr:to>
                <xdr:col>21</xdr:col>
                <xdr:colOff>23</xdr:colOff>
                <xdr:row>41</xdr:row>
                <xdr:rowOff>11</xdr:rowOff>
              </xdr:to>
            </anchor>
          </commentPr>
        </mc:Choice>
        <mc:Fallback/>
      </mc:AlternateContent>
    </comment>
    <comment ref="S47" authorId="0">
      <text>
        <r>
          <rPr>
            <sz val="10"/>
            <rFont val="Arial"/>
            <family val="2"/>
          </rPr>
          <t xml:space="preserve">rubber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42</xdr:row>
                <xdr:rowOff>17</xdr:rowOff>
              </xdr:from>
              <xdr:to>
                <xdr:col>21</xdr:col>
                <xdr:colOff>23</xdr:colOff>
                <xdr:row>46</xdr:row>
                <xdr:rowOff>11</xdr:rowOff>
              </xdr:to>
            </anchor>
          </commentPr>
        </mc:Choice>
        <mc:Fallback/>
      </mc:AlternateContent>
    </comment>
    <comment ref="S60" authorId="0">
      <text>
        <r>
          <rPr>
            <sz val="10"/>
            <rFont val="Arial"/>
            <family val="2"/>
          </rPr>
          <t xml:space="preserve">rubber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55</xdr:row>
                <xdr:rowOff>17</xdr:rowOff>
              </xdr:from>
              <xdr:to>
                <xdr:col>21</xdr:col>
                <xdr:colOff>23</xdr:colOff>
                <xdr:row>59</xdr:row>
                <xdr:rowOff>11</xdr:rowOff>
              </xdr:to>
            </anchor>
          </commentPr>
        </mc:Choice>
        <mc:Fallback/>
      </mc:AlternateContent>
    </comment>
    <comment ref="S226" authorId="0">
      <text>
        <r>
          <rPr>
            <sz val="10"/>
            <rFont val="Arial"/>
            <family val="2"/>
          </rPr>
          <t xml:space="preserve">rubber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221</xdr:row>
                <xdr:rowOff>17</xdr:rowOff>
              </xdr:from>
              <xdr:to>
                <xdr:col>21</xdr:col>
                <xdr:colOff>23</xdr:colOff>
                <xdr:row>225</xdr:row>
                <xdr:rowOff>11</xdr:rowOff>
              </xdr:to>
            </anchor>
          </commentPr>
        </mc:Choice>
        <mc:Fallback/>
      </mc:AlternateContent>
    </comment>
    <comment ref="S251" authorId="0">
      <text>
        <r>
          <rPr>
            <sz val="10"/>
            <rFont val="Arial"/>
            <family val="2"/>
          </rPr>
          <t xml:space="preserve">rubber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246</xdr:row>
                <xdr:rowOff>17</xdr:rowOff>
              </xdr:from>
              <xdr:to>
                <xdr:col>21</xdr:col>
                <xdr:colOff>23</xdr:colOff>
                <xdr:row>250</xdr:row>
                <xdr:rowOff>11</xdr:rowOff>
              </xdr:to>
            </anchor>
          </commentPr>
        </mc:Choice>
        <mc:Fallback/>
      </mc:AlternateContent>
    </comment>
    <comment ref="S265" authorId="0">
      <text>
        <r>
          <rPr>
            <sz val="10"/>
            <rFont val="Arial"/>
            <family val="2"/>
          </rPr>
          <t xml:space="preserve">rubber reduced to 49.5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260</xdr:row>
                <xdr:rowOff>17</xdr:rowOff>
              </xdr:from>
              <xdr:to>
                <xdr:col>21</xdr:col>
                <xdr:colOff>23</xdr:colOff>
                <xdr:row>264</xdr:row>
                <xdr:rowOff>11</xdr:rowOff>
              </xdr:to>
            </anchor>
          </commentPr>
        </mc:Choice>
        <mc:Fallback/>
      </mc:AlternateContent>
    </comment>
    <comment ref="S494" authorId="0">
      <text>
        <r>
          <rPr>
            <sz val="10"/>
            <rFont val="Arial"/>
            <family val="2"/>
          </rPr>
          <t xml:space="preserve">rubber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489</xdr:row>
                <xdr:rowOff>17</xdr:rowOff>
              </xdr:from>
              <xdr:to>
                <xdr:col>21</xdr:col>
                <xdr:colOff>23</xdr:colOff>
                <xdr:row>493</xdr:row>
                <xdr:rowOff>11</xdr:rowOff>
              </xdr:to>
            </anchor>
          </commentPr>
        </mc:Choice>
        <mc:Fallback/>
      </mc:AlternateContent>
    </comment>
    <comment ref="S499" authorId="0">
      <text>
        <r>
          <rPr>
            <sz val="10"/>
            <rFont val="Arial"/>
            <family val="2"/>
          </rPr>
          <t xml:space="preserve">rubber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494</xdr:row>
                <xdr:rowOff>17</xdr:rowOff>
              </xdr:from>
              <xdr:to>
                <xdr:col>21</xdr:col>
                <xdr:colOff>23</xdr:colOff>
                <xdr:row>498</xdr:row>
                <xdr:rowOff>11</xdr:rowOff>
              </xdr:to>
            </anchor>
          </commentPr>
        </mc:Choice>
        <mc:Fallback/>
      </mc:AlternateContent>
    </comment>
    <comment ref="S539" authorId="0">
      <text>
        <r>
          <rPr>
            <sz val="10"/>
            <rFont val="Arial"/>
            <family val="2"/>
          </rPr>
          <t xml:space="preserve">rubber reduced to 7.8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534</xdr:row>
                <xdr:rowOff>17</xdr:rowOff>
              </xdr:from>
              <xdr:to>
                <xdr:col>21</xdr:col>
                <xdr:colOff>23</xdr:colOff>
                <xdr:row>538</xdr:row>
                <xdr:rowOff>11</xdr:rowOff>
              </xdr:to>
            </anchor>
          </commentPr>
        </mc:Choice>
        <mc:Fallback/>
      </mc:AlternateContent>
    </comment>
    <comment ref="S542" authorId="0">
      <text>
        <r>
          <rPr>
            <sz val="10"/>
            <rFont val="Arial"/>
            <family val="2"/>
          </rPr>
          <t xml:space="preserve">rubber reduced to 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537</xdr:row>
                <xdr:rowOff>17</xdr:rowOff>
              </xdr:from>
              <xdr:to>
                <xdr:col>21</xdr:col>
                <xdr:colOff>23</xdr:colOff>
                <xdr:row>541</xdr:row>
                <xdr:rowOff>11</xdr:rowOff>
              </xdr:to>
            </anchor>
          </commentPr>
        </mc:Choice>
        <mc:Fallback/>
      </mc:AlternateContent>
    </comment>
    <comment ref="S813" authorId="0">
      <text>
        <r>
          <rPr>
            <sz val="10"/>
            <rFont val="Arial"/>
            <family val="2"/>
          </rPr>
          <t xml:space="preserve">rubber reduced to 54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808</xdr:row>
                <xdr:rowOff>17</xdr:rowOff>
              </xdr:from>
              <xdr:to>
                <xdr:col>21</xdr:col>
                <xdr:colOff>23</xdr:colOff>
                <xdr:row>812</xdr:row>
                <xdr:rowOff>11</xdr:rowOff>
              </xdr:to>
            </anchor>
          </commentPr>
        </mc:Choice>
        <mc:Fallback/>
      </mc:AlternateContent>
    </comment>
    <comment ref="S841" authorId="0">
      <text>
        <r>
          <rPr>
            <sz val="10"/>
            <rFont val="Arial"/>
            <family val="2"/>
          </rPr>
          <t xml:space="preserve">rubber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836</xdr:row>
                <xdr:rowOff>17</xdr:rowOff>
              </xdr:from>
              <xdr:to>
                <xdr:col>21</xdr:col>
                <xdr:colOff>23</xdr:colOff>
                <xdr:row>840</xdr:row>
                <xdr:rowOff>11</xdr:rowOff>
              </xdr:to>
            </anchor>
          </commentPr>
        </mc:Choice>
        <mc:Fallback/>
      </mc:AlternateContent>
    </comment>
    <comment ref="S878" authorId="0">
      <text>
        <r>
          <rPr>
            <sz val="10"/>
            <rFont val="Arial"/>
            <family val="2"/>
          </rPr>
          <t xml:space="preserve">rubber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873</xdr:row>
                <xdr:rowOff>17</xdr:rowOff>
              </xdr:from>
              <xdr:to>
                <xdr:col>21</xdr:col>
                <xdr:colOff>23</xdr:colOff>
                <xdr:row>877</xdr:row>
                <xdr:rowOff>11</xdr:rowOff>
              </xdr:to>
            </anchor>
          </commentPr>
        </mc:Choice>
        <mc:Fallback/>
      </mc:AlternateContent>
    </comment>
    <comment ref="S880" authorId="0">
      <text>
        <r>
          <rPr>
            <sz val="10"/>
            <rFont val="Arial"/>
            <family val="2"/>
          </rPr>
          <t xml:space="preserve">rubber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875</xdr:row>
                <xdr:rowOff>17</xdr:rowOff>
              </xdr:from>
              <xdr:to>
                <xdr:col>21</xdr:col>
                <xdr:colOff>23</xdr:colOff>
                <xdr:row>879</xdr:row>
                <xdr:rowOff>11</xdr:rowOff>
              </xdr:to>
            </anchor>
          </commentPr>
        </mc:Choice>
        <mc:Fallback/>
      </mc:AlternateContent>
    </comment>
    <comment ref="T43" authorId="0">
      <text>
        <r>
          <rPr>
            <sz val="10"/>
            <rFont val="Arial"/>
            <family val="2"/>
          </rPr>
          <t xml:space="preserve">tungsten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38</xdr:row>
                <xdr:rowOff>17</xdr:rowOff>
              </xdr:from>
              <xdr:to>
                <xdr:col>22</xdr:col>
                <xdr:colOff>10</xdr:colOff>
                <xdr:row>42</xdr:row>
                <xdr:rowOff>11</xdr:rowOff>
              </xdr:to>
            </anchor>
          </commentPr>
        </mc:Choice>
        <mc:Fallback/>
      </mc:AlternateContent>
    </comment>
    <comment ref="T46" authorId="0">
      <text>
        <r>
          <rPr>
            <sz val="10"/>
            <rFont val="Arial"/>
            <family val="2"/>
          </rPr>
          <t xml:space="preserve">tungsten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41</xdr:row>
                <xdr:rowOff>17</xdr:rowOff>
              </xdr:from>
              <xdr:to>
                <xdr:col>22</xdr:col>
                <xdr:colOff>10</xdr:colOff>
                <xdr:row>45</xdr:row>
                <xdr:rowOff>11</xdr:rowOff>
              </xdr:to>
            </anchor>
          </commentPr>
        </mc:Choice>
        <mc:Fallback/>
      </mc:AlternateContent>
    </comment>
    <comment ref="T60" authorId="0">
      <text>
        <r>
          <rPr>
            <sz val="10"/>
            <rFont val="Arial"/>
            <family val="2"/>
          </rPr>
          <t xml:space="preserve">tungsten reduced to 82.8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55</xdr:row>
                <xdr:rowOff>17</xdr:rowOff>
              </xdr:from>
              <xdr:to>
                <xdr:col>22</xdr:col>
                <xdr:colOff>10</xdr:colOff>
                <xdr:row>59</xdr:row>
                <xdr:rowOff>11</xdr:rowOff>
              </xdr:to>
            </anchor>
          </commentPr>
        </mc:Choice>
        <mc:Fallback/>
      </mc:AlternateContent>
    </comment>
    <comment ref="T71" authorId="0">
      <text>
        <r>
          <rPr>
            <sz val="10"/>
            <rFont val="Arial"/>
            <family val="2"/>
          </rPr>
          <t xml:space="preserve">tungsten reduced to 108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66</xdr:row>
                <xdr:rowOff>17</xdr:rowOff>
              </xdr:from>
              <xdr:to>
                <xdr:col>22</xdr:col>
                <xdr:colOff>10</xdr:colOff>
                <xdr:row>70</xdr:row>
                <xdr:rowOff>11</xdr:rowOff>
              </xdr:to>
            </anchor>
          </commentPr>
        </mc:Choice>
        <mc:Fallback/>
      </mc:AlternateContent>
    </comment>
    <comment ref="T272" authorId="0">
      <text>
        <r>
          <rPr>
            <sz val="10"/>
            <rFont val="Arial"/>
            <family val="2"/>
          </rPr>
          <t xml:space="preserve">tungsten reduced to 24.3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267</xdr:row>
                <xdr:rowOff>17</xdr:rowOff>
              </xdr:from>
              <xdr:to>
                <xdr:col>22</xdr:col>
                <xdr:colOff>10</xdr:colOff>
                <xdr:row>271</xdr:row>
                <xdr:rowOff>11</xdr:rowOff>
              </xdr:to>
            </anchor>
          </commentPr>
        </mc:Choice>
        <mc:Fallback/>
      </mc:AlternateContent>
    </comment>
    <comment ref="T369" authorId="0">
      <text>
        <r>
          <rPr>
            <sz val="10"/>
            <rFont val="Arial"/>
            <family val="2"/>
          </rPr>
          <t xml:space="preserve">tungsten reduced to 13.44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364</xdr:row>
                <xdr:rowOff>17</xdr:rowOff>
              </xdr:from>
              <xdr:to>
                <xdr:col>22</xdr:col>
                <xdr:colOff>10</xdr:colOff>
                <xdr:row>368</xdr:row>
                <xdr:rowOff>11</xdr:rowOff>
              </xdr:to>
            </anchor>
          </commentPr>
        </mc:Choice>
        <mc:Fallback/>
      </mc:AlternateContent>
    </comment>
    <comment ref="T549" authorId="0">
      <text>
        <r>
          <rPr>
            <sz val="10"/>
            <rFont val="Arial"/>
            <family val="2"/>
          </rPr>
          <t xml:space="preserve">tungsten reduced to 1.5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544</xdr:row>
                <xdr:rowOff>17</xdr:rowOff>
              </xdr:from>
              <xdr:to>
                <xdr:col>22</xdr:col>
                <xdr:colOff>10</xdr:colOff>
                <xdr:row>550</xdr:row>
                <xdr:rowOff>4</xdr:rowOff>
              </xdr:to>
            </anchor>
          </commentPr>
        </mc:Choice>
        <mc:Fallback/>
      </mc:AlternateContent>
    </comment>
    <comment ref="T799" authorId="0">
      <text>
        <r>
          <rPr>
            <sz val="10"/>
            <rFont val="Arial"/>
            <family val="2"/>
          </rPr>
          <t xml:space="preserve">tungsten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794</xdr:row>
                <xdr:rowOff>17</xdr:rowOff>
              </xdr:from>
              <xdr:to>
                <xdr:col>22</xdr:col>
                <xdr:colOff>10</xdr:colOff>
                <xdr:row>798</xdr:row>
                <xdr:rowOff>11</xdr:rowOff>
              </xdr:to>
            </anchor>
          </commentPr>
        </mc:Choice>
        <mc:Fallback/>
      </mc:AlternateContent>
    </comment>
    <comment ref="T827" authorId="0">
      <text>
        <r>
          <rPr>
            <sz val="10"/>
            <rFont val="Arial"/>
            <family val="2"/>
          </rPr>
          <t xml:space="preserve">tungsten reduced to 7.2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822</xdr:row>
                <xdr:rowOff>17</xdr:rowOff>
              </xdr:from>
              <xdr:to>
                <xdr:col>22</xdr:col>
                <xdr:colOff>10</xdr:colOff>
                <xdr:row>826</xdr:row>
                <xdr:rowOff>11</xdr:rowOff>
              </xdr:to>
            </anchor>
          </commentPr>
        </mc:Choice>
        <mc:Fallback/>
      </mc:AlternateContent>
    </comment>
    <comment ref="U203" authorId="0">
      <text>
        <r>
          <rPr>
            <sz val="10"/>
            <rFont val="Arial"/>
            <family val="2"/>
          </rPr>
          <t xml:space="preserve">steel reduced to  58.5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198</xdr:row>
                <xdr:rowOff>17</xdr:rowOff>
              </xdr:from>
              <xdr:to>
                <xdr:col>22</xdr:col>
                <xdr:colOff>65</xdr:colOff>
                <xdr:row>202</xdr:row>
                <xdr:rowOff>11</xdr:rowOff>
              </xdr:to>
            </anchor>
          </commentPr>
        </mc:Choice>
        <mc:Fallback/>
      </mc:AlternateContent>
    </comment>
    <comment ref="U264" authorId="0">
      <text>
        <r>
          <rPr>
            <sz val="10"/>
            <rFont val="Arial"/>
            <family val="2"/>
          </rPr>
          <t xml:space="preserve">steel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259</xdr:row>
                <xdr:rowOff>17</xdr:rowOff>
              </xdr:from>
              <xdr:to>
                <xdr:col>22</xdr:col>
                <xdr:colOff>65</xdr:colOff>
                <xdr:row>263</xdr:row>
                <xdr:rowOff>11</xdr:rowOff>
              </xdr:to>
            </anchor>
          </commentPr>
        </mc:Choice>
        <mc:Fallback/>
      </mc:AlternateContent>
    </comment>
    <comment ref="U273" authorId="0">
      <text>
        <r>
          <rPr>
            <sz val="10"/>
            <rFont val="Arial"/>
            <family val="2"/>
          </rPr>
          <t xml:space="preserve">steel reduced to 27.9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268</xdr:row>
                <xdr:rowOff>17</xdr:rowOff>
              </xdr:from>
              <xdr:to>
                <xdr:col>22</xdr:col>
                <xdr:colOff>65</xdr:colOff>
                <xdr:row>272</xdr:row>
                <xdr:rowOff>11</xdr:rowOff>
              </xdr:to>
            </anchor>
          </commentPr>
        </mc:Choice>
        <mc:Fallback/>
      </mc:AlternateContent>
    </comment>
    <comment ref="U336" authorId="0">
      <text>
        <r>
          <rPr>
            <sz val="10"/>
            <rFont val="Arial"/>
            <family val="2"/>
          </rPr>
          <t xml:space="preserve">steel reduced to 1.16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331</xdr:row>
                <xdr:rowOff>17</xdr:rowOff>
              </xdr:from>
              <xdr:to>
                <xdr:col>22</xdr:col>
                <xdr:colOff>65</xdr:colOff>
                <xdr:row>335</xdr:row>
                <xdr:rowOff>11</xdr:rowOff>
              </xdr:to>
            </anchor>
          </commentPr>
        </mc:Choice>
        <mc:Fallback/>
      </mc:AlternateContent>
    </comment>
    <comment ref="U348" authorId="0">
      <text>
        <r>
          <rPr>
            <sz val="10"/>
            <rFont val="Arial"/>
            <family val="2"/>
          </rPr>
          <t xml:space="preserve">steel reduced to 0.58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343</xdr:row>
                <xdr:rowOff>17</xdr:rowOff>
              </xdr:from>
              <xdr:to>
                <xdr:col>22</xdr:col>
                <xdr:colOff>65</xdr:colOff>
                <xdr:row>347</xdr:row>
                <xdr:rowOff>11</xdr:rowOff>
              </xdr:to>
            </anchor>
          </commentPr>
        </mc:Choice>
        <mc:Fallback/>
      </mc:AlternateContent>
    </comment>
    <comment ref="U369" authorId="0">
      <text>
        <r>
          <rPr>
            <sz val="10"/>
            <rFont val="Arial"/>
            <family val="2"/>
          </rPr>
          <t xml:space="preserve">steel reduced to 8.64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364</xdr:row>
                <xdr:rowOff>17</xdr:rowOff>
              </xdr:from>
              <xdr:to>
                <xdr:col>22</xdr:col>
                <xdr:colOff>65</xdr:colOff>
                <xdr:row>368</xdr:row>
                <xdr:rowOff>11</xdr:rowOff>
              </xdr:to>
            </anchor>
          </commentPr>
        </mc:Choice>
        <mc:Fallback/>
      </mc:AlternateContent>
    </comment>
    <comment ref="U743" authorId="0">
      <text>
        <r>
          <rPr>
            <sz val="10"/>
            <rFont val="Arial"/>
            <family val="2"/>
          </rPr>
          <t xml:space="preserve">6 steel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738</xdr:row>
                <xdr:rowOff>17</xdr:rowOff>
              </xdr:from>
              <xdr:to>
                <xdr:col>22</xdr:col>
                <xdr:colOff>65</xdr:colOff>
                <xdr:row>742</xdr:row>
                <xdr:rowOff>11</xdr:rowOff>
              </xdr:to>
            </anchor>
          </commentPr>
        </mc:Choice>
        <mc:Fallback/>
      </mc:AlternateContent>
    </comment>
    <comment ref="U748" authorId="0">
      <text>
        <r>
          <rPr>
            <sz val="10"/>
            <rFont val="Arial"/>
            <family val="2"/>
          </rPr>
          <t xml:space="preserve">steel reduced to 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743</xdr:row>
                <xdr:rowOff>17</xdr:rowOff>
              </xdr:from>
              <xdr:to>
                <xdr:col>22</xdr:col>
                <xdr:colOff>65</xdr:colOff>
                <xdr:row>747</xdr:row>
                <xdr:rowOff>11</xdr:rowOff>
              </xdr:to>
            </anchor>
          </commentPr>
        </mc:Choice>
        <mc:Fallback/>
      </mc:AlternateContent>
    </comment>
    <comment ref="U799" authorId="0">
      <text>
        <r>
          <rPr>
            <sz val="10"/>
            <rFont val="Arial"/>
            <family val="2"/>
          </rPr>
          <t xml:space="preserve">steel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794</xdr:row>
                <xdr:rowOff>17</xdr:rowOff>
              </xdr:from>
              <xdr:to>
                <xdr:col>22</xdr:col>
                <xdr:colOff>65</xdr:colOff>
                <xdr:row>798</xdr:row>
                <xdr:rowOff>11</xdr:rowOff>
              </xdr:to>
            </anchor>
          </commentPr>
        </mc:Choice>
        <mc:Fallback/>
      </mc:AlternateContent>
    </comment>
    <comment ref="U827" authorId="0">
      <text>
        <r>
          <rPr>
            <sz val="10"/>
            <rFont val="Arial"/>
            <family val="2"/>
          </rPr>
          <t xml:space="preserve">steel reduced to 7.2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822</xdr:row>
                <xdr:rowOff>17</xdr:rowOff>
              </xdr:from>
              <xdr:to>
                <xdr:col>22</xdr:col>
                <xdr:colOff>65</xdr:colOff>
                <xdr:row>826</xdr:row>
                <xdr:rowOff>11</xdr:rowOff>
              </xdr:to>
            </anchor>
          </commentPr>
        </mc:Choice>
        <mc:Fallback/>
      </mc:AlternateContent>
    </comment>
    <comment ref="U868" authorId="0">
      <text>
        <r>
          <rPr>
            <sz val="10"/>
            <rFont val="Arial"/>
            <family val="2"/>
          </rPr>
          <t xml:space="preserve">steel reduced to 28.8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863</xdr:row>
                <xdr:rowOff>17</xdr:rowOff>
              </xdr:from>
              <xdr:to>
                <xdr:col>22</xdr:col>
                <xdr:colOff>65</xdr:colOff>
                <xdr:row>867</xdr:row>
                <xdr:rowOff>11</xdr:rowOff>
              </xdr:to>
            </anchor>
          </commentPr>
        </mc:Choice>
        <mc:Fallback/>
      </mc:AlternateContent>
    </comment>
    <comment ref="V215" authorId="0">
      <text>
        <r>
          <rPr>
            <sz val="10"/>
            <rFont val="Arial"/>
            <family val="2"/>
          </rPr>
          <t xml:space="preserve">chromium reduced to 10.8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210</xdr:row>
                <xdr:rowOff>17</xdr:rowOff>
              </xdr:from>
              <xdr:to>
                <xdr:col>23</xdr:col>
                <xdr:colOff>41</xdr:colOff>
                <xdr:row>214</xdr:row>
                <xdr:rowOff>11</xdr:rowOff>
              </xdr:to>
            </anchor>
          </commentPr>
        </mc:Choice>
        <mc:Fallback/>
      </mc:AlternateContent>
    </comment>
    <comment ref="V254" authorId="0">
      <text>
        <r>
          <rPr>
            <sz val="10"/>
            <rFont val="Arial"/>
            <family val="2"/>
          </rPr>
          <t xml:space="preserve">chromium reduced to 81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249</xdr:row>
                <xdr:rowOff>17</xdr:rowOff>
              </xdr:from>
              <xdr:to>
                <xdr:col>23</xdr:col>
                <xdr:colOff>41</xdr:colOff>
                <xdr:row>253</xdr:row>
                <xdr:rowOff>11</xdr:rowOff>
              </xdr:to>
            </anchor>
          </commentPr>
        </mc:Choice>
        <mc:Fallback/>
      </mc:AlternateContent>
    </comment>
    <comment ref="V272" authorId="0">
      <text>
        <r>
          <rPr>
            <sz val="10"/>
            <rFont val="Arial"/>
            <family val="2"/>
          </rPr>
          <t xml:space="preserve">chromium reduced to 3.6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267</xdr:row>
                <xdr:rowOff>17</xdr:rowOff>
              </xdr:from>
              <xdr:to>
                <xdr:col>23</xdr:col>
                <xdr:colOff>41</xdr:colOff>
                <xdr:row>271</xdr:row>
                <xdr:rowOff>11</xdr:rowOff>
              </xdr:to>
            </anchor>
          </commentPr>
        </mc:Choice>
        <mc:Fallback/>
      </mc:AlternateContent>
    </comment>
    <comment ref="V534" authorId="0">
      <text>
        <r>
          <rPr>
            <sz val="10"/>
            <rFont val="Arial"/>
            <family val="2"/>
          </rPr>
          <t xml:space="preserve">chromium  reduced to 1.5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529</xdr:row>
                <xdr:rowOff>17</xdr:rowOff>
              </xdr:from>
              <xdr:to>
                <xdr:col>23</xdr:col>
                <xdr:colOff>41</xdr:colOff>
                <xdr:row>535</xdr:row>
                <xdr:rowOff>4</xdr:rowOff>
              </xdr:to>
            </anchor>
          </commentPr>
        </mc:Choice>
        <mc:Fallback/>
      </mc:AlternateContent>
    </comment>
    <comment ref="V537" authorId="0">
      <text>
        <r>
          <rPr>
            <sz val="10"/>
            <rFont val="Arial"/>
            <family val="2"/>
          </rPr>
          <t xml:space="preserve">chromium reduced to 1.8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532</xdr:row>
                <xdr:rowOff>17</xdr:rowOff>
              </xdr:from>
              <xdr:to>
                <xdr:col>23</xdr:col>
                <xdr:colOff>41</xdr:colOff>
                <xdr:row>536</xdr:row>
                <xdr:rowOff>11</xdr:rowOff>
              </xdr:to>
            </anchor>
          </commentPr>
        </mc:Choice>
        <mc:Fallback/>
      </mc:AlternateContent>
    </comment>
    <comment ref="V804" authorId="0">
      <text>
        <r>
          <rPr>
            <sz val="10"/>
            <rFont val="Arial"/>
            <family val="2"/>
          </rPr>
          <t xml:space="preserve">chromium reduced to 81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799</xdr:row>
                <xdr:rowOff>17</xdr:rowOff>
              </xdr:from>
              <xdr:to>
                <xdr:col>23</xdr:col>
                <xdr:colOff>41</xdr:colOff>
                <xdr:row>803</xdr:row>
                <xdr:rowOff>11</xdr:rowOff>
              </xdr:to>
            </anchor>
          </commentPr>
        </mc:Choice>
        <mc:Fallback/>
      </mc:AlternateContent>
    </comment>
    <comment ref="V817" authorId="0">
      <text>
        <r>
          <rPr>
            <sz val="10"/>
            <rFont val="Arial"/>
            <family val="2"/>
          </rPr>
          <t xml:space="preserve">chromium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812</xdr:row>
                <xdr:rowOff>17</xdr:rowOff>
              </xdr:from>
              <xdr:to>
                <xdr:col>23</xdr:col>
                <xdr:colOff>41</xdr:colOff>
                <xdr:row>816</xdr:row>
                <xdr:rowOff>11</xdr:rowOff>
              </xdr:to>
            </anchor>
          </commentPr>
        </mc:Choice>
        <mc:Fallback/>
      </mc:AlternateContent>
    </comment>
    <comment ref="V827" authorId="0">
      <text>
        <r>
          <rPr>
            <sz val="10"/>
            <rFont val="Arial"/>
            <family val="2"/>
          </rPr>
          <t xml:space="preserve">chromium reduced to 3.6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822</xdr:row>
                <xdr:rowOff>17</xdr:rowOff>
              </xdr:from>
              <xdr:to>
                <xdr:col>23</xdr:col>
                <xdr:colOff>41</xdr:colOff>
                <xdr:row>826</xdr:row>
                <xdr:rowOff>11</xdr:rowOff>
              </xdr:to>
            </anchor>
          </commentPr>
        </mc:Choice>
        <mc:Fallback/>
      </mc:AlternateContent>
    </comment>
    <comment ref="W41" authorId="0">
      <text>
        <r>
          <rPr>
            <sz val="10"/>
            <rFont val="Arial"/>
            <family val="2"/>
          </rPr>
          <t xml:space="preserve">resources reduced to 4.5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36</xdr:row>
                <xdr:rowOff>17</xdr:rowOff>
              </xdr:from>
              <xdr:to>
                <xdr:col>24</xdr:col>
                <xdr:colOff>66</xdr:colOff>
                <xdr:row>40</xdr:row>
                <xdr:rowOff>11</xdr:rowOff>
              </xdr:to>
            </anchor>
          </commentPr>
        </mc:Choice>
        <mc:Fallback/>
      </mc:AlternateContent>
    </comment>
    <comment ref="W42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37</xdr:row>
                <xdr:rowOff>17</xdr:rowOff>
              </xdr:from>
              <xdr:to>
                <xdr:col>24</xdr:col>
                <xdr:colOff>66</xdr:colOff>
                <xdr:row>41</xdr:row>
                <xdr:rowOff>11</xdr:rowOff>
              </xdr:to>
            </anchor>
          </commentPr>
        </mc:Choice>
        <mc:Fallback/>
      </mc:AlternateContent>
    </comment>
    <comment ref="W43" authorId="0">
      <text>
        <r>
          <rPr>
            <sz val="10"/>
            <rFont val="Arial"/>
            <family val="2"/>
          </rPr>
          <t xml:space="preserve">resources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38</xdr:row>
                <xdr:rowOff>17</xdr:rowOff>
              </xdr:from>
              <xdr:to>
                <xdr:col>24</xdr:col>
                <xdr:colOff>66</xdr:colOff>
                <xdr:row>42</xdr:row>
                <xdr:rowOff>11</xdr:rowOff>
              </xdr:to>
            </anchor>
          </commentPr>
        </mc:Choice>
        <mc:Fallback/>
      </mc:AlternateContent>
    </comment>
    <comment ref="W46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41</xdr:row>
                <xdr:rowOff>17</xdr:rowOff>
              </xdr:from>
              <xdr:to>
                <xdr:col>24</xdr:col>
                <xdr:colOff>66</xdr:colOff>
                <xdr:row>45</xdr:row>
                <xdr:rowOff>11</xdr:rowOff>
              </xdr:to>
            </anchor>
          </commentPr>
        </mc:Choice>
        <mc:Fallback/>
      </mc:AlternateContent>
    </comment>
    <comment ref="W47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42</xdr:row>
                <xdr:rowOff>17</xdr:rowOff>
              </xdr:from>
              <xdr:to>
                <xdr:col>24</xdr:col>
                <xdr:colOff>66</xdr:colOff>
                <xdr:row>46</xdr:row>
                <xdr:rowOff>11</xdr:rowOff>
              </xdr:to>
            </anchor>
          </commentPr>
        </mc:Choice>
        <mc:Fallback/>
      </mc:AlternateContent>
    </comment>
    <comment ref="W60" authorId="0">
      <text>
        <r>
          <rPr>
            <sz val="10"/>
            <rFont val="Arial"/>
            <family val="2"/>
          </rPr>
          <t xml:space="preserve">resources reduced to 85.5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55</xdr:row>
                <xdr:rowOff>17</xdr:rowOff>
              </xdr:from>
              <xdr:to>
                <xdr:col>24</xdr:col>
                <xdr:colOff>66</xdr:colOff>
                <xdr:row>59</xdr:row>
                <xdr:rowOff>11</xdr:rowOff>
              </xdr:to>
            </anchor>
          </commentPr>
        </mc:Choice>
        <mc:Fallback/>
      </mc:AlternateContent>
    </comment>
    <comment ref="W71" authorId="0">
      <text>
        <r>
          <rPr>
            <sz val="10"/>
            <rFont val="Arial"/>
            <family val="2"/>
          </rPr>
          <t xml:space="preserve">resources reduced to 108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66</xdr:row>
                <xdr:rowOff>17</xdr:rowOff>
              </xdr:from>
              <xdr:to>
                <xdr:col>24</xdr:col>
                <xdr:colOff>66</xdr:colOff>
                <xdr:row>70</xdr:row>
                <xdr:rowOff>11</xdr:rowOff>
              </xdr:to>
            </anchor>
          </commentPr>
        </mc:Choice>
        <mc:Fallback/>
      </mc:AlternateContent>
    </comment>
    <comment ref="W203" authorId="0">
      <text>
        <r>
          <rPr>
            <sz val="10"/>
            <rFont val="Arial"/>
            <family val="2"/>
          </rPr>
          <t xml:space="preserve">resources reduced to  58.5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198</xdr:row>
                <xdr:rowOff>17</xdr:rowOff>
              </xdr:from>
              <xdr:to>
                <xdr:col>24</xdr:col>
                <xdr:colOff>66</xdr:colOff>
                <xdr:row>202</xdr:row>
                <xdr:rowOff>11</xdr:rowOff>
              </xdr:to>
            </anchor>
          </commentPr>
        </mc:Choice>
        <mc:Fallback/>
      </mc:AlternateContent>
    </comment>
    <comment ref="W215" authorId="0">
      <text>
        <r>
          <rPr>
            <sz val="10"/>
            <rFont val="Arial"/>
            <family val="2"/>
          </rPr>
          <t xml:space="preserve">resources reduced to 10.8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210</xdr:row>
                <xdr:rowOff>17</xdr:rowOff>
              </xdr:from>
              <xdr:to>
                <xdr:col>24</xdr:col>
                <xdr:colOff>66</xdr:colOff>
                <xdr:row>214</xdr:row>
                <xdr:rowOff>11</xdr:rowOff>
              </xdr:to>
            </anchor>
          </commentPr>
        </mc:Choice>
        <mc:Fallback/>
      </mc:AlternateContent>
    </comment>
    <comment ref="W226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221</xdr:row>
                <xdr:rowOff>17</xdr:rowOff>
              </xdr:from>
              <xdr:to>
                <xdr:col>24</xdr:col>
                <xdr:colOff>66</xdr:colOff>
                <xdr:row>225</xdr:row>
                <xdr:rowOff>11</xdr:rowOff>
              </xdr:to>
            </anchor>
          </commentPr>
        </mc:Choice>
        <mc:Fallback/>
      </mc:AlternateContent>
    </comment>
    <comment ref="W251" authorId="0">
      <text>
        <r>
          <rPr>
            <sz val="10"/>
            <rFont val="Arial"/>
            <family val="2"/>
          </rPr>
          <t xml:space="preserve">resources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246</xdr:row>
                <xdr:rowOff>17</xdr:rowOff>
              </xdr:from>
              <xdr:to>
                <xdr:col>24</xdr:col>
                <xdr:colOff>66</xdr:colOff>
                <xdr:row>250</xdr:row>
                <xdr:rowOff>11</xdr:rowOff>
              </xdr:to>
            </anchor>
          </commentPr>
        </mc:Choice>
        <mc:Fallback/>
      </mc:AlternateContent>
    </comment>
    <comment ref="W254" authorId="0">
      <text>
        <r>
          <rPr>
            <sz val="10"/>
            <rFont val="Arial"/>
            <family val="2"/>
          </rPr>
          <t xml:space="preserve">resources reduced to 81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249</xdr:row>
                <xdr:rowOff>17</xdr:rowOff>
              </xdr:from>
              <xdr:to>
                <xdr:col>24</xdr:col>
                <xdr:colOff>66</xdr:colOff>
                <xdr:row>253</xdr:row>
                <xdr:rowOff>11</xdr:rowOff>
              </xdr:to>
            </anchor>
          </commentPr>
        </mc:Choice>
        <mc:Fallback/>
      </mc:AlternateContent>
    </comment>
    <comment ref="W264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259</xdr:row>
                <xdr:rowOff>17</xdr:rowOff>
              </xdr:from>
              <xdr:to>
                <xdr:col>24</xdr:col>
                <xdr:colOff>66</xdr:colOff>
                <xdr:row>263</xdr:row>
                <xdr:rowOff>11</xdr:rowOff>
              </xdr:to>
            </anchor>
          </commentPr>
        </mc:Choice>
        <mc:Fallback/>
      </mc:AlternateContent>
    </comment>
    <comment ref="W265" authorId="0">
      <text>
        <r>
          <rPr>
            <sz val="10"/>
            <rFont val="Arial"/>
            <family val="2"/>
          </rPr>
          <t xml:space="preserve">resources reduced to 49.5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260</xdr:row>
                <xdr:rowOff>17</xdr:rowOff>
              </xdr:from>
              <xdr:to>
                <xdr:col>24</xdr:col>
                <xdr:colOff>66</xdr:colOff>
                <xdr:row>264</xdr:row>
                <xdr:rowOff>11</xdr:rowOff>
              </xdr:to>
            </anchor>
          </commentPr>
        </mc:Choice>
        <mc:Fallback/>
      </mc:AlternateContent>
    </comment>
    <comment ref="W272" authorId="0">
      <text>
        <r>
          <rPr>
            <sz val="10"/>
            <rFont val="Arial"/>
            <family val="2"/>
          </rPr>
          <t xml:space="preserve">resources reduced to 27.9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267</xdr:row>
                <xdr:rowOff>17</xdr:rowOff>
              </xdr:from>
              <xdr:to>
                <xdr:col>24</xdr:col>
                <xdr:colOff>66</xdr:colOff>
                <xdr:row>271</xdr:row>
                <xdr:rowOff>11</xdr:rowOff>
              </xdr:to>
            </anchor>
          </commentPr>
        </mc:Choice>
        <mc:Fallback/>
      </mc:AlternateContent>
    </comment>
    <comment ref="W273" authorId="0">
      <text>
        <r>
          <rPr>
            <sz val="10"/>
            <rFont val="Arial"/>
            <family val="2"/>
          </rPr>
          <t xml:space="preserve">resources reduced to 27.9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268</xdr:row>
                <xdr:rowOff>17</xdr:rowOff>
              </xdr:from>
              <xdr:to>
                <xdr:col>24</xdr:col>
                <xdr:colOff>66</xdr:colOff>
                <xdr:row>272</xdr:row>
                <xdr:rowOff>11</xdr:rowOff>
              </xdr:to>
            </anchor>
          </commentPr>
        </mc:Choice>
        <mc:Fallback/>
      </mc:AlternateContent>
    </comment>
    <comment ref="W336" authorId="0">
      <text>
        <r>
          <rPr>
            <sz val="10"/>
            <rFont val="Arial"/>
            <family val="2"/>
          </rPr>
          <t xml:space="preserve">resources reduced to 1.16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331</xdr:row>
                <xdr:rowOff>17</xdr:rowOff>
              </xdr:from>
              <xdr:to>
                <xdr:col>24</xdr:col>
                <xdr:colOff>66</xdr:colOff>
                <xdr:row>335</xdr:row>
                <xdr:rowOff>11</xdr:rowOff>
              </xdr:to>
            </anchor>
          </commentPr>
        </mc:Choice>
        <mc:Fallback/>
      </mc:AlternateContent>
    </comment>
    <comment ref="W348" authorId="0">
      <text>
        <r>
          <rPr>
            <sz val="10"/>
            <rFont val="Arial"/>
            <family val="2"/>
          </rPr>
          <t xml:space="preserve">resources reduced to 0.58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343</xdr:row>
                <xdr:rowOff>17</xdr:rowOff>
              </xdr:from>
              <xdr:to>
                <xdr:col>24</xdr:col>
                <xdr:colOff>66</xdr:colOff>
                <xdr:row>347</xdr:row>
                <xdr:rowOff>11</xdr:rowOff>
              </xdr:to>
            </anchor>
          </commentPr>
        </mc:Choice>
        <mc:Fallback/>
      </mc:AlternateContent>
    </comment>
    <comment ref="W369" authorId="0">
      <text>
        <r>
          <rPr>
            <sz val="10"/>
            <rFont val="Arial"/>
            <family val="2"/>
          </rPr>
          <t xml:space="preserve">resources reduced to 22.08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364</xdr:row>
                <xdr:rowOff>17</xdr:rowOff>
              </xdr:from>
              <xdr:to>
                <xdr:col>24</xdr:col>
                <xdr:colOff>66</xdr:colOff>
                <xdr:row>368</xdr:row>
                <xdr:rowOff>11</xdr:rowOff>
              </xdr:to>
            </anchor>
          </commentPr>
        </mc:Choice>
        <mc:Fallback/>
      </mc:AlternateContent>
    </comment>
    <comment ref="W430" authorId="0">
      <text>
        <r>
          <rPr>
            <sz val="10"/>
            <rFont val="Arial"/>
            <family val="2"/>
          </rPr>
          <t xml:space="preserve">resources reduced to  31.5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425</xdr:row>
                <xdr:rowOff>17</xdr:rowOff>
              </xdr:from>
              <xdr:to>
                <xdr:col>24</xdr:col>
                <xdr:colOff>66</xdr:colOff>
                <xdr:row>429</xdr:row>
                <xdr:rowOff>11</xdr:rowOff>
              </xdr:to>
            </anchor>
          </commentPr>
        </mc:Choice>
        <mc:Fallback/>
      </mc:AlternateContent>
    </comment>
    <comment ref="W433" authorId="0">
      <text>
        <r>
          <rPr>
            <sz val="10"/>
            <rFont val="Arial"/>
            <family val="2"/>
          </rPr>
          <t xml:space="preserve">resources reduced to 54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428</xdr:row>
                <xdr:rowOff>17</xdr:rowOff>
              </xdr:from>
              <xdr:to>
                <xdr:col>24</xdr:col>
                <xdr:colOff>66</xdr:colOff>
                <xdr:row>432</xdr:row>
                <xdr:rowOff>11</xdr:rowOff>
              </xdr:to>
            </anchor>
          </commentPr>
        </mc:Choice>
        <mc:Fallback/>
      </mc:AlternateContent>
    </comment>
    <comment ref="W494" authorId="0">
      <text>
        <r>
          <rPr>
            <sz val="10"/>
            <rFont val="Arial"/>
            <family val="2"/>
          </rPr>
          <t xml:space="preserve">resources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489</xdr:row>
                <xdr:rowOff>17</xdr:rowOff>
              </xdr:from>
              <xdr:to>
                <xdr:col>24</xdr:col>
                <xdr:colOff>66</xdr:colOff>
                <xdr:row>493</xdr:row>
                <xdr:rowOff>11</xdr:rowOff>
              </xdr:to>
            </anchor>
          </commentPr>
        </mc:Choice>
        <mc:Fallback/>
      </mc:AlternateContent>
    </comment>
    <comment ref="W499" authorId="0">
      <text>
        <r>
          <rPr>
            <sz val="10"/>
            <rFont val="Arial"/>
            <family val="2"/>
          </rPr>
          <t xml:space="preserve">resources reduced to 0.9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494</xdr:row>
                <xdr:rowOff>17</xdr:rowOff>
              </xdr:from>
              <xdr:to>
                <xdr:col>24</xdr:col>
                <xdr:colOff>66</xdr:colOff>
                <xdr:row>498</xdr:row>
                <xdr:rowOff>11</xdr:rowOff>
              </xdr:to>
            </anchor>
          </commentPr>
        </mc:Choice>
        <mc:Fallback/>
      </mc:AlternateContent>
    </comment>
    <comment ref="W523" authorId="0">
      <text>
        <r>
          <rPr>
            <sz val="10"/>
            <rFont val="Arial"/>
            <family val="2"/>
          </rPr>
          <t xml:space="preserve">resources reduced to 3.6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518</xdr:row>
                <xdr:rowOff>17</xdr:rowOff>
              </xdr:from>
              <xdr:to>
                <xdr:col>24</xdr:col>
                <xdr:colOff>66</xdr:colOff>
                <xdr:row>522</xdr:row>
                <xdr:rowOff>11</xdr:rowOff>
              </xdr:to>
            </anchor>
          </commentPr>
        </mc:Choice>
        <mc:Fallback/>
      </mc:AlternateContent>
    </comment>
    <comment ref="W524" authorId="0">
      <text>
        <r>
          <rPr>
            <sz val="10"/>
            <rFont val="Arial"/>
            <family val="2"/>
          </rPr>
          <t xml:space="preserve">resources reduced to 2.4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519</xdr:row>
                <xdr:rowOff>17</xdr:rowOff>
              </xdr:from>
              <xdr:to>
                <xdr:col>24</xdr:col>
                <xdr:colOff>66</xdr:colOff>
                <xdr:row>523</xdr:row>
                <xdr:rowOff>11</xdr:rowOff>
              </xdr:to>
            </anchor>
          </commentPr>
        </mc:Choice>
        <mc:Fallback/>
      </mc:AlternateContent>
    </comment>
    <comment ref="W534" authorId="0">
      <text>
        <r>
          <rPr>
            <sz val="10"/>
            <rFont val="Arial"/>
            <family val="2"/>
          </rPr>
          <t xml:space="preserve">resources reduced to 1.5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529</xdr:row>
                <xdr:rowOff>17</xdr:rowOff>
              </xdr:from>
              <xdr:to>
                <xdr:col>24</xdr:col>
                <xdr:colOff>66</xdr:colOff>
                <xdr:row>535</xdr:row>
                <xdr:rowOff>4</xdr:rowOff>
              </xdr:to>
            </anchor>
          </commentPr>
        </mc:Choice>
        <mc:Fallback/>
      </mc:AlternateContent>
    </comment>
    <comment ref="W537" authorId="0">
      <text>
        <r>
          <rPr>
            <sz val="10"/>
            <rFont val="Arial"/>
            <family val="2"/>
          </rPr>
          <t xml:space="preserve">resources reduced to 3.6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532</xdr:row>
                <xdr:rowOff>17</xdr:rowOff>
              </xdr:from>
              <xdr:to>
                <xdr:col>24</xdr:col>
                <xdr:colOff>66</xdr:colOff>
                <xdr:row>536</xdr:row>
                <xdr:rowOff>11</xdr:rowOff>
              </xdr:to>
            </anchor>
          </commentPr>
        </mc:Choice>
        <mc:Fallback/>
      </mc:AlternateContent>
    </comment>
    <comment ref="W539" authorId="0">
      <text>
        <r>
          <rPr>
            <sz val="10"/>
            <rFont val="Arial"/>
            <family val="2"/>
          </rPr>
          <t xml:space="preserve">resources reduced to 7.8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534</xdr:row>
                <xdr:rowOff>17</xdr:rowOff>
              </xdr:from>
              <xdr:to>
                <xdr:col>24</xdr:col>
                <xdr:colOff>66</xdr:colOff>
                <xdr:row>538</xdr:row>
                <xdr:rowOff>11</xdr:rowOff>
              </xdr:to>
            </anchor>
          </commentPr>
        </mc:Choice>
        <mc:Fallback/>
      </mc:AlternateContent>
    </comment>
    <comment ref="W542" authorId="0">
      <text>
        <r>
          <rPr>
            <sz val="10"/>
            <rFont val="Arial"/>
            <family val="2"/>
          </rPr>
          <t xml:space="preserve">resources reduced to 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537</xdr:row>
                <xdr:rowOff>17</xdr:rowOff>
              </xdr:from>
              <xdr:to>
                <xdr:col>24</xdr:col>
                <xdr:colOff>66</xdr:colOff>
                <xdr:row>541</xdr:row>
                <xdr:rowOff>11</xdr:rowOff>
              </xdr:to>
            </anchor>
          </commentPr>
        </mc:Choice>
        <mc:Fallback/>
      </mc:AlternateContent>
    </comment>
    <comment ref="W549" authorId="0">
      <text>
        <r>
          <rPr>
            <sz val="10"/>
            <rFont val="Arial"/>
            <family val="2"/>
          </rPr>
          <t xml:space="preserve">resources  reduced to 1.5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544</xdr:row>
                <xdr:rowOff>17</xdr:rowOff>
              </xdr:from>
              <xdr:to>
                <xdr:col>24</xdr:col>
                <xdr:colOff>66</xdr:colOff>
                <xdr:row>550</xdr:row>
                <xdr:rowOff>4</xdr:rowOff>
              </xdr:to>
            </anchor>
          </commentPr>
        </mc:Choice>
        <mc:Fallback/>
      </mc:AlternateContent>
    </comment>
    <comment ref="W743" authorId="0">
      <text>
        <r>
          <rPr>
            <sz val="10"/>
            <rFont val="Arial"/>
            <family val="2"/>
          </rPr>
          <t xml:space="preserve">6 resources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738</xdr:row>
                <xdr:rowOff>17</xdr:rowOff>
              </xdr:from>
              <xdr:to>
                <xdr:col>24</xdr:col>
                <xdr:colOff>66</xdr:colOff>
                <xdr:row>742</xdr:row>
                <xdr:rowOff>11</xdr:rowOff>
              </xdr:to>
            </anchor>
          </commentPr>
        </mc:Choice>
        <mc:Fallback/>
      </mc:AlternateContent>
    </comment>
    <comment ref="W748" authorId="0">
      <text>
        <r>
          <rPr>
            <sz val="10"/>
            <rFont val="Arial"/>
            <family val="2"/>
          </rPr>
          <t xml:space="preserve">resources reduced to 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743</xdr:row>
                <xdr:rowOff>17</xdr:rowOff>
              </xdr:from>
              <xdr:to>
                <xdr:col>24</xdr:col>
                <xdr:colOff>66</xdr:colOff>
                <xdr:row>747</xdr:row>
                <xdr:rowOff>11</xdr:rowOff>
              </xdr:to>
            </anchor>
          </commentPr>
        </mc:Choice>
        <mc:Fallback/>
      </mc:AlternateContent>
    </comment>
    <comment ref="W797" authorId="0">
      <text>
        <r>
          <rPr>
            <sz val="10"/>
            <rFont val="Arial"/>
            <family val="2"/>
          </rPr>
          <t xml:space="preserve">resources reduced to 4.5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792</xdr:row>
                <xdr:rowOff>17</xdr:rowOff>
              </xdr:from>
              <xdr:to>
                <xdr:col>24</xdr:col>
                <xdr:colOff>66</xdr:colOff>
                <xdr:row>796</xdr:row>
                <xdr:rowOff>11</xdr:rowOff>
              </xdr:to>
            </anchor>
          </commentPr>
        </mc:Choice>
        <mc:Fallback/>
      </mc:AlternateContent>
    </comment>
    <comment ref="W799" authorId="0">
      <text>
        <r>
          <rPr>
            <sz val="10"/>
            <rFont val="Arial"/>
            <family val="2"/>
          </rPr>
          <t xml:space="preserve">resources reduced to 6.3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794</xdr:row>
                <xdr:rowOff>17</xdr:rowOff>
              </xdr:from>
              <xdr:to>
                <xdr:col>24</xdr:col>
                <xdr:colOff>66</xdr:colOff>
                <xdr:row>798</xdr:row>
                <xdr:rowOff>11</xdr:rowOff>
              </xdr:to>
            </anchor>
          </commentPr>
        </mc:Choice>
        <mc:Fallback/>
      </mc:AlternateContent>
    </comment>
    <comment ref="W804" authorId="0">
      <text>
        <r>
          <rPr>
            <sz val="10"/>
            <rFont val="Arial"/>
            <family val="2"/>
          </rPr>
          <t xml:space="preserve">resources reduced to 81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799</xdr:row>
                <xdr:rowOff>17</xdr:rowOff>
              </xdr:from>
              <xdr:to>
                <xdr:col>24</xdr:col>
                <xdr:colOff>66</xdr:colOff>
                <xdr:row>803</xdr:row>
                <xdr:rowOff>11</xdr:rowOff>
              </xdr:to>
            </anchor>
          </commentPr>
        </mc:Choice>
        <mc:Fallback/>
      </mc:AlternateContent>
    </comment>
    <comment ref="W809" authorId="0">
      <text>
        <r>
          <rPr>
            <sz val="10"/>
            <rFont val="Arial"/>
            <family val="2"/>
          </rPr>
          <t xml:space="preserve">resources reduced to 57.6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804</xdr:row>
                <xdr:rowOff>17</xdr:rowOff>
              </xdr:from>
              <xdr:to>
                <xdr:col>24</xdr:col>
                <xdr:colOff>66</xdr:colOff>
                <xdr:row>808</xdr:row>
                <xdr:rowOff>11</xdr:rowOff>
              </xdr:to>
            </anchor>
          </commentPr>
        </mc:Choice>
        <mc:Fallback/>
      </mc:AlternateContent>
    </comment>
    <comment ref="W813" authorId="0">
      <text>
        <r>
          <rPr>
            <sz val="10"/>
            <rFont val="Arial"/>
            <family val="2"/>
          </rPr>
          <t xml:space="preserve">resources reduced to 54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808</xdr:row>
                <xdr:rowOff>17</xdr:rowOff>
              </xdr:from>
              <xdr:to>
                <xdr:col>24</xdr:col>
                <xdr:colOff>66</xdr:colOff>
                <xdr:row>812</xdr:row>
                <xdr:rowOff>11</xdr:rowOff>
              </xdr:to>
            </anchor>
          </commentPr>
        </mc:Choice>
        <mc:Fallback/>
      </mc:AlternateContent>
    </comment>
    <comment ref="W817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812</xdr:row>
                <xdr:rowOff>17</xdr:rowOff>
              </xdr:from>
              <xdr:to>
                <xdr:col>24</xdr:col>
                <xdr:colOff>66</xdr:colOff>
                <xdr:row>816</xdr:row>
                <xdr:rowOff>11</xdr:rowOff>
              </xdr:to>
            </anchor>
          </commentPr>
        </mc:Choice>
        <mc:Fallback/>
      </mc:AlternateContent>
    </comment>
    <comment ref="W827" authorId="0">
      <text>
        <r>
          <rPr>
            <sz val="10"/>
            <rFont val="Arial"/>
            <family val="2"/>
          </rPr>
          <t xml:space="preserve">resources reduced to 18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822</xdr:row>
                <xdr:rowOff>17</xdr:rowOff>
              </xdr:from>
              <xdr:to>
                <xdr:col>24</xdr:col>
                <xdr:colOff>66</xdr:colOff>
                <xdr:row>826</xdr:row>
                <xdr:rowOff>11</xdr:rowOff>
              </xdr:to>
            </anchor>
          </commentPr>
        </mc:Choice>
        <mc:Fallback/>
      </mc:AlternateContent>
    </comment>
    <comment ref="W841" authorId="0">
      <text>
        <r>
          <rPr>
            <sz val="10"/>
            <rFont val="Arial"/>
            <family val="2"/>
          </rPr>
          <t xml:space="preserve">resources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836</xdr:row>
                <xdr:rowOff>17</xdr:rowOff>
              </xdr:from>
              <xdr:to>
                <xdr:col>24</xdr:col>
                <xdr:colOff>66</xdr:colOff>
                <xdr:row>840</xdr:row>
                <xdr:rowOff>11</xdr:rowOff>
              </xdr:to>
            </anchor>
          </commentPr>
        </mc:Choice>
        <mc:Fallback/>
      </mc:AlternateContent>
    </comment>
    <comment ref="W868" authorId="0">
      <text>
        <r>
          <rPr>
            <sz val="10"/>
            <rFont val="Arial"/>
            <family val="2"/>
          </rPr>
          <t xml:space="preserve">resources reduced to 28.8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863</xdr:row>
                <xdr:rowOff>17</xdr:rowOff>
              </xdr:from>
              <xdr:to>
                <xdr:col>24</xdr:col>
                <xdr:colOff>66</xdr:colOff>
                <xdr:row>867</xdr:row>
                <xdr:rowOff>11</xdr:rowOff>
              </xdr:to>
            </anchor>
          </commentPr>
        </mc:Choice>
        <mc:Fallback/>
      </mc:AlternateContent>
    </comment>
    <comment ref="W878" authorId="0">
      <text>
        <r>
          <rPr>
            <sz val="10"/>
            <rFont val="Arial"/>
            <family val="2"/>
          </rPr>
          <t xml:space="preserve">resources reduced to 1.8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873</xdr:row>
                <xdr:rowOff>17</xdr:rowOff>
              </xdr:from>
              <xdr:to>
                <xdr:col>24</xdr:col>
                <xdr:colOff>66</xdr:colOff>
                <xdr:row>877</xdr:row>
                <xdr:rowOff>11</xdr:rowOff>
              </xdr:to>
            </anchor>
          </commentPr>
        </mc:Choice>
        <mc:Fallback/>
      </mc:AlternateContent>
    </comment>
    <comment ref="W879" authorId="0">
      <text>
        <r>
          <rPr>
            <sz val="10"/>
            <rFont val="Arial"/>
            <family val="2"/>
          </rPr>
          <t xml:space="preserve">resources reduced to  10.8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874</xdr:row>
                <xdr:rowOff>17</xdr:rowOff>
              </xdr:from>
              <xdr:to>
                <xdr:col>24</xdr:col>
                <xdr:colOff>66</xdr:colOff>
                <xdr:row>878</xdr:row>
                <xdr:rowOff>11</xdr:rowOff>
              </xdr:to>
            </anchor>
          </commentPr>
        </mc:Choice>
        <mc:Fallback/>
      </mc:AlternateContent>
    </comment>
    <comment ref="W880" authorId="0">
      <text>
        <r>
          <rPr>
            <sz val="10"/>
            <rFont val="Arial"/>
            <family val="2"/>
          </rPr>
          <t xml:space="preserve">resources reduced to 2.7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875</xdr:row>
                <xdr:rowOff>17</xdr:rowOff>
              </xdr:from>
              <xdr:to>
                <xdr:col>24</xdr:col>
                <xdr:colOff>66</xdr:colOff>
                <xdr:row>879</xdr:row>
                <xdr:rowOff>11</xdr:rowOff>
              </xdr:to>
            </anchor>
          </commentPr>
        </mc:Choice>
        <mc:Fallback/>
      </mc:AlternateContent>
    </comment>
    <comment ref="Z4" authorId="0">
      <text>
        <r>
          <rPr>
            <sz val="10"/>
            <rFont val="Arial"/>
            <family val="2"/>
          </rPr>
          <t xml:space="preserve">ITA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0</xdr:row>
                <xdr:rowOff>37</xdr:rowOff>
              </xdr:from>
              <xdr:to>
                <xdr:col>28</xdr:col>
                <xdr:colOff>20</xdr:colOff>
                <xdr:row>4</xdr:row>
                <xdr:rowOff>9</xdr:rowOff>
              </xdr:to>
            </anchor>
          </commentPr>
        </mc:Choice>
        <mc:Fallback/>
      </mc:AlternateContent>
    </comment>
    <comment ref="Z3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316</xdr:row>
                <xdr:rowOff>17</xdr:rowOff>
              </xdr:from>
              <xdr:to>
                <xdr:col>28</xdr:col>
                <xdr:colOff>20</xdr:colOff>
                <xdr:row>320</xdr:row>
                <xdr:rowOff>11</xdr:rowOff>
              </xdr:to>
            </anchor>
          </commentPr>
        </mc:Choice>
        <mc:Fallback/>
      </mc:AlternateContent>
    </comment>
    <comment ref="Z322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2986</xdr:row>
                <xdr:rowOff>17</xdr:rowOff>
              </xdr:from>
              <xdr:to>
                <xdr:col>28</xdr:col>
                <xdr:colOff>20</xdr:colOff>
                <xdr:row>2990</xdr:row>
                <xdr:rowOff>11</xdr:rowOff>
              </xdr:to>
            </anchor>
          </commentPr>
        </mc:Choice>
        <mc:Fallback/>
      </mc:AlternateContent>
    </comment>
    <comment ref="Z413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408</xdr:row>
                <xdr:rowOff>17</xdr:rowOff>
              </xdr:from>
              <xdr:to>
                <xdr:col>28</xdr:col>
                <xdr:colOff>20</xdr:colOff>
                <xdr:row>412</xdr:row>
                <xdr:rowOff>11</xdr:rowOff>
              </xdr:to>
            </anchor>
          </commentPr>
        </mc:Choice>
        <mc:Fallback/>
      </mc:AlternateContent>
    </comment>
    <comment ref="Z418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413</xdr:row>
                <xdr:rowOff>17</xdr:rowOff>
              </xdr:from>
              <xdr:to>
                <xdr:col>28</xdr:col>
                <xdr:colOff>20</xdr:colOff>
                <xdr:row>417</xdr:row>
                <xdr:rowOff>11</xdr:rowOff>
              </xdr:to>
            </anchor>
          </commentPr>
        </mc:Choice>
        <mc:Fallback/>
      </mc:AlternateContent>
    </comment>
    <comment ref="Z420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415</xdr:row>
                <xdr:rowOff>17</xdr:rowOff>
              </xdr:from>
              <xdr:to>
                <xdr:col>28</xdr:col>
                <xdr:colOff>20</xdr:colOff>
                <xdr:row>419</xdr:row>
                <xdr:rowOff>11</xdr:rowOff>
              </xdr:to>
            </anchor>
          </commentPr>
        </mc:Choice>
        <mc:Fallback/>
      </mc:AlternateContent>
    </comment>
    <comment ref="Z4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416</xdr:row>
                <xdr:rowOff>17</xdr:rowOff>
              </xdr:from>
              <xdr:to>
                <xdr:col>28</xdr:col>
                <xdr:colOff>20</xdr:colOff>
                <xdr:row>420</xdr:row>
                <xdr:rowOff>11</xdr:rowOff>
              </xdr:to>
            </anchor>
          </commentPr>
        </mc:Choice>
        <mc:Fallback/>
      </mc:AlternateContent>
    </comment>
    <comment ref="Z430" authorId="0">
      <text>
        <r>
          <rPr>
            <sz val="10"/>
            <rFont val="Arial"/>
            <family val="2"/>
          </rPr>
          <t xml:space="preserve">oil reduced to  44.1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425</xdr:row>
                <xdr:rowOff>17</xdr:rowOff>
              </xdr:from>
              <xdr:to>
                <xdr:col>28</xdr:col>
                <xdr:colOff>20</xdr:colOff>
                <xdr:row>429</xdr:row>
                <xdr:rowOff>11</xdr:rowOff>
              </xdr:to>
            </anchor>
          </commentPr>
        </mc:Choice>
        <mc:Fallback/>
      </mc:AlternateContent>
    </comment>
    <comment ref="Z797" authorId="0">
      <text>
        <r>
          <rPr>
            <sz val="10"/>
            <rFont val="Arial"/>
            <family val="2"/>
          </rPr>
          <t xml:space="preserve">oil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3389</xdr:row>
                <xdr:rowOff>17</xdr:rowOff>
              </xdr:from>
              <xdr:to>
                <xdr:col>28</xdr:col>
                <xdr:colOff>20</xdr:colOff>
                <xdr:row>3393</xdr:row>
                <xdr:rowOff>11</xdr:rowOff>
              </xdr:to>
            </anchor>
          </commentPr>
        </mc:Choice>
        <mc:Fallback/>
      </mc:AlternateContent>
    </comment>
    <comment ref="Z799" authorId="0">
      <text>
        <r>
          <rPr>
            <sz val="10"/>
            <rFont val="Arial"/>
            <family val="2"/>
          </rPr>
          <t xml:space="preserve">oil reduced to 1.44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794</xdr:row>
                <xdr:rowOff>17</xdr:rowOff>
              </xdr:from>
              <xdr:to>
                <xdr:col>28</xdr:col>
                <xdr:colOff>20</xdr:colOff>
                <xdr:row>798</xdr:row>
                <xdr:rowOff>11</xdr:rowOff>
              </xdr:to>
            </anchor>
          </commentPr>
        </mc:Choice>
        <mc:Fallback/>
      </mc:AlternateContent>
    </comment>
    <comment ref="Z879" authorId="0">
      <text>
        <r>
          <rPr>
            <sz val="10"/>
            <rFont val="Arial"/>
            <family val="2"/>
          </rPr>
          <t xml:space="preserve">oil reduced to 15.12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23</xdr:colOff>
                <xdr:row>874</xdr:row>
                <xdr:rowOff>17</xdr:rowOff>
              </xdr:from>
              <xdr:to>
                <xdr:col>28</xdr:col>
                <xdr:colOff>20</xdr:colOff>
                <xdr:row>878</xdr:row>
                <xdr:rowOff>11</xdr:rowOff>
              </xdr:to>
            </anchor>
          </commentPr>
        </mc:Choice>
        <mc:Fallback/>
      </mc:AlternateContent>
    </comment>
    <comment ref="AA433" authorId="0">
      <text>
        <r>
          <rPr>
            <sz val="10"/>
            <rFont val="Arial"/>
            <family val="2"/>
          </rPr>
          <t xml:space="preserve">aluminum reduced to 75.6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428</xdr:row>
                <xdr:rowOff>17</xdr:rowOff>
              </xdr:from>
              <xdr:to>
                <xdr:col>29</xdr:col>
                <xdr:colOff>23</xdr:colOff>
                <xdr:row>432</xdr:row>
                <xdr:rowOff>11</xdr:rowOff>
              </xdr:to>
            </anchor>
          </commentPr>
        </mc:Choice>
        <mc:Fallback/>
      </mc:AlternateContent>
    </comment>
    <comment ref="AA523" authorId="0">
      <text>
        <r>
          <rPr>
            <sz val="10"/>
            <rFont val="Arial"/>
            <family val="2"/>
          </rPr>
          <t xml:space="preserve">aluminum reduced to 4.32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518</xdr:row>
                <xdr:rowOff>17</xdr:rowOff>
              </xdr:from>
              <xdr:to>
                <xdr:col>29</xdr:col>
                <xdr:colOff>23</xdr:colOff>
                <xdr:row>522</xdr:row>
                <xdr:rowOff>11</xdr:rowOff>
              </xdr:to>
            </anchor>
          </commentPr>
        </mc:Choice>
        <mc:Fallback/>
      </mc:AlternateContent>
    </comment>
    <comment ref="AA524" authorId="0">
      <text>
        <r>
          <rPr>
            <sz val="10"/>
            <rFont val="Arial"/>
            <family val="2"/>
          </rPr>
          <t xml:space="preserve">aluminum reduced to 2.88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519</xdr:row>
                <xdr:rowOff>17</xdr:rowOff>
              </xdr:from>
              <xdr:to>
                <xdr:col>29</xdr:col>
                <xdr:colOff>23</xdr:colOff>
                <xdr:row>523</xdr:row>
                <xdr:rowOff>11</xdr:rowOff>
              </xdr:to>
            </anchor>
          </commentPr>
        </mc:Choice>
        <mc:Fallback/>
      </mc:AlternateContent>
    </comment>
    <comment ref="AA537" authorId="0">
      <text>
        <r>
          <rPr>
            <sz val="10"/>
            <rFont val="Arial"/>
            <family val="2"/>
          </rPr>
          <t xml:space="preserve">aluminum reduced to 2.16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532</xdr:row>
                <xdr:rowOff>17</xdr:rowOff>
              </xdr:from>
              <xdr:to>
                <xdr:col>29</xdr:col>
                <xdr:colOff>23</xdr:colOff>
                <xdr:row>536</xdr:row>
                <xdr:rowOff>11</xdr:rowOff>
              </xdr:to>
            </anchor>
          </commentPr>
        </mc:Choice>
        <mc:Fallback/>
      </mc:AlternateContent>
    </comment>
    <comment ref="AA809" authorId="0">
      <text>
        <r>
          <rPr>
            <sz val="10"/>
            <rFont val="Arial"/>
            <family val="2"/>
          </rPr>
          <t xml:space="preserve">aluminum reduced to 69.12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23</xdr:colOff>
                <xdr:row>804</xdr:row>
                <xdr:rowOff>17</xdr:rowOff>
              </xdr:from>
              <xdr:to>
                <xdr:col>29</xdr:col>
                <xdr:colOff>23</xdr:colOff>
                <xdr:row>808</xdr:row>
                <xdr:rowOff>11</xdr:rowOff>
              </xdr:to>
            </anchor>
          </commentPr>
        </mc:Choice>
        <mc:Fallback/>
      </mc:AlternateContent>
    </comment>
    <comment ref="AB41" authorId="0">
      <text>
        <r>
          <rPr>
            <sz val="10"/>
            <rFont val="Arial"/>
            <family val="2"/>
          </rPr>
          <t xml:space="preserve">rubber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36</xdr:row>
                <xdr:rowOff>17</xdr:rowOff>
              </xdr:from>
              <xdr:to>
                <xdr:col>30</xdr:col>
                <xdr:colOff>23</xdr:colOff>
                <xdr:row>40</xdr:row>
                <xdr:rowOff>11</xdr:rowOff>
              </xdr:to>
            </anchor>
          </commentPr>
        </mc:Choice>
        <mc:Fallback/>
      </mc:AlternateContent>
    </comment>
    <comment ref="AB42" authorId="0">
      <text>
        <r>
          <rPr>
            <sz val="10"/>
            <rFont val="Arial"/>
            <family val="2"/>
          </rPr>
          <t xml:space="preserve">rubber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37</xdr:row>
                <xdr:rowOff>17</xdr:rowOff>
              </xdr:from>
              <xdr:to>
                <xdr:col>30</xdr:col>
                <xdr:colOff>23</xdr:colOff>
                <xdr:row>41</xdr:row>
                <xdr:rowOff>11</xdr:rowOff>
              </xdr:to>
            </anchor>
          </commentPr>
        </mc:Choice>
        <mc:Fallback/>
      </mc:AlternateContent>
    </comment>
    <comment ref="AB47" authorId="0">
      <text>
        <r>
          <rPr>
            <sz val="10"/>
            <rFont val="Arial"/>
            <family val="2"/>
          </rPr>
          <t xml:space="preserve">rubber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42</xdr:row>
                <xdr:rowOff>17</xdr:rowOff>
              </xdr:from>
              <xdr:to>
                <xdr:col>30</xdr:col>
                <xdr:colOff>23</xdr:colOff>
                <xdr:row>46</xdr:row>
                <xdr:rowOff>11</xdr:rowOff>
              </xdr:to>
            </anchor>
          </commentPr>
        </mc:Choice>
        <mc:Fallback/>
      </mc:AlternateContent>
    </comment>
    <comment ref="AB60" authorId="0">
      <text>
        <r>
          <rPr>
            <sz val="10"/>
            <rFont val="Arial"/>
            <family val="2"/>
          </rPr>
          <t xml:space="preserve">rubber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55</xdr:row>
                <xdr:rowOff>17</xdr:rowOff>
              </xdr:from>
              <xdr:to>
                <xdr:col>30</xdr:col>
                <xdr:colOff>23</xdr:colOff>
                <xdr:row>59</xdr:row>
                <xdr:rowOff>11</xdr:rowOff>
              </xdr:to>
            </anchor>
          </commentPr>
        </mc:Choice>
        <mc:Fallback/>
      </mc:AlternateContent>
    </comment>
    <comment ref="AB226" authorId="0">
      <text>
        <r>
          <rPr>
            <sz val="10"/>
            <rFont val="Arial"/>
            <family val="2"/>
          </rPr>
          <t xml:space="preserve">rubber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221</xdr:row>
                <xdr:rowOff>17</xdr:rowOff>
              </xdr:from>
              <xdr:to>
                <xdr:col>30</xdr:col>
                <xdr:colOff>23</xdr:colOff>
                <xdr:row>225</xdr:row>
                <xdr:rowOff>11</xdr:rowOff>
              </xdr:to>
            </anchor>
          </commentPr>
        </mc:Choice>
        <mc:Fallback/>
      </mc:AlternateContent>
    </comment>
    <comment ref="AB251" authorId="0">
      <text>
        <r>
          <rPr>
            <sz val="10"/>
            <rFont val="Arial"/>
            <family val="2"/>
          </rPr>
          <t xml:space="preserve">rubber reduced to 1.26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246</xdr:row>
                <xdr:rowOff>17</xdr:rowOff>
              </xdr:from>
              <xdr:to>
                <xdr:col>30</xdr:col>
                <xdr:colOff>23</xdr:colOff>
                <xdr:row>250</xdr:row>
                <xdr:rowOff>11</xdr:rowOff>
              </xdr:to>
            </anchor>
          </commentPr>
        </mc:Choice>
        <mc:Fallback/>
      </mc:AlternateContent>
    </comment>
    <comment ref="AB265" authorId="0">
      <text>
        <r>
          <rPr>
            <sz val="10"/>
            <rFont val="Arial"/>
            <family val="2"/>
          </rPr>
          <t xml:space="preserve">rubber reduced to 69.3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260</xdr:row>
                <xdr:rowOff>17</xdr:rowOff>
              </xdr:from>
              <xdr:to>
                <xdr:col>30</xdr:col>
                <xdr:colOff>23</xdr:colOff>
                <xdr:row>264</xdr:row>
                <xdr:rowOff>11</xdr:rowOff>
              </xdr:to>
            </anchor>
          </commentPr>
        </mc:Choice>
        <mc:Fallback/>
      </mc:AlternateContent>
    </comment>
    <comment ref="AB494" authorId="0">
      <text>
        <r>
          <rPr>
            <sz val="10"/>
            <rFont val="Arial"/>
            <family val="2"/>
          </rPr>
          <t xml:space="preserve">rubber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489</xdr:row>
                <xdr:rowOff>17</xdr:rowOff>
              </xdr:from>
              <xdr:to>
                <xdr:col>30</xdr:col>
                <xdr:colOff>23</xdr:colOff>
                <xdr:row>493</xdr:row>
                <xdr:rowOff>11</xdr:rowOff>
              </xdr:to>
            </anchor>
          </commentPr>
        </mc:Choice>
        <mc:Fallback/>
      </mc:AlternateContent>
    </comment>
    <comment ref="AB499" authorId="0">
      <text>
        <r>
          <rPr>
            <sz val="10"/>
            <rFont val="Arial"/>
            <family val="2"/>
          </rPr>
          <t xml:space="preserve">rubber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494</xdr:row>
                <xdr:rowOff>17</xdr:rowOff>
              </xdr:from>
              <xdr:to>
                <xdr:col>30</xdr:col>
                <xdr:colOff>23</xdr:colOff>
                <xdr:row>498</xdr:row>
                <xdr:rowOff>11</xdr:rowOff>
              </xdr:to>
            </anchor>
          </commentPr>
        </mc:Choice>
        <mc:Fallback/>
      </mc:AlternateContent>
    </comment>
    <comment ref="AB539" authorId="0">
      <text>
        <r>
          <rPr>
            <sz val="10"/>
            <rFont val="Arial"/>
            <family val="2"/>
          </rPr>
          <t xml:space="preserve">rubber reduced to 9.36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534</xdr:row>
                <xdr:rowOff>17</xdr:rowOff>
              </xdr:from>
              <xdr:to>
                <xdr:col>30</xdr:col>
                <xdr:colOff>23</xdr:colOff>
                <xdr:row>538</xdr:row>
                <xdr:rowOff>11</xdr:rowOff>
              </xdr:to>
            </anchor>
          </commentPr>
        </mc:Choice>
        <mc:Fallback/>
      </mc:AlternateContent>
    </comment>
    <comment ref="AB542" authorId="0">
      <text>
        <r>
          <rPr>
            <sz val="10"/>
            <rFont val="Arial"/>
            <family val="2"/>
          </rPr>
          <t xml:space="preserve">rubber reduced to 7.20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537</xdr:row>
                <xdr:rowOff>17</xdr:rowOff>
              </xdr:from>
              <xdr:to>
                <xdr:col>30</xdr:col>
                <xdr:colOff>23</xdr:colOff>
                <xdr:row>541</xdr:row>
                <xdr:rowOff>11</xdr:rowOff>
              </xdr:to>
            </anchor>
          </commentPr>
        </mc:Choice>
        <mc:Fallback/>
      </mc:AlternateContent>
    </comment>
    <comment ref="AB813" authorId="0">
      <text>
        <r>
          <rPr>
            <sz val="10"/>
            <rFont val="Arial"/>
            <family val="2"/>
          </rPr>
          <t xml:space="preserve">rubber reduced to 75.6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808</xdr:row>
                <xdr:rowOff>17</xdr:rowOff>
              </xdr:from>
              <xdr:to>
                <xdr:col>30</xdr:col>
                <xdr:colOff>23</xdr:colOff>
                <xdr:row>812</xdr:row>
                <xdr:rowOff>11</xdr:rowOff>
              </xdr:to>
            </anchor>
          </commentPr>
        </mc:Choice>
        <mc:Fallback/>
      </mc:AlternateContent>
    </comment>
    <comment ref="AB841" authorId="0">
      <text>
        <r>
          <rPr>
            <sz val="10"/>
            <rFont val="Arial"/>
            <family val="2"/>
          </rPr>
          <t xml:space="preserve">rubber reduced to 2.52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836</xdr:row>
                <xdr:rowOff>17</xdr:rowOff>
              </xdr:from>
              <xdr:to>
                <xdr:col>30</xdr:col>
                <xdr:colOff>23</xdr:colOff>
                <xdr:row>840</xdr:row>
                <xdr:rowOff>11</xdr:rowOff>
              </xdr:to>
            </anchor>
          </commentPr>
        </mc:Choice>
        <mc:Fallback/>
      </mc:AlternateContent>
    </comment>
    <comment ref="AB878" authorId="0">
      <text>
        <r>
          <rPr>
            <sz val="10"/>
            <rFont val="Arial"/>
            <family val="2"/>
          </rPr>
          <t xml:space="preserve">rubber reduced to 2.52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873</xdr:row>
                <xdr:rowOff>17</xdr:rowOff>
              </xdr:from>
              <xdr:to>
                <xdr:col>30</xdr:col>
                <xdr:colOff>23</xdr:colOff>
                <xdr:row>877</xdr:row>
                <xdr:rowOff>11</xdr:rowOff>
              </xdr:to>
            </anchor>
          </commentPr>
        </mc:Choice>
        <mc:Fallback/>
      </mc:AlternateContent>
    </comment>
    <comment ref="AB880" authorId="0">
      <text>
        <r>
          <rPr>
            <sz val="10"/>
            <rFont val="Arial"/>
            <family val="2"/>
          </rPr>
          <t xml:space="preserve">rubber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23</xdr:colOff>
                <xdr:row>875</xdr:row>
                <xdr:rowOff>17</xdr:rowOff>
              </xdr:from>
              <xdr:to>
                <xdr:col>30</xdr:col>
                <xdr:colOff>23</xdr:colOff>
                <xdr:row>879</xdr:row>
                <xdr:rowOff>11</xdr:rowOff>
              </xdr:to>
            </anchor>
          </commentPr>
        </mc:Choice>
        <mc:Fallback/>
      </mc:AlternateContent>
    </comment>
    <comment ref="AC43" authorId="0">
      <text>
        <r>
          <rPr>
            <sz val="10"/>
            <rFont val="Arial"/>
            <family val="2"/>
          </rPr>
          <t xml:space="preserve">tungsten reduced to 2.16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38</xdr:row>
                <xdr:rowOff>17</xdr:rowOff>
              </xdr:from>
              <xdr:to>
                <xdr:col>31</xdr:col>
                <xdr:colOff>10</xdr:colOff>
                <xdr:row>42</xdr:row>
                <xdr:rowOff>11</xdr:rowOff>
              </xdr:to>
            </anchor>
          </commentPr>
        </mc:Choice>
        <mc:Fallback/>
      </mc:AlternateContent>
    </comment>
    <comment ref="AC46" authorId="0">
      <text>
        <r>
          <rPr>
            <sz val="10"/>
            <rFont val="Arial"/>
            <family val="2"/>
          </rPr>
          <t xml:space="preserve">tungsten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41</xdr:row>
                <xdr:rowOff>17</xdr:rowOff>
              </xdr:from>
              <xdr:to>
                <xdr:col>31</xdr:col>
                <xdr:colOff>10</xdr:colOff>
                <xdr:row>45</xdr:row>
                <xdr:rowOff>11</xdr:rowOff>
              </xdr:to>
            </anchor>
          </commentPr>
        </mc:Choice>
        <mc:Fallback/>
      </mc:AlternateContent>
    </comment>
    <comment ref="AC60" authorId="0">
      <text>
        <r>
          <rPr>
            <sz val="10"/>
            <rFont val="Arial"/>
            <family val="2"/>
          </rPr>
          <t xml:space="preserve">tungsten reduced to 115.92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55</xdr:row>
                <xdr:rowOff>17</xdr:rowOff>
              </xdr:from>
              <xdr:to>
                <xdr:col>31</xdr:col>
                <xdr:colOff>10</xdr:colOff>
                <xdr:row>59</xdr:row>
                <xdr:rowOff>11</xdr:rowOff>
              </xdr:to>
            </anchor>
          </commentPr>
        </mc:Choice>
        <mc:Fallback/>
      </mc:AlternateContent>
    </comment>
    <comment ref="AC71" authorId="0">
      <text>
        <r>
          <rPr>
            <sz val="10"/>
            <rFont val="Arial"/>
            <family val="2"/>
          </rPr>
          <t xml:space="preserve">tungsten reduced to 151.2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66</xdr:row>
                <xdr:rowOff>17</xdr:rowOff>
              </xdr:from>
              <xdr:to>
                <xdr:col>31</xdr:col>
                <xdr:colOff>10</xdr:colOff>
                <xdr:row>70</xdr:row>
                <xdr:rowOff>11</xdr:rowOff>
              </xdr:to>
            </anchor>
          </commentPr>
        </mc:Choice>
        <mc:Fallback/>
      </mc:AlternateContent>
    </comment>
    <comment ref="AC272" authorId="0">
      <text>
        <r>
          <rPr>
            <sz val="10"/>
            <rFont val="Arial"/>
            <family val="2"/>
          </rPr>
          <t xml:space="preserve">tungsten reduced to 34.02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267</xdr:row>
                <xdr:rowOff>17</xdr:rowOff>
              </xdr:from>
              <xdr:to>
                <xdr:col>31</xdr:col>
                <xdr:colOff>10</xdr:colOff>
                <xdr:row>271</xdr:row>
                <xdr:rowOff>11</xdr:rowOff>
              </xdr:to>
            </anchor>
          </commentPr>
        </mc:Choice>
        <mc:Fallback/>
      </mc:AlternateContent>
    </comment>
    <comment ref="AC369" authorId="0">
      <text>
        <r>
          <rPr>
            <sz val="10"/>
            <rFont val="Arial"/>
            <family val="2"/>
          </rPr>
          <t xml:space="preserve">tungsten reduced to 18.616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364</xdr:row>
                <xdr:rowOff>17</xdr:rowOff>
              </xdr:from>
              <xdr:to>
                <xdr:col>31</xdr:col>
                <xdr:colOff>10</xdr:colOff>
                <xdr:row>368</xdr:row>
                <xdr:rowOff>11</xdr:rowOff>
              </xdr:to>
            </anchor>
          </commentPr>
        </mc:Choice>
        <mc:Fallback/>
      </mc:AlternateContent>
    </comment>
    <comment ref="AC549" authorId="0">
      <text>
        <r>
          <rPr>
            <sz val="10"/>
            <rFont val="Arial"/>
            <family val="2"/>
          </rPr>
          <t xml:space="preserve">tungsten reduced to 2.4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544</xdr:row>
                <xdr:rowOff>17</xdr:rowOff>
              </xdr:from>
              <xdr:to>
                <xdr:col>31</xdr:col>
                <xdr:colOff>10</xdr:colOff>
                <xdr:row>550</xdr:row>
                <xdr:rowOff>4</xdr:rowOff>
              </xdr:to>
            </anchor>
          </commentPr>
        </mc:Choice>
        <mc:Fallback/>
      </mc:AlternateContent>
    </comment>
    <comment ref="AC799" authorId="0">
      <text>
        <r>
          <rPr>
            <sz val="10"/>
            <rFont val="Arial"/>
            <family val="2"/>
          </rPr>
          <t xml:space="preserve">tungsten reduced to 4.32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794</xdr:row>
                <xdr:rowOff>17</xdr:rowOff>
              </xdr:from>
              <xdr:to>
                <xdr:col>31</xdr:col>
                <xdr:colOff>10</xdr:colOff>
                <xdr:row>798</xdr:row>
                <xdr:rowOff>11</xdr:rowOff>
              </xdr:to>
            </anchor>
          </commentPr>
        </mc:Choice>
        <mc:Fallback/>
      </mc:AlternateContent>
    </comment>
    <comment ref="AC827" authorId="0">
      <text>
        <r>
          <rPr>
            <sz val="10"/>
            <rFont val="Arial"/>
            <family val="2"/>
          </rPr>
          <t xml:space="preserve">tungsten reduced to 10.08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822</xdr:row>
                <xdr:rowOff>17</xdr:rowOff>
              </xdr:from>
              <xdr:to>
                <xdr:col>31</xdr:col>
                <xdr:colOff>10</xdr:colOff>
                <xdr:row>826</xdr:row>
                <xdr:rowOff>11</xdr:rowOff>
              </xdr:to>
            </anchor>
          </commentPr>
        </mc:Choice>
        <mc:Fallback/>
      </mc:AlternateContent>
    </comment>
    <comment ref="AC887" authorId="0">
      <text>
        <r>
          <rPr>
            <sz val="10"/>
            <rFont val="Arial"/>
            <family val="2"/>
          </rPr>
          <t xml:space="preserve">tungsten reduced to 10.08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23</xdr:colOff>
                <xdr:row>882</xdr:row>
                <xdr:rowOff>17</xdr:rowOff>
              </xdr:from>
              <xdr:to>
                <xdr:col>31</xdr:col>
                <xdr:colOff>10</xdr:colOff>
                <xdr:row>886</xdr:row>
                <xdr:rowOff>11</xdr:rowOff>
              </xdr:to>
            </anchor>
          </commentPr>
        </mc:Choice>
        <mc:Fallback/>
      </mc:AlternateContent>
    </comment>
    <comment ref="AD203" authorId="0">
      <text>
        <r>
          <rPr>
            <sz val="10"/>
            <rFont val="Arial"/>
            <family val="2"/>
          </rPr>
          <t xml:space="preserve">steel reduced to  81.9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198</xdr:row>
                <xdr:rowOff>17</xdr:rowOff>
              </xdr:from>
              <xdr:to>
                <xdr:col>31</xdr:col>
                <xdr:colOff>65</xdr:colOff>
                <xdr:row>202</xdr:row>
                <xdr:rowOff>11</xdr:rowOff>
              </xdr:to>
            </anchor>
          </commentPr>
        </mc:Choice>
        <mc:Fallback/>
      </mc:AlternateContent>
    </comment>
    <comment ref="AD264" authorId="0">
      <text>
        <r>
          <rPr>
            <sz val="10"/>
            <rFont val="Arial"/>
            <family val="2"/>
          </rPr>
          <t xml:space="preserve">steel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259</xdr:row>
                <xdr:rowOff>17</xdr:rowOff>
              </xdr:from>
              <xdr:to>
                <xdr:col>31</xdr:col>
                <xdr:colOff>65</xdr:colOff>
                <xdr:row>263</xdr:row>
                <xdr:rowOff>11</xdr:rowOff>
              </xdr:to>
            </anchor>
          </commentPr>
        </mc:Choice>
        <mc:Fallback/>
      </mc:AlternateContent>
    </comment>
    <comment ref="AD273" authorId="0">
      <text>
        <r>
          <rPr>
            <sz val="10"/>
            <rFont val="Arial"/>
            <family val="2"/>
          </rPr>
          <t xml:space="preserve">steel reduced to 39.06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268</xdr:row>
                <xdr:rowOff>17</xdr:rowOff>
              </xdr:from>
              <xdr:to>
                <xdr:col>31</xdr:col>
                <xdr:colOff>65</xdr:colOff>
                <xdr:row>272</xdr:row>
                <xdr:rowOff>11</xdr:rowOff>
              </xdr:to>
            </anchor>
          </commentPr>
        </mc:Choice>
        <mc:Fallback/>
      </mc:AlternateContent>
    </comment>
    <comment ref="AD336" authorId="0">
      <text>
        <r>
          <rPr>
            <sz val="10"/>
            <rFont val="Arial"/>
            <family val="2"/>
          </rPr>
          <t xml:space="preserve">steel reduced to 1.624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331</xdr:row>
                <xdr:rowOff>17</xdr:rowOff>
              </xdr:from>
              <xdr:to>
                <xdr:col>31</xdr:col>
                <xdr:colOff>65</xdr:colOff>
                <xdr:row>335</xdr:row>
                <xdr:rowOff>11</xdr:rowOff>
              </xdr:to>
            </anchor>
          </commentPr>
        </mc:Choice>
        <mc:Fallback/>
      </mc:AlternateContent>
    </comment>
    <comment ref="AD348" authorId="0">
      <text>
        <r>
          <rPr>
            <sz val="10"/>
            <rFont val="Arial"/>
            <family val="2"/>
          </rPr>
          <t xml:space="preserve">steel reduced to 0.812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343</xdr:row>
                <xdr:rowOff>17</xdr:rowOff>
              </xdr:from>
              <xdr:to>
                <xdr:col>31</xdr:col>
                <xdr:colOff>65</xdr:colOff>
                <xdr:row>347</xdr:row>
                <xdr:rowOff>11</xdr:rowOff>
              </xdr:to>
            </anchor>
          </commentPr>
        </mc:Choice>
        <mc:Fallback/>
      </mc:AlternateContent>
    </comment>
    <comment ref="AD369" authorId="0">
      <text>
        <r>
          <rPr>
            <sz val="10"/>
            <rFont val="Arial"/>
            <family val="2"/>
          </rPr>
          <t xml:space="preserve">steel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364</xdr:row>
                <xdr:rowOff>17</xdr:rowOff>
              </xdr:from>
              <xdr:to>
                <xdr:col>31</xdr:col>
                <xdr:colOff>65</xdr:colOff>
                <xdr:row>368</xdr:row>
                <xdr:rowOff>11</xdr:rowOff>
              </xdr:to>
            </anchor>
          </commentPr>
        </mc:Choice>
        <mc:Fallback/>
      </mc:AlternateContent>
    </comment>
    <comment ref="AD743" authorId="0">
      <text>
        <r>
          <rPr>
            <sz val="10"/>
            <rFont val="Arial"/>
            <family val="2"/>
          </rPr>
          <t xml:space="preserve">9.6 steel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738</xdr:row>
                <xdr:rowOff>17</xdr:rowOff>
              </xdr:from>
              <xdr:to>
                <xdr:col>31</xdr:col>
                <xdr:colOff>65</xdr:colOff>
                <xdr:row>742</xdr:row>
                <xdr:rowOff>11</xdr:rowOff>
              </xdr:to>
            </anchor>
          </commentPr>
        </mc:Choice>
        <mc:Fallback/>
      </mc:AlternateContent>
    </comment>
    <comment ref="AD748" authorId="0">
      <text>
        <r>
          <rPr>
            <sz val="10"/>
            <rFont val="Arial"/>
            <family val="2"/>
          </rPr>
          <t xml:space="preserve">steel reduced to 50.4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743</xdr:row>
                <xdr:rowOff>17</xdr:rowOff>
              </xdr:from>
              <xdr:to>
                <xdr:col>31</xdr:col>
                <xdr:colOff>65</xdr:colOff>
                <xdr:row>747</xdr:row>
                <xdr:rowOff>11</xdr:rowOff>
              </xdr:to>
            </anchor>
          </commentPr>
        </mc:Choice>
        <mc:Fallback/>
      </mc:AlternateContent>
    </comment>
    <comment ref="AD799" authorId="0">
      <text>
        <r>
          <rPr>
            <sz val="10"/>
            <rFont val="Arial"/>
            <family val="2"/>
          </rPr>
          <t xml:space="preserve">steel reduced to 4.32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794</xdr:row>
                <xdr:rowOff>17</xdr:rowOff>
              </xdr:from>
              <xdr:to>
                <xdr:col>31</xdr:col>
                <xdr:colOff>65</xdr:colOff>
                <xdr:row>798</xdr:row>
                <xdr:rowOff>11</xdr:rowOff>
              </xdr:to>
            </anchor>
          </commentPr>
        </mc:Choice>
        <mc:Fallback/>
      </mc:AlternateContent>
    </comment>
    <comment ref="AD827" authorId="0">
      <text>
        <r>
          <rPr>
            <sz val="10"/>
            <rFont val="Arial"/>
            <family val="2"/>
          </rPr>
          <t xml:space="preserve">steel reduced to 10.08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822</xdr:row>
                <xdr:rowOff>17</xdr:rowOff>
              </xdr:from>
              <xdr:to>
                <xdr:col>31</xdr:col>
                <xdr:colOff>65</xdr:colOff>
                <xdr:row>826</xdr:row>
                <xdr:rowOff>11</xdr:rowOff>
              </xdr:to>
            </anchor>
          </commentPr>
        </mc:Choice>
        <mc:Fallback/>
      </mc:AlternateContent>
    </comment>
    <comment ref="AD868" authorId="0">
      <text>
        <r>
          <rPr>
            <sz val="10"/>
            <rFont val="Arial"/>
            <family val="2"/>
          </rPr>
          <t xml:space="preserve">steel reduced to 40.32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863</xdr:row>
                <xdr:rowOff>17</xdr:rowOff>
              </xdr:from>
              <xdr:to>
                <xdr:col>31</xdr:col>
                <xdr:colOff>65</xdr:colOff>
                <xdr:row>867</xdr:row>
                <xdr:rowOff>11</xdr:rowOff>
              </xdr:to>
            </anchor>
          </commentPr>
        </mc:Choice>
        <mc:Fallback/>
      </mc:AlternateContent>
    </comment>
    <comment ref="AE215" authorId="0">
      <text>
        <r>
          <rPr>
            <sz val="10"/>
            <rFont val="Arial"/>
            <family val="2"/>
          </rPr>
          <t xml:space="preserve">chromium reduced to 15.12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210</xdr:row>
                <xdr:rowOff>17</xdr:rowOff>
              </xdr:from>
              <xdr:to>
                <xdr:col>32</xdr:col>
                <xdr:colOff>41</xdr:colOff>
                <xdr:row>214</xdr:row>
                <xdr:rowOff>11</xdr:rowOff>
              </xdr:to>
            </anchor>
          </commentPr>
        </mc:Choice>
        <mc:Fallback/>
      </mc:AlternateContent>
    </comment>
    <comment ref="AE254" authorId="0">
      <text>
        <r>
          <rPr>
            <sz val="10"/>
            <rFont val="Arial"/>
            <family val="2"/>
          </rPr>
          <t xml:space="preserve">chromium reduced to 113.4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249</xdr:row>
                <xdr:rowOff>17</xdr:rowOff>
              </xdr:from>
              <xdr:to>
                <xdr:col>32</xdr:col>
                <xdr:colOff>41</xdr:colOff>
                <xdr:row>253</xdr:row>
                <xdr:rowOff>11</xdr:rowOff>
              </xdr:to>
            </anchor>
          </commentPr>
        </mc:Choice>
        <mc:Fallback/>
      </mc:AlternateContent>
    </comment>
    <comment ref="AE272" authorId="0">
      <text>
        <r>
          <rPr>
            <sz val="10"/>
            <rFont val="Arial"/>
            <family val="2"/>
          </rPr>
          <t xml:space="preserve">chromium reduced to 7.56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267</xdr:row>
                <xdr:rowOff>17</xdr:rowOff>
              </xdr:from>
              <xdr:to>
                <xdr:col>32</xdr:col>
                <xdr:colOff>41</xdr:colOff>
                <xdr:row>271</xdr:row>
                <xdr:rowOff>11</xdr:rowOff>
              </xdr:to>
            </anchor>
          </commentPr>
        </mc:Choice>
        <mc:Fallback/>
      </mc:AlternateContent>
    </comment>
    <comment ref="AE534" authorId="0">
      <text>
        <r>
          <rPr>
            <sz val="10"/>
            <rFont val="Arial"/>
            <family val="2"/>
          </rPr>
          <t xml:space="preserve">chromium reduced to 2.1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529</xdr:row>
                <xdr:rowOff>17</xdr:rowOff>
              </xdr:from>
              <xdr:to>
                <xdr:col>32</xdr:col>
                <xdr:colOff>41</xdr:colOff>
                <xdr:row>535</xdr:row>
                <xdr:rowOff>4</xdr:rowOff>
              </xdr:to>
            </anchor>
          </commentPr>
        </mc:Choice>
        <mc:Fallback/>
      </mc:AlternateContent>
    </comment>
    <comment ref="AE537" authorId="0">
      <text>
        <r>
          <rPr>
            <sz val="10"/>
            <rFont val="Arial"/>
            <family val="2"/>
          </rPr>
          <t xml:space="preserve">chromium reduced to 2.16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532</xdr:row>
                <xdr:rowOff>17</xdr:rowOff>
              </xdr:from>
              <xdr:to>
                <xdr:col>32</xdr:col>
                <xdr:colOff>41</xdr:colOff>
                <xdr:row>536</xdr:row>
                <xdr:rowOff>11</xdr:rowOff>
              </xdr:to>
            </anchor>
          </commentPr>
        </mc:Choice>
        <mc:Fallback/>
      </mc:AlternateContent>
    </comment>
    <comment ref="AE804" authorId="0">
      <text>
        <r>
          <rPr>
            <sz val="10"/>
            <rFont val="Arial"/>
            <family val="2"/>
          </rPr>
          <t xml:space="preserve">chromium reduced to 97.2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799</xdr:row>
                <xdr:rowOff>17</xdr:rowOff>
              </xdr:from>
              <xdr:to>
                <xdr:col>32</xdr:col>
                <xdr:colOff>41</xdr:colOff>
                <xdr:row>803</xdr:row>
                <xdr:rowOff>11</xdr:rowOff>
              </xdr:to>
            </anchor>
          </commentPr>
        </mc:Choice>
        <mc:Fallback/>
      </mc:AlternateContent>
    </comment>
    <comment ref="AE817" authorId="0">
      <text>
        <r>
          <rPr>
            <sz val="10"/>
            <rFont val="Arial"/>
            <family val="2"/>
          </rPr>
          <t xml:space="preserve">chromium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812</xdr:row>
                <xdr:rowOff>17</xdr:rowOff>
              </xdr:from>
              <xdr:to>
                <xdr:col>32</xdr:col>
                <xdr:colOff>41</xdr:colOff>
                <xdr:row>816</xdr:row>
                <xdr:rowOff>11</xdr:rowOff>
              </xdr:to>
            </anchor>
          </commentPr>
        </mc:Choice>
        <mc:Fallback/>
      </mc:AlternateContent>
    </comment>
    <comment ref="AE827" authorId="0">
      <text>
        <r>
          <rPr>
            <sz val="10"/>
            <rFont val="Arial"/>
            <family val="2"/>
          </rPr>
          <t xml:space="preserve">chromium reduced to 5.04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822</xdr:row>
                <xdr:rowOff>17</xdr:rowOff>
              </xdr:from>
              <xdr:to>
                <xdr:col>32</xdr:col>
                <xdr:colOff>41</xdr:colOff>
                <xdr:row>826</xdr:row>
                <xdr:rowOff>11</xdr:rowOff>
              </xdr:to>
            </anchor>
          </commentPr>
        </mc:Choice>
        <mc:Fallback/>
      </mc:AlternateContent>
    </comment>
    <comment ref="AE887" authorId="0">
      <text>
        <r>
          <rPr>
            <sz val="10"/>
            <rFont val="Arial"/>
            <family val="2"/>
          </rPr>
          <t xml:space="preserve">chromium reduced to 44.1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23</xdr:colOff>
                <xdr:row>882</xdr:row>
                <xdr:rowOff>17</xdr:rowOff>
              </xdr:from>
              <xdr:to>
                <xdr:col>32</xdr:col>
                <xdr:colOff>41</xdr:colOff>
                <xdr:row>886</xdr:row>
                <xdr:rowOff>11</xdr:rowOff>
              </xdr:to>
            </anchor>
          </commentPr>
        </mc:Choice>
        <mc:Fallback/>
      </mc:AlternateContent>
    </comment>
    <comment ref="AF41" authorId="0">
      <text>
        <r>
          <rPr>
            <sz val="10"/>
            <rFont val="Arial"/>
            <family val="2"/>
          </rPr>
          <t xml:space="preserve">resources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36</xdr:row>
                <xdr:rowOff>17</xdr:rowOff>
              </xdr:from>
              <xdr:to>
                <xdr:col>33</xdr:col>
                <xdr:colOff>31</xdr:colOff>
                <xdr:row>40</xdr:row>
                <xdr:rowOff>11</xdr:rowOff>
              </xdr:to>
            </anchor>
          </commentPr>
        </mc:Choice>
        <mc:Fallback/>
      </mc:AlternateContent>
    </comment>
    <comment ref="AF42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37</xdr:row>
                <xdr:rowOff>17</xdr:rowOff>
              </xdr:from>
              <xdr:to>
                <xdr:col>33</xdr:col>
                <xdr:colOff>31</xdr:colOff>
                <xdr:row>41</xdr:row>
                <xdr:rowOff>11</xdr:rowOff>
              </xdr:to>
            </anchor>
          </commentPr>
        </mc:Choice>
        <mc:Fallback/>
      </mc:AlternateContent>
    </comment>
    <comment ref="AF43" authorId="0">
      <text>
        <r>
          <rPr>
            <sz val="10"/>
            <rFont val="Arial"/>
            <family val="2"/>
          </rPr>
          <t xml:space="preserve">resources reduced to 2.16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38</xdr:row>
                <xdr:rowOff>17</xdr:rowOff>
              </xdr:from>
              <xdr:to>
                <xdr:col>33</xdr:col>
                <xdr:colOff>31</xdr:colOff>
                <xdr:row>42</xdr:row>
                <xdr:rowOff>11</xdr:rowOff>
              </xdr:to>
            </anchor>
          </commentPr>
        </mc:Choice>
        <mc:Fallback/>
      </mc:AlternateContent>
    </comment>
    <comment ref="AF46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41</xdr:row>
                <xdr:rowOff>17</xdr:rowOff>
              </xdr:from>
              <xdr:to>
                <xdr:col>33</xdr:col>
                <xdr:colOff>31</xdr:colOff>
                <xdr:row>45</xdr:row>
                <xdr:rowOff>11</xdr:rowOff>
              </xdr:to>
            </anchor>
          </commentPr>
        </mc:Choice>
        <mc:Fallback/>
      </mc:AlternateContent>
    </comment>
    <comment ref="AF47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42</xdr:row>
                <xdr:rowOff>17</xdr:rowOff>
              </xdr:from>
              <xdr:to>
                <xdr:col>33</xdr:col>
                <xdr:colOff>31</xdr:colOff>
                <xdr:row>46</xdr:row>
                <xdr:rowOff>11</xdr:rowOff>
              </xdr:to>
            </anchor>
          </commentPr>
        </mc:Choice>
        <mc:Fallback/>
      </mc:AlternateContent>
    </comment>
    <comment ref="AF60" authorId="0">
      <text>
        <r>
          <rPr>
            <sz val="10"/>
            <rFont val="Arial"/>
            <family val="2"/>
          </rPr>
          <t xml:space="preserve">resources reduced to 119.7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55</xdr:row>
                <xdr:rowOff>17</xdr:rowOff>
              </xdr:from>
              <xdr:to>
                <xdr:col>33</xdr:col>
                <xdr:colOff>31</xdr:colOff>
                <xdr:row>59</xdr:row>
                <xdr:rowOff>11</xdr:rowOff>
              </xdr:to>
            </anchor>
          </commentPr>
        </mc:Choice>
        <mc:Fallback/>
      </mc:AlternateContent>
    </comment>
    <comment ref="AF71" authorId="0">
      <text>
        <r>
          <rPr>
            <sz val="10"/>
            <rFont val="Arial"/>
            <family val="2"/>
          </rPr>
          <t xml:space="preserve">resources reduced to 151.2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66</xdr:row>
                <xdr:rowOff>17</xdr:rowOff>
              </xdr:from>
              <xdr:to>
                <xdr:col>33</xdr:col>
                <xdr:colOff>31</xdr:colOff>
                <xdr:row>70</xdr:row>
                <xdr:rowOff>11</xdr:rowOff>
              </xdr:to>
            </anchor>
          </commentPr>
        </mc:Choice>
        <mc:Fallback/>
      </mc:AlternateContent>
    </comment>
    <comment ref="AF203" authorId="0">
      <text>
        <r>
          <rPr>
            <sz val="10"/>
            <rFont val="Arial"/>
            <family val="2"/>
          </rPr>
          <t xml:space="preserve">resources reduced to  81.9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198</xdr:row>
                <xdr:rowOff>17</xdr:rowOff>
              </xdr:from>
              <xdr:to>
                <xdr:col>33</xdr:col>
                <xdr:colOff>31</xdr:colOff>
                <xdr:row>202</xdr:row>
                <xdr:rowOff>11</xdr:rowOff>
              </xdr:to>
            </anchor>
          </commentPr>
        </mc:Choice>
        <mc:Fallback/>
      </mc:AlternateContent>
    </comment>
    <comment ref="AF215" authorId="0">
      <text>
        <r>
          <rPr>
            <sz val="10"/>
            <rFont val="Arial"/>
            <family val="2"/>
          </rPr>
          <t xml:space="preserve">resources reduced to 15.12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210</xdr:row>
                <xdr:rowOff>17</xdr:rowOff>
              </xdr:from>
              <xdr:to>
                <xdr:col>33</xdr:col>
                <xdr:colOff>31</xdr:colOff>
                <xdr:row>214</xdr:row>
                <xdr:rowOff>11</xdr:rowOff>
              </xdr:to>
            </anchor>
          </commentPr>
        </mc:Choice>
        <mc:Fallback/>
      </mc:AlternateContent>
    </comment>
    <comment ref="AF226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221</xdr:row>
                <xdr:rowOff>17</xdr:rowOff>
              </xdr:from>
              <xdr:to>
                <xdr:col>33</xdr:col>
                <xdr:colOff>31</xdr:colOff>
                <xdr:row>225</xdr:row>
                <xdr:rowOff>11</xdr:rowOff>
              </xdr:to>
            </anchor>
          </commentPr>
        </mc:Choice>
        <mc:Fallback/>
      </mc:AlternateContent>
    </comment>
    <comment ref="AF251" authorId="0">
      <text>
        <r>
          <rPr>
            <sz val="10"/>
            <rFont val="Arial"/>
            <family val="2"/>
          </rPr>
          <t xml:space="preserve">resources reduced to 1.26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246</xdr:row>
                <xdr:rowOff>17</xdr:rowOff>
              </xdr:from>
              <xdr:to>
                <xdr:col>33</xdr:col>
                <xdr:colOff>31</xdr:colOff>
                <xdr:row>250</xdr:row>
                <xdr:rowOff>11</xdr:rowOff>
              </xdr:to>
            </anchor>
          </commentPr>
        </mc:Choice>
        <mc:Fallback/>
      </mc:AlternateContent>
    </comment>
    <comment ref="AF254" authorId="0">
      <text>
        <r>
          <rPr>
            <sz val="10"/>
            <rFont val="Arial"/>
            <family val="2"/>
          </rPr>
          <t xml:space="preserve">resources reduced to 113.4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249</xdr:row>
                <xdr:rowOff>17</xdr:rowOff>
              </xdr:from>
              <xdr:to>
                <xdr:col>33</xdr:col>
                <xdr:colOff>31</xdr:colOff>
                <xdr:row>253</xdr:row>
                <xdr:rowOff>11</xdr:rowOff>
              </xdr:to>
            </anchor>
          </commentPr>
        </mc:Choice>
        <mc:Fallback/>
      </mc:AlternateContent>
    </comment>
    <comment ref="AF264" authorId="0">
      <text>
        <r>
          <rPr>
            <sz val="10"/>
            <rFont val="Arial"/>
            <family val="2"/>
          </rPr>
          <t xml:space="preserve">resources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259</xdr:row>
                <xdr:rowOff>17</xdr:rowOff>
              </xdr:from>
              <xdr:to>
                <xdr:col>33</xdr:col>
                <xdr:colOff>31</xdr:colOff>
                <xdr:row>263</xdr:row>
                <xdr:rowOff>11</xdr:rowOff>
              </xdr:to>
            </anchor>
          </commentPr>
        </mc:Choice>
        <mc:Fallback/>
      </mc:AlternateContent>
    </comment>
    <comment ref="AF265" authorId="0">
      <text>
        <r>
          <rPr>
            <sz val="10"/>
            <rFont val="Arial"/>
            <family val="2"/>
          </rPr>
          <t xml:space="preserve">resources reduced to 69.3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260</xdr:row>
                <xdr:rowOff>17</xdr:rowOff>
              </xdr:from>
              <xdr:to>
                <xdr:col>33</xdr:col>
                <xdr:colOff>31</xdr:colOff>
                <xdr:row>264</xdr:row>
                <xdr:rowOff>11</xdr:rowOff>
              </xdr:to>
            </anchor>
          </commentPr>
        </mc:Choice>
        <mc:Fallback/>
      </mc:AlternateContent>
    </comment>
    <comment ref="AF272" authorId="0">
      <text>
        <r>
          <rPr>
            <sz val="10"/>
            <rFont val="Arial"/>
            <family val="2"/>
          </rPr>
          <t xml:space="preserve">resources reduced to 41.58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267</xdr:row>
                <xdr:rowOff>17</xdr:rowOff>
              </xdr:from>
              <xdr:to>
                <xdr:col>33</xdr:col>
                <xdr:colOff>31</xdr:colOff>
                <xdr:row>271</xdr:row>
                <xdr:rowOff>11</xdr:rowOff>
              </xdr:to>
            </anchor>
          </commentPr>
        </mc:Choice>
        <mc:Fallback/>
      </mc:AlternateContent>
    </comment>
    <comment ref="AF273" authorId="0">
      <text>
        <r>
          <rPr>
            <sz val="10"/>
            <rFont val="Arial"/>
            <family val="2"/>
          </rPr>
          <t xml:space="preserve">resources reduced to 39.06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268</xdr:row>
                <xdr:rowOff>17</xdr:rowOff>
              </xdr:from>
              <xdr:to>
                <xdr:col>33</xdr:col>
                <xdr:colOff>31</xdr:colOff>
                <xdr:row>272</xdr:row>
                <xdr:rowOff>11</xdr:rowOff>
              </xdr:to>
            </anchor>
          </commentPr>
        </mc:Choice>
        <mc:Fallback/>
      </mc:AlternateContent>
    </comment>
    <comment ref="AF336" authorId="0">
      <text>
        <r>
          <rPr>
            <sz val="10"/>
            <rFont val="Arial"/>
            <family val="2"/>
          </rPr>
          <t xml:space="preserve">resources reduced to 1.624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331</xdr:row>
                <xdr:rowOff>17</xdr:rowOff>
              </xdr:from>
              <xdr:to>
                <xdr:col>33</xdr:col>
                <xdr:colOff>31</xdr:colOff>
                <xdr:row>335</xdr:row>
                <xdr:rowOff>11</xdr:rowOff>
              </xdr:to>
            </anchor>
          </commentPr>
        </mc:Choice>
        <mc:Fallback/>
      </mc:AlternateContent>
    </comment>
    <comment ref="AF348" authorId="0">
      <text>
        <r>
          <rPr>
            <sz val="10"/>
            <rFont val="Arial"/>
            <family val="2"/>
          </rPr>
          <t xml:space="preserve">resources reduced to 0.812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343</xdr:row>
                <xdr:rowOff>17</xdr:rowOff>
              </xdr:from>
              <xdr:to>
                <xdr:col>33</xdr:col>
                <xdr:colOff>31</xdr:colOff>
                <xdr:row>347</xdr:row>
                <xdr:rowOff>11</xdr:rowOff>
              </xdr:to>
            </anchor>
          </commentPr>
        </mc:Choice>
        <mc:Fallback/>
      </mc:AlternateContent>
    </comment>
    <comment ref="AF369" authorId="0">
      <text>
        <r>
          <rPr>
            <sz val="10"/>
            <rFont val="Arial"/>
            <family val="2"/>
          </rPr>
          <t xml:space="preserve">resources reduced to 30.712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364</xdr:row>
                <xdr:rowOff>17</xdr:rowOff>
              </xdr:from>
              <xdr:to>
                <xdr:col>33</xdr:col>
                <xdr:colOff>31</xdr:colOff>
                <xdr:row>368</xdr:row>
                <xdr:rowOff>11</xdr:rowOff>
              </xdr:to>
            </anchor>
          </commentPr>
        </mc:Choice>
        <mc:Fallback/>
      </mc:AlternateContent>
    </comment>
    <comment ref="AF430" authorId="0">
      <text>
        <r>
          <rPr>
            <sz val="10"/>
            <rFont val="Arial"/>
            <family val="2"/>
          </rPr>
          <t xml:space="preserve">resources reduced to  44.1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425</xdr:row>
                <xdr:rowOff>17</xdr:rowOff>
              </xdr:from>
              <xdr:to>
                <xdr:col>33</xdr:col>
                <xdr:colOff>31</xdr:colOff>
                <xdr:row>429</xdr:row>
                <xdr:rowOff>11</xdr:rowOff>
              </xdr:to>
            </anchor>
          </commentPr>
        </mc:Choice>
        <mc:Fallback/>
      </mc:AlternateContent>
    </comment>
    <comment ref="AF433" authorId="0">
      <text>
        <r>
          <rPr>
            <sz val="10"/>
            <rFont val="Arial"/>
            <family val="2"/>
          </rPr>
          <t xml:space="preserve">resources  reduced to 75.6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428</xdr:row>
                <xdr:rowOff>17</xdr:rowOff>
              </xdr:from>
              <xdr:to>
                <xdr:col>33</xdr:col>
                <xdr:colOff>31</xdr:colOff>
                <xdr:row>432</xdr:row>
                <xdr:rowOff>11</xdr:rowOff>
              </xdr:to>
            </anchor>
          </commentPr>
        </mc:Choice>
        <mc:Fallback/>
      </mc:AlternateContent>
    </comment>
    <comment ref="AF494" authorId="0">
      <text>
        <r>
          <rPr>
            <sz val="10"/>
            <rFont val="Arial"/>
            <family val="2"/>
          </rPr>
          <t xml:space="preserve">resources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489</xdr:row>
                <xdr:rowOff>17</xdr:rowOff>
              </xdr:from>
              <xdr:to>
                <xdr:col>33</xdr:col>
                <xdr:colOff>31</xdr:colOff>
                <xdr:row>493</xdr:row>
                <xdr:rowOff>11</xdr:rowOff>
              </xdr:to>
            </anchor>
          </commentPr>
        </mc:Choice>
        <mc:Fallback/>
      </mc:AlternateContent>
    </comment>
    <comment ref="AF499" authorId="0">
      <text>
        <r>
          <rPr>
            <sz val="10"/>
            <rFont val="Arial"/>
            <family val="2"/>
          </rPr>
          <t xml:space="preserve">resources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494</xdr:row>
                <xdr:rowOff>17</xdr:rowOff>
              </xdr:from>
              <xdr:to>
                <xdr:col>33</xdr:col>
                <xdr:colOff>31</xdr:colOff>
                <xdr:row>498</xdr:row>
                <xdr:rowOff>11</xdr:rowOff>
              </xdr:to>
            </anchor>
          </commentPr>
        </mc:Choice>
        <mc:Fallback/>
      </mc:AlternateContent>
    </comment>
    <comment ref="AF523" authorId="0">
      <text>
        <r>
          <rPr>
            <sz val="10"/>
            <rFont val="Arial"/>
            <family val="2"/>
          </rPr>
          <t xml:space="preserve">resources reduced to 4.32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518</xdr:row>
                <xdr:rowOff>17</xdr:rowOff>
              </xdr:from>
              <xdr:to>
                <xdr:col>33</xdr:col>
                <xdr:colOff>31</xdr:colOff>
                <xdr:row>522</xdr:row>
                <xdr:rowOff>11</xdr:rowOff>
              </xdr:to>
            </anchor>
          </commentPr>
        </mc:Choice>
        <mc:Fallback/>
      </mc:AlternateContent>
    </comment>
    <comment ref="AF524" authorId="0">
      <text>
        <r>
          <rPr>
            <sz val="10"/>
            <rFont val="Arial"/>
            <family val="2"/>
          </rPr>
          <t xml:space="preserve">resources reduced to 2.88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519</xdr:row>
                <xdr:rowOff>17</xdr:rowOff>
              </xdr:from>
              <xdr:to>
                <xdr:col>33</xdr:col>
                <xdr:colOff>31</xdr:colOff>
                <xdr:row>523</xdr:row>
                <xdr:rowOff>11</xdr:rowOff>
              </xdr:to>
            </anchor>
          </commentPr>
        </mc:Choice>
        <mc:Fallback/>
      </mc:AlternateContent>
    </comment>
    <comment ref="AF534" authorId="0">
      <text>
        <r>
          <rPr>
            <sz val="10"/>
            <rFont val="Arial"/>
            <family val="2"/>
          </rPr>
          <t xml:space="preserve">resources reduced to 2.1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529</xdr:row>
                <xdr:rowOff>17</xdr:rowOff>
              </xdr:from>
              <xdr:to>
                <xdr:col>33</xdr:col>
                <xdr:colOff>31</xdr:colOff>
                <xdr:row>535</xdr:row>
                <xdr:rowOff>4</xdr:rowOff>
              </xdr:to>
            </anchor>
          </commentPr>
        </mc:Choice>
        <mc:Fallback/>
      </mc:AlternateContent>
    </comment>
    <comment ref="AF537" authorId="0">
      <text>
        <r>
          <rPr>
            <sz val="10"/>
            <rFont val="Arial"/>
            <family val="2"/>
          </rPr>
          <t xml:space="preserve">resources reduced to 4.32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532</xdr:row>
                <xdr:rowOff>17</xdr:rowOff>
              </xdr:from>
              <xdr:to>
                <xdr:col>33</xdr:col>
                <xdr:colOff>31</xdr:colOff>
                <xdr:row>536</xdr:row>
                <xdr:rowOff>11</xdr:rowOff>
              </xdr:to>
            </anchor>
          </commentPr>
        </mc:Choice>
        <mc:Fallback/>
      </mc:AlternateContent>
    </comment>
    <comment ref="AF539" authorId="0">
      <text>
        <r>
          <rPr>
            <sz val="10"/>
            <rFont val="Arial"/>
            <family val="2"/>
          </rPr>
          <t xml:space="preserve">resources reduced to 9.36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534</xdr:row>
                <xdr:rowOff>17</xdr:rowOff>
              </xdr:from>
              <xdr:to>
                <xdr:col>33</xdr:col>
                <xdr:colOff>31</xdr:colOff>
                <xdr:row>538</xdr:row>
                <xdr:rowOff>11</xdr:rowOff>
              </xdr:to>
            </anchor>
          </commentPr>
        </mc:Choice>
        <mc:Fallback/>
      </mc:AlternateContent>
    </comment>
    <comment ref="AF542" authorId="0">
      <text>
        <r>
          <rPr>
            <sz val="10"/>
            <rFont val="Arial"/>
            <family val="2"/>
          </rPr>
          <t xml:space="preserve">resources reduced to 7.20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537</xdr:row>
                <xdr:rowOff>17</xdr:rowOff>
              </xdr:from>
              <xdr:to>
                <xdr:col>33</xdr:col>
                <xdr:colOff>31</xdr:colOff>
                <xdr:row>541</xdr:row>
                <xdr:rowOff>11</xdr:rowOff>
              </xdr:to>
            </anchor>
          </commentPr>
        </mc:Choice>
        <mc:Fallback/>
      </mc:AlternateContent>
    </comment>
    <comment ref="AF549" authorId="0">
      <text>
        <r>
          <rPr>
            <sz val="10"/>
            <rFont val="Arial"/>
            <family val="2"/>
          </rPr>
          <t xml:space="preserve">resources reduced to 2.4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544</xdr:row>
                <xdr:rowOff>17</xdr:rowOff>
              </xdr:from>
              <xdr:to>
                <xdr:col>33</xdr:col>
                <xdr:colOff>31</xdr:colOff>
                <xdr:row>550</xdr:row>
                <xdr:rowOff>4</xdr:rowOff>
              </xdr:to>
            </anchor>
          </commentPr>
        </mc:Choice>
        <mc:Fallback/>
      </mc:AlternateContent>
    </comment>
    <comment ref="AF743" authorId="0">
      <text>
        <r>
          <rPr>
            <sz val="10"/>
            <rFont val="Arial"/>
            <family val="2"/>
          </rPr>
          <t xml:space="preserve">9.6 resources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738</xdr:row>
                <xdr:rowOff>17</xdr:rowOff>
              </xdr:from>
              <xdr:to>
                <xdr:col>33</xdr:col>
                <xdr:colOff>31</xdr:colOff>
                <xdr:row>742</xdr:row>
                <xdr:rowOff>11</xdr:rowOff>
              </xdr:to>
            </anchor>
          </commentPr>
        </mc:Choice>
        <mc:Fallback/>
      </mc:AlternateContent>
    </comment>
    <comment ref="AF748" authorId="0">
      <text>
        <r>
          <rPr>
            <sz val="10"/>
            <rFont val="Arial"/>
            <family val="2"/>
          </rPr>
          <t xml:space="preserve">resources reduced to 50.4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743</xdr:row>
                <xdr:rowOff>17</xdr:rowOff>
              </xdr:from>
              <xdr:to>
                <xdr:col>33</xdr:col>
                <xdr:colOff>31</xdr:colOff>
                <xdr:row>747</xdr:row>
                <xdr:rowOff>11</xdr:rowOff>
              </xdr:to>
            </anchor>
          </commentPr>
        </mc:Choice>
        <mc:Fallback/>
      </mc:AlternateContent>
    </comment>
    <comment ref="AF797" authorId="0">
      <text>
        <r>
          <rPr>
            <sz val="10"/>
            <rFont val="Arial"/>
            <family val="2"/>
          </rPr>
          <t xml:space="preserve">resources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792</xdr:row>
                <xdr:rowOff>17</xdr:rowOff>
              </xdr:from>
              <xdr:to>
                <xdr:col>33</xdr:col>
                <xdr:colOff>31</xdr:colOff>
                <xdr:row>796</xdr:row>
                <xdr:rowOff>11</xdr:rowOff>
              </xdr:to>
            </anchor>
          </commentPr>
        </mc:Choice>
        <mc:Fallback/>
      </mc:AlternateContent>
    </comment>
    <comment ref="AF799" authorId="0">
      <text>
        <r>
          <rPr>
            <sz val="10"/>
            <rFont val="Arial"/>
            <family val="2"/>
          </rPr>
          <t xml:space="preserve">resources reduced to 10.08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794</xdr:row>
                <xdr:rowOff>17</xdr:rowOff>
              </xdr:from>
              <xdr:to>
                <xdr:col>33</xdr:col>
                <xdr:colOff>31</xdr:colOff>
                <xdr:row>798</xdr:row>
                <xdr:rowOff>11</xdr:rowOff>
              </xdr:to>
            </anchor>
          </commentPr>
        </mc:Choice>
        <mc:Fallback/>
      </mc:AlternateContent>
    </comment>
    <comment ref="AF804" authorId="0">
      <text>
        <r>
          <rPr>
            <sz val="10"/>
            <rFont val="Arial"/>
            <family val="2"/>
          </rPr>
          <t xml:space="preserve">resources reduced to 97.2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799</xdr:row>
                <xdr:rowOff>17</xdr:rowOff>
              </xdr:from>
              <xdr:to>
                <xdr:col>33</xdr:col>
                <xdr:colOff>31</xdr:colOff>
                <xdr:row>803</xdr:row>
                <xdr:rowOff>11</xdr:rowOff>
              </xdr:to>
            </anchor>
          </commentPr>
        </mc:Choice>
        <mc:Fallback/>
      </mc:AlternateContent>
    </comment>
    <comment ref="AF809" authorId="0">
      <text>
        <r>
          <rPr>
            <sz val="10"/>
            <rFont val="Arial"/>
            <family val="2"/>
          </rPr>
          <t xml:space="preserve">resources reduced to 69.12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804</xdr:row>
                <xdr:rowOff>17</xdr:rowOff>
              </xdr:from>
              <xdr:to>
                <xdr:col>33</xdr:col>
                <xdr:colOff>31</xdr:colOff>
                <xdr:row>808</xdr:row>
                <xdr:rowOff>11</xdr:rowOff>
              </xdr:to>
            </anchor>
          </commentPr>
        </mc:Choice>
        <mc:Fallback/>
      </mc:AlternateContent>
    </comment>
    <comment ref="AF813" authorId="0">
      <text>
        <r>
          <rPr>
            <sz val="10"/>
            <rFont val="Arial"/>
            <family val="2"/>
          </rPr>
          <t xml:space="preserve">resources reduced to 75.6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808</xdr:row>
                <xdr:rowOff>17</xdr:rowOff>
              </xdr:from>
              <xdr:to>
                <xdr:col>33</xdr:col>
                <xdr:colOff>31</xdr:colOff>
                <xdr:row>812</xdr:row>
                <xdr:rowOff>11</xdr:rowOff>
              </xdr:to>
            </anchor>
          </commentPr>
        </mc:Choice>
        <mc:Fallback/>
      </mc:AlternateContent>
    </comment>
    <comment ref="AF817" authorId="0">
      <text>
        <r>
          <rPr>
            <sz val="10"/>
            <rFont val="Arial"/>
            <family val="2"/>
          </rPr>
          <t xml:space="preserve">resources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812</xdr:row>
                <xdr:rowOff>17</xdr:rowOff>
              </xdr:from>
              <xdr:to>
                <xdr:col>33</xdr:col>
                <xdr:colOff>31</xdr:colOff>
                <xdr:row>816</xdr:row>
                <xdr:rowOff>11</xdr:rowOff>
              </xdr:to>
            </anchor>
          </commentPr>
        </mc:Choice>
        <mc:Fallback/>
      </mc:AlternateContent>
    </comment>
    <comment ref="AF827" authorId="0">
      <text>
        <r>
          <rPr>
            <sz val="10"/>
            <rFont val="Arial"/>
            <family val="2"/>
          </rPr>
          <t xml:space="preserve">resources reduced to 25.2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822</xdr:row>
                <xdr:rowOff>17</xdr:rowOff>
              </xdr:from>
              <xdr:to>
                <xdr:col>33</xdr:col>
                <xdr:colOff>31</xdr:colOff>
                <xdr:row>826</xdr:row>
                <xdr:rowOff>11</xdr:rowOff>
              </xdr:to>
            </anchor>
          </commentPr>
        </mc:Choice>
        <mc:Fallback/>
      </mc:AlternateContent>
    </comment>
    <comment ref="AF841" authorId="0">
      <text>
        <r>
          <rPr>
            <sz val="10"/>
            <rFont val="Arial"/>
            <family val="2"/>
          </rPr>
          <t xml:space="preserve">resources reduced to 2.52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836</xdr:row>
                <xdr:rowOff>17</xdr:rowOff>
              </xdr:from>
              <xdr:to>
                <xdr:col>33</xdr:col>
                <xdr:colOff>31</xdr:colOff>
                <xdr:row>840</xdr:row>
                <xdr:rowOff>11</xdr:rowOff>
              </xdr:to>
            </anchor>
          </commentPr>
        </mc:Choice>
        <mc:Fallback/>
      </mc:AlternateContent>
    </comment>
    <comment ref="AF868" authorId="0">
      <text>
        <r>
          <rPr>
            <sz val="10"/>
            <rFont val="Arial"/>
            <family val="2"/>
          </rPr>
          <t xml:space="preserve">resources reduced to 40.32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863</xdr:row>
                <xdr:rowOff>17</xdr:rowOff>
              </xdr:from>
              <xdr:to>
                <xdr:col>33</xdr:col>
                <xdr:colOff>31</xdr:colOff>
                <xdr:row>867</xdr:row>
                <xdr:rowOff>11</xdr:rowOff>
              </xdr:to>
            </anchor>
          </commentPr>
        </mc:Choice>
        <mc:Fallback/>
      </mc:AlternateContent>
    </comment>
    <comment ref="AF878" authorId="0">
      <text>
        <r>
          <rPr>
            <sz val="10"/>
            <rFont val="Arial"/>
            <family val="2"/>
          </rPr>
          <t xml:space="preserve">resources reduced to 2.52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873</xdr:row>
                <xdr:rowOff>17</xdr:rowOff>
              </xdr:from>
              <xdr:to>
                <xdr:col>33</xdr:col>
                <xdr:colOff>31</xdr:colOff>
                <xdr:row>877</xdr:row>
                <xdr:rowOff>11</xdr:rowOff>
              </xdr:to>
            </anchor>
          </commentPr>
        </mc:Choice>
        <mc:Fallback/>
      </mc:AlternateContent>
    </comment>
    <comment ref="AF879" authorId="0">
      <text>
        <r>
          <rPr>
            <sz val="10"/>
            <rFont val="Arial"/>
            <family val="2"/>
          </rPr>
          <t xml:space="preserve">resources reduced to  15.12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874</xdr:row>
                <xdr:rowOff>17</xdr:rowOff>
              </xdr:from>
              <xdr:to>
                <xdr:col>33</xdr:col>
                <xdr:colOff>31</xdr:colOff>
                <xdr:row>878</xdr:row>
                <xdr:rowOff>11</xdr:rowOff>
              </xdr:to>
            </anchor>
          </commentPr>
        </mc:Choice>
        <mc:Fallback/>
      </mc:AlternateContent>
    </comment>
    <comment ref="AF880" authorId="0">
      <text>
        <r>
          <rPr>
            <sz val="10"/>
            <rFont val="Arial"/>
            <family val="2"/>
          </rPr>
          <t xml:space="preserve">resources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875</xdr:row>
                <xdr:rowOff>17</xdr:rowOff>
              </xdr:from>
              <xdr:to>
                <xdr:col>33</xdr:col>
                <xdr:colOff>31</xdr:colOff>
                <xdr:row>879</xdr:row>
                <xdr:rowOff>11</xdr:rowOff>
              </xdr:to>
            </anchor>
          </commentPr>
        </mc:Choice>
        <mc:Fallback/>
      </mc:AlternateContent>
    </comment>
    <comment ref="AF887" authorId="0">
      <text>
        <r>
          <rPr>
            <sz val="10"/>
            <rFont val="Arial"/>
            <family val="2"/>
          </rPr>
          <t xml:space="preserve">resources reduced to 54.18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23</xdr:colOff>
                <xdr:row>882</xdr:row>
                <xdr:rowOff>17</xdr:rowOff>
              </xdr:from>
              <xdr:to>
                <xdr:col>33</xdr:col>
                <xdr:colOff>31</xdr:colOff>
                <xdr:row>886</xdr:row>
                <xdr:rowOff>11</xdr:rowOff>
              </xdr:to>
            </anchor>
          </commentPr>
        </mc:Choice>
        <mc:Fallback/>
      </mc:AlternateContent>
    </comment>
    <comment ref="AH4" authorId="0">
      <text>
        <r>
          <rPr>
            <sz val="10"/>
            <rFont val="Arial"/>
            <family val="2"/>
          </rPr>
          <t xml:space="preserve">ITA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0</xdr:row>
                <xdr:rowOff>37</xdr:rowOff>
              </xdr:from>
              <xdr:to>
                <xdr:col>35</xdr:col>
                <xdr:colOff>37</xdr:colOff>
                <xdr:row>4</xdr:row>
                <xdr:rowOff>9</xdr:rowOff>
              </xdr:to>
            </anchor>
          </commentPr>
        </mc:Choice>
        <mc:Fallback/>
      </mc:AlternateContent>
    </comment>
    <comment ref="AH3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316</xdr:row>
                <xdr:rowOff>17</xdr:rowOff>
              </xdr:from>
              <xdr:to>
                <xdr:col>35</xdr:col>
                <xdr:colOff>37</xdr:colOff>
                <xdr:row>320</xdr:row>
                <xdr:rowOff>11</xdr:rowOff>
              </xdr:to>
            </anchor>
          </commentPr>
        </mc:Choice>
        <mc:Fallback/>
      </mc:AlternateContent>
    </comment>
    <comment ref="AH322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317</xdr:row>
                <xdr:rowOff>17</xdr:rowOff>
              </xdr:from>
              <xdr:to>
                <xdr:col>35</xdr:col>
                <xdr:colOff>37</xdr:colOff>
                <xdr:row>321</xdr:row>
                <xdr:rowOff>11</xdr:rowOff>
              </xdr:to>
            </anchor>
          </commentPr>
        </mc:Choice>
        <mc:Fallback/>
      </mc:AlternateContent>
    </comment>
    <comment ref="AH413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408</xdr:row>
                <xdr:rowOff>17</xdr:rowOff>
              </xdr:from>
              <xdr:to>
                <xdr:col>35</xdr:col>
                <xdr:colOff>37</xdr:colOff>
                <xdr:row>412</xdr:row>
                <xdr:rowOff>11</xdr:rowOff>
              </xdr:to>
            </anchor>
          </commentPr>
        </mc:Choice>
        <mc:Fallback/>
      </mc:AlternateContent>
    </comment>
    <comment ref="AH418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413</xdr:row>
                <xdr:rowOff>17</xdr:rowOff>
              </xdr:from>
              <xdr:to>
                <xdr:col>35</xdr:col>
                <xdr:colOff>37</xdr:colOff>
                <xdr:row>417</xdr:row>
                <xdr:rowOff>11</xdr:rowOff>
              </xdr:to>
            </anchor>
          </commentPr>
        </mc:Choice>
        <mc:Fallback/>
      </mc:AlternateContent>
    </comment>
    <comment ref="AH420" authorId="0">
      <text>
        <r>
          <rPr>
            <sz val="10"/>
            <rFont val="Arial"/>
            <family val="2"/>
          </rPr>
          <t xml:space="preserve">USA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415</xdr:row>
                <xdr:rowOff>17</xdr:rowOff>
              </xdr:from>
              <xdr:to>
                <xdr:col>35</xdr:col>
                <xdr:colOff>37</xdr:colOff>
                <xdr:row>419</xdr:row>
                <xdr:rowOff>11</xdr:rowOff>
              </xdr:to>
            </anchor>
          </commentPr>
        </mc:Choice>
        <mc:Fallback/>
      </mc:AlternateContent>
    </comment>
    <comment ref="AH421" authorId="0">
      <text>
        <r>
          <rPr>
            <sz val="10"/>
            <rFont val="Arial"/>
            <family val="2"/>
          </rPr>
          <t xml:space="preserve">ENG oil rights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416</xdr:row>
                <xdr:rowOff>17</xdr:rowOff>
              </xdr:from>
              <xdr:to>
                <xdr:col>35</xdr:col>
                <xdr:colOff>37</xdr:colOff>
                <xdr:row>420</xdr:row>
                <xdr:rowOff>11</xdr:rowOff>
              </xdr:to>
            </anchor>
          </commentPr>
        </mc:Choice>
        <mc:Fallback/>
      </mc:AlternateContent>
    </comment>
    <comment ref="AH430" authorId="0">
      <text>
        <r>
          <rPr>
            <sz val="10"/>
            <rFont val="Arial"/>
            <family val="2"/>
          </rPr>
          <t xml:space="preserve">oil reduced to 52.92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425</xdr:row>
                <xdr:rowOff>17</xdr:rowOff>
              </xdr:from>
              <xdr:to>
                <xdr:col>35</xdr:col>
                <xdr:colOff>37</xdr:colOff>
                <xdr:row>429</xdr:row>
                <xdr:rowOff>11</xdr:rowOff>
              </xdr:to>
            </anchor>
          </commentPr>
        </mc:Choice>
        <mc:Fallback/>
      </mc:AlternateContent>
    </comment>
    <comment ref="AH797" authorId="0">
      <text>
        <r>
          <rPr>
            <sz val="10"/>
            <rFont val="Arial"/>
            <family val="2"/>
          </rPr>
          <t xml:space="preserve">oil reduced to 6.48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792</xdr:row>
                <xdr:rowOff>17</xdr:rowOff>
              </xdr:from>
              <xdr:to>
                <xdr:col>35</xdr:col>
                <xdr:colOff>37</xdr:colOff>
                <xdr:row>796</xdr:row>
                <xdr:rowOff>11</xdr:rowOff>
              </xdr:to>
            </anchor>
          </commentPr>
        </mc:Choice>
        <mc:Fallback/>
      </mc:AlternateContent>
    </comment>
    <comment ref="AH799" authorId="0">
      <text>
        <r>
          <rPr>
            <sz val="10"/>
            <rFont val="Arial"/>
            <family val="2"/>
          </rPr>
          <t xml:space="preserve">oil reduced to 1.728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794</xdr:row>
                <xdr:rowOff>17</xdr:rowOff>
              </xdr:from>
              <xdr:to>
                <xdr:col>35</xdr:col>
                <xdr:colOff>37</xdr:colOff>
                <xdr:row>798</xdr:row>
                <xdr:rowOff>11</xdr:rowOff>
              </xdr:to>
            </anchor>
          </commentPr>
        </mc:Choice>
        <mc:Fallback/>
      </mc:AlternateContent>
    </comment>
    <comment ref="AH879" authorId="0">
      <text>
        <r>
          <rPr>
            <sz val="10"/>
            <rFont val="Arial"/>
            <family val="2"/>
          </rPr>
          <t xml:space="preserve">oil reduced to 18.144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23</xdr:colOff>
                <xdr:row>874</xdr:row>
                <xdr:rowOff>17</xdr:rowOff>
              </xdr:from>
              <xdr:to>
                <xdr:col>35</xdr:col>
                <xdr:colOff>37</xdr:colOff>
                <xdr:row>878</xdr:row>
                <xdr:rowOff>11</xdr:rowOff>
              </xdr:to>
            </anchor>
          </commentPr>
        </mc:Choice>
        <mc:Fallback/>
      </mc:AlternateContent>
    </comment>
    <comment ref="AI433" authorId="0">
      <text>
        <r>
          <rPr>
            <sz val="10"/>
            <rFont val="Arial"/>
            <family val="2"/>
          </rPr>
          <t xml:space="preserve">aluminum  reduced to 90.72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23</xdr:colOff>
                <xdr:row>428</xdr:row>
                <xdr:rowOff>17</xdr:rowOff>
              </xdr:from>
              <xdr:to>
                <xdr:col>36</xdr:col>
                <xdr:colOff>47</xdr:colOff>
                <xdr:row>432</xdr:row>
                <xdr:rowOff>11</xdr:rowOff>
              </xdr:to>
            </anchor>
          </commentPr>
        </mc:Choice>
        <mc:Fallback/>
      </mc:AlternateContent>
    </comment>
    <comment ref="AI523" authorId="0">
      <text>
        <r>
          <rPr>
            <sz val="10"/>
            <rFont val="Arial"/>
            <family val="2"/>
          </rPr>
          <t xml:space="preserve">aluminum reduced to 5.184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23</xdr:colOff>
                <xdr:row>518</xdr:row>
                <xdr:rowOff>17</xdr:rowOff>
              </xdr:from>
              <xdr:to>
                <xdr:col>36</xdr:col>
                <xdr:colOff>47</xdr:colOff>
                <xdr:row>522</xdr:row>
                <xdr:rowOff>11</xdr:rowOff>
              </xdr:to>
            </anchor>
          </commentPr>
        </mc:Choice>
        <mc:Fallback/>
      </mc:AlternateContent>
    </comment>
    <comment ref="AI524" authorId="0">
      <text>
        <r>
          <rPr>
            <sz val="10"/>
            <rFont val="Arial"/>
            <family val="2"/>
          </rPr>
          <t xml:space="preserve">aluminum reduced to 3.456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23</xdr:colOff>
                <xdr:row>519</xdr:row>
                <xdr:rowOff>17</xdr:rowOff>
              </xdr:from>
              <xdr:to>
                <xdr:col>36</xdr:col>
                <xdr:colOff>47</xdr:colOff>
                <xdr:row>523</xdr:row>
                <xdr:rowOff>11</xdr:rowOff>
              </xdr:to>
            </anchor>
          </commentPr>
        </mc:Choice>
        <mc:Fallback/>
      </mc:AlternateContent>
    </comment>
    <comment ref="AI537" authorId="0">
      <text>
        <r>
          <rPr>
            <sz val="10"/>
            <rFont val="Arial"/>
            <family val="2"/>
          </rPr>
          <t xml:space="preserve">aluminum reduced to 2.16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23</xdr:colOff>
                <xdr:row>532</xdr:row>
                <xdr:rowOff>17</xdr:rowOff>
              </xdr:from>
              <xdr:to>
                <xdr:col>36</xdr:col>
                <xdr:colOff>47</xdr:colOff>
                <xdr:row>536</xdr:row>
                <xdr:rowOff>11</xdr:rowOff>
              </xdr:to>
            </anchor>
          </commentPr>
        </mc:Choice>
        <mc:Fallback/>
      </mc:AlternateContent>
    </comment>
    <comment ref="AI809" authorId="0">
      <text>
        <r>
          <rPr>
            <sz val="10"/>
            <rFont val="Arial"/>
            <family val="2"/>
          </rPr>
          <t xml:space="preserve">aluminum reduced to 82.944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23</xdr:colOff>
                <xdr:row>804</xdr:row>
                <xdr:rowOff>17</xdr:rowOff>
              </xdr:from>
              <xdr:to>
                <xdr:col>36</xdr:col>
                <xdr:colOff>47</xdr:colOff>
                <xdr:row>808</xdr:row>
                <xdr:rowOff>11</xdr:rowOff>
              </xdr:to>
            </anchor>
          </commentPr>
        </mc:Choice>
        <mc:Fallback/>
      </mc:AlternateContent>
    </comment>
    <comment ref="AJ41" authorId="0">
      <text>
        <r>
          <rPr>
            <sz val="10"/>
            <rFont val="Arial"/>
            <family val="2"/>
          </rPr>
          <t xml:space="preserve">rubber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36</xdr:row>
                <xdr:rowOff>17</xdr:rowOff>
              </xdr:from>
              <xdr:to>
                <xdr:col>37</xdr:col>
                <xdr:colOff>39</xdr:colOff>
                <xdr:row>40</xdr:row>
                <xdr:rowOff>11</xdr:rowOff>
              </xdr:to>
            </anchor>
          </commentPr>
        </mc:Choice>
        <mc:Fallback/>
      </mc:AlternateContent>
    </comment>
    <comment ref="AJ42" authorId="0">
      <text>
        <r>
          <rPr>
            <sz val="10"/>
            <rFont val="Arial"/>
            <family val="2"/>
          </rPr>
          <t xml:space="preserve">rubber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37</xdr:row>
                <xdr:rowOff>17</xdr:rowOff>
              </xdr:from>
              <xdr:to>
                <xdr:col>37</xdr:col>
                <xdr:colOff>39</xdr:colOff>
                <xdr:row>41</xdr:row>
                <xdr:rowOff>11</xdr:rowOff>
              </xdr:to>
            </anchor>
          </commentPr>
        </mc:Choice>
        <mc:Fallback/>
      </mc:AlternateContent>
    </comment>
    <comment ref="AJ47" authorId="0">
      <text>
        <r>
          <rPr>
            <sz val="10"/>
            <rFont val="Arial"/>
            <family val="2"/>
          </rPr>
          <t xml:space="preserve">rubber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42</xdr:row>
                <xdr:rowOff>17</xdr:rowOff>
              </xdr:from>
              <xdr:to>
                <xdr:col>37</xdr:col>
                <xdr:colOff>39</xdr:colOff>
                <xdr:row>46</xdr:row>
                <xdr:rowOff>11</xdr:rowOff>
              </xdr:to>
            </anchor>
          </commentPr>
        </mc:Choice>
        <mc:Fallback/>
      </mc:AlternateContent>
    </comment>
    <comment ref="AJ60" authorId="0">
      <text>
        <r>
          <rPr>
            <sz val="10"/>
            <rFont val="Arial"/>
            <family val="2"/>
          </rPr>
          <t xml:space="preserve">rubber reduced to 4.536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55</xdr:row>
                <xdr:rowOff>17</xdr:rowOff>
              </xdr:from>
              <xdr:to>
                <xdr:col>37</xdr:col>
                <xdr:colOff>39</xdr:colOff>
                <xdr:row>59</xdr:row>
                <xdr:rowOff>11</xdr:rowOff>
              </xdr:to>
            </anchor>
          </commentPr>
        </mc:Choice>
        <mc:Fallback/>
      </mc:AlternateContent>
    </comment>
    <comment ref="AJ226" authorId="0">
      <text>
        <r>
          <rPr>
            <sz val="10"/>
            <rFont val="Arial"/>
            <family val="2"/>
          </rPr>
          <t xml:space="preserve">resources reduced to 18.144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221</xdr:row>
                <xdr:rowOff>17</xdr:rowOff>
              </xdr:from>
              <xdr:to>
                <xdr:col>37</xdr:col>
                <xdr:colOff>39</xdr:colOff>
                <xdr:row>225</xdr:row>
                <xdr:rowOff>11</xdr:rowOff>
              </xdr:to>
            </anchor>
          </commentPr>
        </mc:Choice>
        <mc:Fallback/>
      </mc:AlternateContent>
    </comment>
    <comment ref="AJ251" authorId="0">
      <text>
        <r>
          <rPr>
            <sz val="10"/>
            <rFont val="Arial"/>
            <family val="2"/>
          </rPr>
          <t xml:space="preserve">rubber reduced to 1.512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246</xdr:row>
                <xdr:rowOff>17</xdr:rowOff>
              </xdr:from>
              <xdr:to>
                <xdr:col>37</xdr:col>
                <xdr:colOff>39</xdr:colOff>
                <xdr:row>250</xdr:row>
                <xdr:rowOff>11</xdr:rowOff>
              </xdr:to>
            </anchor>
          </commentPr>
        </mc:Choice>
        <mc:Fallback/>
      </mc:AlternateContent>
    </comment>
    <comment ref="AJ265" authorId="0">
      <text>
        <r>
          <rPr>
            <sz val="10"/>
            <rFont val="Arial"/>
            <family val="2"/>
          </rPr>
          <t xml:space="preserve">rubber reduced to 83.16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260</xdr:row>
                <xdr:rowOff>17</xdr:rowOff>
              </xdr:from>
              <xdr:to>
                <xdr:col>37</xdr:col>
                <xdr:colOff>39</xdr:colOff>
                <xdr:row>264</xdr:row>
                <xdr:rowOff>11</xdr:rowOff>
              </xdr:to>
            </anchor>
          </commentPr>
        </mc:Choice>
        <mc:Fallback/>
      </mc:AlternateContent>
    </comment>
    <comment ref="AJ494" authorId="0">
      <text>
        <r>
          <rPr>
            <sz val="10"/>
            <rFont val="Arial"/>
            <family val="2"/>
          </rPr>
          <t xml:space="preserve">rubber reduced to 1.296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489</xdr:row>
                <xdr:rowOff>17</xdr:rowOff>
              </xdr:from>
              <xdr:to>
                <xdr:col>37</xdr:col>
                <xdr:colOff>39</xdr:colOff>
                <xdr:row>493</xdr:row>
                <xdr:rowOff>11</xdr:rowOff>
              </xdr:to>
            </anchor>
          </commentPr>
        </mc:Choice>
        <mc:Fallback/>
      </mc:AlternateContent>
    </comment>
    <comment ref="AJ499" authorId="0">
      <text>
        <r>
          <rPr>
            <sz val="10"/>
            <rFont val="Arial"/>
            <family val="2"/>
          </rPr>
          <t xml:space="preserve">rubber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494</xdr:row>
                <xdr:rowOff>17</xdr:rowOff>
              </xdr:from>
              <xdr:to>
                <xdr:col>37</xdr:col>
                <xdr:colOff>39</xdr:colOff>
                <xdr:row>498</xdr:row>
                <xdr:rowOff>11</xdr:rowOff>
              </xdr:to>
            </anchor>
          </commentPr>
        </mc:Choice>
        <mc:Fallback/>
      </mc:AlternateContent>
    </comment>
    <comment ref="AJ539" authorId="0">
      <text>
        <r>
          <rPr>
            <sz val="10"/>
            <rFont val="Arial"/>
            <family val="2"/>
          </rPr>
          <t xml:space="preserve">rubber reduced to 9.36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534</xdr:row>
                <xdr:rowOff>17</xdr:rowOff>
              </xdr:from>
              <xdr:to>
                <xdr:col>37</xdr:col>
                <xdr:colOff>39</xdr:colOff>
                <xdr:row>538</xdr:row>
                <xdr:rowOff>11</xdr:rowOff>
              </xdr:to>
            </anchor>
          </commentPr>
        </mc:Choice>
        <mc:Fallback/>
      </mc:AlternateContent>
    </comment>
    <comment ref="AJ542" authorId="0">
      <text>
        <r>
          <rPr>
            <sz val="10"/>
            <rFont val="Arial"/>
            <family val="2"/>
          </rPr>
          <t xml:space="preserve">rubber reduced to 8.64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537</xdr:row>
                <xdr:rowOff>17</xdr:rowOff>
              </xdr:from>
              <xdr:to>
                <xdr:col>37</xdr:col>
                <xdr:colOff>39</xdr:colOff>
                <xdr:row>541</xdr:row>
                <xdr:rowOff>11</xdr:rowOff>
              </xdr:to>
            </anchor>
          </commentPr>
        </mc:Choice>
        <mc:Fallback/>
      </mc:AlternateContent>
    </comment>
    <comment ref="AJ813" authorId="0">
      <text>
        <r>
          <rPr>
            <sz val="10"/>
            <rFont val="Arial"/>
            <family val="2"/>
          </rPr>
          <t xml:space="preserve">rubber reduced to 90.72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808</xdr:row>
                <xdr:rowOff>17</xdr:rowOff>
              </xdr:from>
              <xdr:to>
                <xdr:col>37</xdr:col>
                <xdr:colOff>39</xdr:colOff>
                <xdr:row>812</xdr:row>
                <xdr:rowOff>11</xdr:rowOff>
              </xdr:to>
            </anchor>
          </commentPr>
        </mc:Choice>
        <mc:Fallback/>
      </mc:AlternateContent>
    </comment>
    <comment ref="AJ841" authorId="0">
      <text>
        <r>
          <rPr>
            <sz val="10"/>
            <rFont val="Arial"/>
            <family val="2"/>
          </rPr>
          <t xml:space="preserve">rubber reduced to 3.024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836</xdr:row>
                <xdr:rowOff>17</xdr:rowOff>
              </xdr:from>
              <xdr:to>
                <xdr:col>37</xdr:col>
                <xdr:colOff>39</xdr:colOff>
                <xdr:row>840</xdr:row>
                <xdr:rowOff>11</xdr:rowOff>
              </xdr:to>
            </anchor>
          </commentPr>
        </mc:Choice>
        <mc:Fallback/>
      </mc:AlternateContent>
    </comment>
    <comment ref="AJ878" authorId="0">
      <text>
        <r>
          <rPr>
            <sz val="10"/>
            <rFont val="Arial"/>
            <family val="2"/>
          </rPr>
          <t xml:space="preserve">rubber reduced to 3.024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873</xdr:row>
                <xdr:rowOff>17</xdr:rowOff>
              </xdr:from>
              <xdr:to>
                <xdr:col>37</xdr:col>
                <xdr:colOff>39</xdr:colOff>
                <xdr:row>877</xdr:row>
                <xdr:rowOff>11</xdr:rowOff>
              </xdr:to>
            </anchor>
          </commentPr>
        </mc:Choice>
        <mc:Fallback/>
      </mc:AlternateContent>
    </comment>
    <comment ref="AJ880" authorId="0">
      <text>
        <r>
          <rPr>
            <sz val="10"/>
            <rFont val="Arial"/>
            <family val="2"/>
          </rPr>
          <t xml:space="preserve">rubber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875</xdr:row>
                <xdr:rowOff>17</xdr:rowOff>
              </xdr:from>
              <xdr:to>
                <xdr:col>37</xdr:col>
                <xdr:colOff>39</xdr:colOff>
                <xdr:row>879</xdr:row>
                <xdr:rowOff>11</xdr:rowOff>
              </xdr:to>
            </anchor>
          </commentPr>
        </mc:Choice>
        <mc:Fallback/>
      </mc:AlternateContent>
    </comment>
    <comment ref="AK43" authorId="0">
      <text>
        <r>
          <rPr>
            <sz val="10"/>
            <rFont val="Arial"/>
            <family val="2"/>
          </rPr>
          <t xml:space="preserve">tungsten reduced to 2.16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38</xdr:row>
                <xdr:rowOff>17</xdr:rowOff>
              </xdr:from>
              <xdr:to>
                <xdr:col>38</xdr:col>
                <xdr:colOff>41</xdr:colOff>
                <xdr:row>42</xdr:row>
                <xdr:rowOff>11</xdr:rowOff>
              </xdr:to>
            </anchor>
          </commentPr>
        </mc:Choice>
        <mc:Fallback/>
      </mc:AlternateContent>
    </comment>
    <comment ref="AK46" authorId="0">
      <text>
        <r>
          <rPr>
            <sz val="10"/>
            <rFont val="Arial"/>
            <family val="2"/>
          </rPr>
          <t xml:space="preserve">tungsten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41</xdr:row>
                <xdr:rowOff>17</xdr:rowOff>
              </xdr:from>
              <xdr:to>
                <xdr:col>38</xdr:col>
                <xdr:colOff>41</xdr:colOff>
                <xdr:row>45</xdr:row>
                <xdr:rowOff>11</xdr:rowOff>
              </xdr:to>
            </anchor>
          </commentPr>
        </mc:Choice>
        <mc:Fallback/>
      </mc:AlternateContent>
    </comment>
    <comment ref="AK60" authorId="0">
      <text>
        <r>
          <rPr>
            <sz val="10"/>
            <rFont val="Arial"/>
            <family val="2"/>
          </rPr>
          <t xml:space="preserve">tungsten reduced to 139.104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55</xdr:row>
                <xdr:rowOff>17</xdr:rowOff>
              </xdr:from>
              <xdr:to>
                <xdr:col>38</xdr:col>
                <xdr:colOff>41</xdr:colOff>
                <xdr:row>59</xdr:row>
                <xdr:rowOff>11</xdr:rowOff>
              </xdr:to>
            </anchor>
          </commentPr>
        </mc:Choice>
        <mc:Fallback/>
      </mc:AlternateContent>
    </comment>
    <comment ref="AK71" authorId="0">
      <text>
        <r>
          <rPr>
            <sz val="10"/>
            <rFont val="Arial"/>
            <family val="2"/>
          </rPr>
          <t xml:space="preserve">tungsten reduced to 181.44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66</xdr:row>
                <xdr:rowOff>17</xdr:rowOff>
              </xdr:from>
              <xdr:to>
                <xdr:col>38</xdr:col>
                <xdr:colOff>41</xdr:colOff>
                <xdr:row>70</xdr:row>
                <xdr:rowOff>11</xdr:rowOff>
              </xdr:to>
            </anchor>
          </commentPr>
        </mc:Choice>
        <mc:Fallback/>
      </mc:AlternateContent>
    </comment>
    <comment ref="AK272" authorId="0">
      <text>
        <r>
          <rPr>
            <sz val="10"/>
            <rFont val="Arial"/>
            <family val="2"/>
          </rPr>
          <t xml:space="preserve">tungsten reduced to 40.824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267</xdr:row>
                <xdr:rowOff>17</xdr:rowOff>
              </xdr:from>
              <xdr:to>
                <xdr:col>38</xdr:col>
                <xdr:colOff>41</xdr:colOff>
                <xdr:row>271</xdr:row>
                <xdr:rowOff>11</xdr:rowOff>
              </xdr:to>
            </anchor>
          </commentPr>
        </mc:Choice>
        <mc:Fallback/>
      </mc:AlternateContent>
    </comment>
    <comment ref="AK369" authorId="0">
      <text>
        <r>
          <rPr>
            <sz val="10"/>
            <rFont val="Arial"/>
            <family val="2"/>
          </rPr>
          <t xml:space="preserve">tungsten reduced to 22.5792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364</xdr:row>
                <xdr:rowOff>17</xdr:rowOff>
              </xdr:from>
              <xdr:to>
                <xdr:col>38</xdr:col>
                <xdr:colOff>41</xdr:colOff>
                <xdr:row>368</xdr:row>
                <xdr:rowOff>11</xdr:rowOff>
              </xdr:to>
            </anchor>
          </commentPr>
        </mc:Choice>
        <mc:Fallback/>
      </mc:AlternateContent>
    </comment>
    <comment ref="AK549" authorId="0">
      <text>
        <r>
          <rPr>
            <sz val="10"/>
            <rFont val="Arial"/>
            <family val="2"/>
          </rPr>
          <t xml:space="preserve">tungsten reduced to 2.4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544</xdr:row>
                <xdr:rowOff>17</xdr:rowOff>
              </xdr:from>
              <xdr:to>
                <xdr:col>38</xdr:col>
                <xdr:colOff>41</xdr:colOff>
                <xdr:row>550</xdr:row>
                <xdr:rowOff>4</xdr:rowOff>
              </xdr:to>
            </anchor>
          </commentPr>
        </mc:Choice>
        <mc:Fallback/>
      </mc:AlternateContent>
    </comment>
    <comment ref="AK799" authorId="0">
      <text>
        <r>
          <rPr>
            <sz val="10"/>
            <rFont val="Arial"/>
            <family val="2"/>
          </rPr>
          <t xml:space="preserve">tungsten reduced to 5.184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794</xdr:row>
                <xdr:rowOff>17</xdr:rowOff>
              </xdr:from>
              <xdr:to>
                <xdr:col>38</xdr:col>
                <xdr:colOff>41</xdr:colOff>
                <xdr:row>798</xdr:row>
                <xdr:rowOff>11</xdr:rowOff>
              </xdr:to>
            </anchor>
          </commentPr>
        </mc:Choice>
        <mc:Fallback/>
      </mc:AlternateContent>
    </comment>
    <comment ref="AK827" authorId="0">
      <text>
        <r>
          <rPr>
            <sz val="10"/>
            <rFont val="Arial"/>
            <family val="2"/>
          </rPr>
          <t xml:space="preserve">tungsten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822</xdr:row>
                <xdr:rowOff>17</xdr:rowOff>
              </xdr:from>
              <xdr:to>
                <xdr:col>38</xdr:col>
                <xdr:colOff>41</xdr:colOff>
                <xdr:row>826</xdr:row>
                <xdr:rowOff>11</xdr:rowOff>
              </xdr:to>
            </anchor>
          </commentPr>
        </mc:Choice>
        <mc:Fallback/>
      </mc:AlternateContent>
    </comment>
    <comment ref="AK887" authorId="0">
      <text>
        <r>
          <rPr>
            <sz val="10"/>
            <rFont val="Arial"/>
            <family val="2"/>
          </rPr>
          <t xml:space="preserve">tungsten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23</xdr:colOff>
                <xdr:row>882</xdr:row>
                <xdr:rowOff>17</xdr:rowOff>
              </xdr:from>
              <xdr:to>
                <xdr:col>38</xdr:col>
                <xdr:colOff>41</xdr:colOff>
                <xdr:row>886</xdr:row>
                <xdr:rowOff>11</xdr:rowOff>
              </xdr:to>
            </anchor>
          </commentPr>
        </mc:Choice>
        <mc:Fallback/>
      </mc:AlternateContent>
    </comment>
    <comment ref="AL203" authorId="0">
      <text>
        <r>
          <rPr>
            <sz val="10"/>
            <rFont val="Arial"/>
            <family val="2"/>
          </rPr>
          <t xml:space="preserve">steel reduced to  98.28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198</xdr:row>
                <xdr:rowOff>17</xdr:rowOff>
              </xdr:from>
              <xdr:to>
                <xdr:col>39</xdr:col>
                <xdr:colOff>27</xdr:colOff>
                <xdr:row>202</xdr:row>
                <xdr:rowOff>11</xdr:rowOff>
              </xdr:to>
            </anchor>
          </commentPr>
        </mc:Choice>
        <mc:Fallback/>
      </mc:AlternateContent>
    </comment>
    <comment ref="AL264" authorId="0">
      <text>
        <r>
          <rPr>
            <sz val="10"/>
            <rFont val="Arial"/>
            <family val="2"/>
          </rPr>
          <t xml:space="preserve">steel reduced to 4.536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259</xdr:row>
                <xdr:rowOff>17</xdr:rowOff>
              </xdr:from>
              <xdr:to>
                <xdr:col>39</xdr:col>
                <xdr:colOff>27</xdr:colOff>
                <xdr:row>263</xdr:row>
                <xdr:rowOff>11</xdr:rowOff>
              </xdr:to>
            </anchor>
          </commentPr>
        </mc:Choice>
        <mc:Fallback/>
      </mc:AlternateContent>
    </comment>
    <comment ref="AL273" authorId="0">
      <text>
        <r>
          <rPr>
            <sz val="10"/>
            <rFont val="Arial"/>
            <family val="2"/>
          </rPr>
          <t xml:space="preserve">steel reduced to 46.872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268</xdr:row>
                <xdr:rowOff>17</xdr:rowOff>
              </xdr:from>
              <xdr:to>
                <xdr:col>39</xdr:col>
                <xdr:colOff>27</xdr:colOff>
                <xdr:row>272</xdr:row>
                <xdr:rowOff>11</xdr:rowOff>
              </xdr:to>
            </anchor>
          </commentPr>
        </mc:Choice>
        <mc:Fallback/>
      </mc:AlternateContent>
    </comment>
    <comment ref="AL336" authorId="0">
      <text>
        <r>
          <rPr>
            <sz val="10"/>
            <rFont val="Arial"/>
            <family val="2"/>
          </rPr>
          <t xml:space="preserve">steel reduced to 1.9488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331</xdr:row>
                <xdr:rowOff>17</xdr:rowOff>
              </xdr:from>
              <xdr:to>
                <xdr:col>39</xdr:col>
                <xdr:colOff>27</xdr:colOff>
                <xdr:row>335</xdr:row>
                <xdr:rowOff>11</xdr:rowOff>
              </xdr:to>
            </anchor>
          </commentPr>
        </mc:Choice>
        <mc:Fallback/>
      </mc:AlternateContent>
    </comment>
    <comment ref="AL348" authorId="0">
      <text>
        <r>
          <rPr>
            <sz val="10"/>
            <rFont val="Arial"/>
            <family val="2"/>
          </rPr>
          <t xml:space="preserve">steel reduced to 0.9744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343</xdr:row>
                <xdr:rowOff>17</xdr:rowOff>
              </xdr:from>
              <xdr:to>
                <xdr:col>39</xdr:col>
                <xdr:colOff>27</xdr:colOff>
                <xdr:row>347</xdr:row>
                <xdr:rowOff>11</xdr:rowOff>
              </xdr:to>
            </anchor>
          </commentPr>
        </mc:Choice>
        <mc:Fallback/>
      </mc:AlternateContent>
    </comment>
    <comment ref="AL369" authorId="0">
      <text>
        <r>
          <rPr>
            <sz val="10"/>
            <rFont val="Arial"/>
            <family val="2"/>
          </rPr>
          <t xml:space="preserve">steel reduced to 14.5152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364</xdr:row>
                <xdr:rowOff>17</xdr:rowOff>
              </xdr:from>
              <xdr:to>
                <xdr:col>39</xdr:col>
                <xdr:colOff>27</xdr:colOff>
                <xdr:row>368</xdr:row>
                <xdr:rowOff>11</xdr:rowOff>
              </xdr:to>
            </anchor>
          </commentPr>
        </mc:Choice>
        <mc:Fallback/>
      </mc:AlternateContent>
    </comment>
    <comment ref="AL743" authorId="0">
      <text>
        <r>
          <rPr>
            <sz val="10"/>
            <rFont val="Arial"/>
            <family val="2"/>
          </rPr>
          <t xml:space="preserve">11.52 steel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738</xdr:row>
                <xdr:rowOff>17</xdr:rowOff>
              </xdr:from>
              <xdr:to>
                <xdr:col>39</xdr:col>
                <xdr:colOff>27</xdr:colOff>
                <xdr:row>742</xdr:row>
                <xdr:rowOff>11</xdr:rowOff>
              </xdr:to>
            </anchor>
          </commentPr>
        </mc:Choice>
        <mc:Fallback/>
      </mc:AlternateContent>
    </comment>
    <comment ref="AL748" authorId="0">
      <text>
        <r>
          <rPr>
            <sz val="10"/>
            <rFont val="Arial"/>
            <family val="2"/>
          </rPr>
          <t xml:space="preserve">steel reduced to 60.48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743</xdr:row>
                <xdr:rowOff>17</xdr:rowOff>
              </xdr:from>
              <xdr:to>
                <xdr:col>39</xdr:col>
                <xdr:colOff>27</xdr:colOff>
                <xdr:row>747</xdr:row>
                <xdr:rowOff>11</xdr:rowOff>
              </xdr:to>
            </anchor>
          </commentPr>
        </mc:Choice>
        <mc:Fallback/>
      </mc:AlternateContent>
    </comment>
    <comment ref="AL799" authorId="0">
      <text>
        <r>
          <rPr>
            <sz val="10"/>
            <rFont val="Arial"/>
            <family val="2"/>
          </rPr>
          <t xml:space="preserve">steel reduced to 5.184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794</xdr:row>
                <xdr:rowOff>17</xdr:rowOff>
              </xdr:from>
              <xdr:to>
                <xdr:col>39</xdr:col>
                <xdr:colOff>27</xdr:colOff>
                <xdr:row>798</xdr:row>
                <xdr:rowOff>11</xdr:rowOff>
              </xdr:to>
            </anchor>
          </commentPr>
        </mc:Choice>
        <mc:Fallback/>
      </mc:AlternateContent>
    </comment>
    <comment ref="AL827" authorId="0">
      <text>
        <r>
          <rPr>
            <sz val="10"/>
            <rFont val="Arial"/>
            <family val="2"/>
          </rPr>
          <t xml:space="preserve">steel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822</xdr:row>
                <xdr:rowOff>17</xdr:rowOff>
              </xdr:from>
              <xdr:to>
                <xdr:col>39</xdr:col>
                <xdr:colOff>27</xdr:colOff>
                <xdr:row>826</xdr:row>
                <xdr:rowOff>11</xdr:rowOff>
              </xdr:to>
            </anchor>
          </commentPr>
        </mc:Choice>
        <mc:Fallback/>
      </mc:AlternateContent>
    </comment>
    <comment ref="AL868" authorId="0">
      <text>
        <r>
          <rPr>
            <sz val="10"/>
            <rFont val="Arial"/>
            <family val="2"/>
          </rPr>
          <t xml:space="preserve">steel reduced to 48.384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23</xdr:colOff>
                <xdr:row>863</xdr:row>
                <xdr:rowOff>17</xdr:rowOff>
              </xdr:from>
              <xdr:to>
                <xdr:col>39</xdr:col>
                <xdr:colOff>27</xdr:colOff>
                <xdr:row>867</xdr:row>
                <xdr:rowOff>11</xdr:rowOff>
              </xdr:to>
            </anchor>
          </commentPr>
        </mc:Choice>
        <mc:Fallback/>
      </mc:AlternateContent>
    </comment>
    <comment ref="AM215" authorId="0">
      <text>
        <r>
          <rPr>
            <sz val="10"/>
            <rFont val="Arial"/>
            <family val="2"/>
          </rPr>
          <t xml:space="preserve">chromium reduced to 18.144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210</xdr:row>
                <xdr:rowOff>17</xdr:rowOff>
              </xdr:from>
              <xdr:to>
                <xdr:col>40</xdr:col>
                <xdr:colOff>10</xdr:colOff>
                <xdr:row>214</xdr:row>
                <xdr:rowOff>11</xdr:rowOff>
              </xdr:to>
            </anchor>
          </commentPr>
        </mc:Choice>
        <mc:Fallback/>
      </mc:AlternateContent>
    </comment>
    <comment ref="AM254" authorId="0">
      <text>
        <r>
          <rPr>
            <sz val="10"/>
            <rFont val="Arial"/>
            <family val="2"/>
          </rPr>
          <t xml:space="preserve">chromium reduced to 136.08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249</xdr:row>
                <xdr:rowOff>17</xdr:rowOff>
              </xdr:from>
              <xdr:to>
                <xdr:col>40</xdr:col>
                <xdr:colOff>10</xdr:colOff>
                <xdr:row>253</xdr:row>
                <xdr:rowOff>11</xdr:rowOff>
              </xdr:to>
            </anchor>
          </commentPr>
        </mc:Choice>
        <mc:Fallback/>
      </mc:AlternateContent>
    </comment>
    <comment ref="AM272" authorId="0">
      <text>
        <r>
          <rPr>
            <sz val="10"/>
            <rFont val="Arial"/>
            <family val="2"/>
          </rPr>
          <t xml:space="preserve">chromium reduced to 9.072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267</xdr:row>
                <xdr:rowOff>17</xdr:rowOff>
              </xdr:from>
              <xdr:to>
                <xdr:col>40</xdr:col>
                <xdr:colOff>10</xdr:colOff>
                <xdr:row>271</xdr:row>
                <xdr:rowOff>11</xdr:rowOff>
              </xdr:to>
            </anchor>
          </commentPr>
        </mc:Choice>
        <mc:Fallback/>
      </mc:AlternateContent>
    </comment>
    <comment ref="AM534" authorId="0">
      <text>
        <r>
          <rPr>
            <sz val="10"/>
            <rFont val="Arial"/>
            <family val="2"/>
          </rPr>
          <t xml:space="preserve">chromium reduced to 2.52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529</xdr:row>
                <xdr:rowOff>17</xdr:rowOff>
              </xdr:from>
              <xdr:to>
                <xdr:col>40</xdr:col>
                <xdr:colOff>10</xdr:colOff>
                <xdr:row>535</xdr:row>
                <xdr:rowOff>4</xdr:rowOff>
              </xdr:to>
            </anchor>
          </commentPr>
        </mc:Choice>
        <mc:Fallback/>
      </mc:AlternateContent>
    </comment>
    <comment ref="AM537" authorId="0">
      <text>
        <r>
          <rPr>
            <sz val="10"/>
            <rFont val="Arial"/>
            <family val="2"/>
          </rPr>
          <t xml:space="preserve">chromium reduced to 2.16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532</xdr:row>
                <xdr:rowOff>17</xdr:rowOff>
              </xdr:from>
              <xdr:to>
                <xdr:col>40</xdr:col>
                <xdr:colOff>10</xdr:colOff>
                <xdr:row>536</xdr:row>
                <xdr:rowOff>11</xdr:rowOff>
              </xdr:to>
            </anchor>
          </commentPr>
        </mc:Choice>
        <mc:Fallback/>
      </mc:AlternateContent>
    </comment>
    <comment ref="AM804" authorId="0">
      <text>
        <r>
          <rPr>
            <sz val="10"/>
            <rFont val="Arial"/>
            <family val="2"/>
          </rPr>
          <t xml:space="preserve">chromium reduced to 116.64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799</xdr:row>
                <xdr:rowOff>17</xdr:rowOff>
              </xdr:from>
              <xdr:to>
                <xdr:col>40</xdr:col>
                <xdr:colOff>10</xdr:colOff>
                <xdr:row>803</xdr:row>
                <xdr:rowOff>11</xdr:rowOff>
              </xdr:to>
            </anchor>
          </commentPr>
        </mc:Choice>
        <mc:Fallback/>
      </mc:AlternateContent>
    </comment>
    <comment ref="AM817" authorId="0">
      <text>
        <r>
          <rPr>
            <sz val="10"/>
            <rFont val="Arial"/>
            <family val="2"/>
          </rPr>
          <t xml:space="preserve">chromium reduced to 4.536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812</xdr:row>
                <xdr:rowOff>17</xdr:rowOff>
              </xdr:from>
              <xdr:to>
                <xdr:col>40</xdr:col>
                <xdr:colOff>10</xdr:colOff>
                <xdr:row>816</xdr:row>
                <xdr:rowOff>11</xdr:rowOff>
              </xdr:to>
            </anchor>
          </commentPr>
        </mc:Choice>
        <mc:Fallback/>
      </mc:AlternateContent>
    </comment>
    <comment ref="AM827" authorId="0">
      <text>
        <r>
          <rPr>
            <sz val="10"/>
            <rFont val="Arial"/>
            <family val="2"/>
          </rPr>
          <t xml:space="preserve">steel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822</xdr:row>
                <xdr:rowOff>17</xdr:rowOff>
              </xdr:from>
              <xdr:to>
                <xdr:col>40</xdr:col>
                <xdr:colOff>10</xdr:colOff>
                <xdr:row>826</xdr:row>
                <xdr:rowOff>11</xdr:rowOff>
              </xdr:to>
            </anchor>
          </commentPr>
        </mc:Choice>
        <mc:Fallback/>
      </mc:AlternateContent>
    </comment>
    <comment ref="AM887" authorId="0">
      <text>
        <r>
          <rPr>
            <sz val="10"/>
            <rFont val="Arial"/>
            <family val="2"/>
          </rPr>
          <t xml:space="preserve">chromium reduced to 52.92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23</xdr:colOff>
                <xdr:row>882</xdr:row>
                <xdr:rowOff>17</xdr:rowOff>
              </xdr:from>
              <xdr:to>
                <xdr:col>40</xdr:col>
                <xdr:colOff>10</xdr:colOff>
                <xdr:row>886</xdr:row>
                <xdr:rowOff>11</xdr:rowOff>
              </xdr:to>
            </anchor>
          </commentPr>
        </mc:Choice>
        <mc:Fallback/>
      </mc:AlternateContent>
    </comment>
    <comment ref="AN41" authorId="0">
      <text>
        <r>
          <rPr>
            <sz val="10"/>
            <rFont val="Arial"/>
            <family val="2"/>
          </rPr>
          <t xml:space="preserve">resources reduced to 5.4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36</xdr:row>
                <xdr:rowOff>17</xdr:rowOff>
              </xdr:from>
              <xdr:to>
                <xdr:col>41</xdr:col>
                <xdr:colOff>47</xdr:colOff>
                <xdr:row>40</xdr:row>
                <xdr:rowOff>11</xdr:rowOff>
              </xdr:to>
            </anchor>
          </commentPr>
        </mc:Choice>
        <mc:Fallback/>
      </mc:AlternateContent>
    </comment>
    <comment ref="AN42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37</xdr:row>
                <xdr:rowOff>17</xdr:rowOff>
              </xdr:from>
              <xdr:to>
                <xdr:col>41</xdr:col>
                <xdr:colOff>47</xdr:colOff>
                <xdr:row>41</xdr:row>
                <xdr:rowOff>11</xdr:rowOff>
              </xdr:to>
            </anchor>
          </commentPr>
        </mc:Choice>
        <mc:Fallback/>
      </mc:AlternateContent>
    </comment>
    <comment ref="AN43" authorId="0">
      <text>
        <r>
          <rPr>
            <sz val="10"/>
            <rFont val="Arial"/>
            <family val="2"/>
          </rPr>
          <t xml:space="preserve">resources reduced to 2.16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38</xdr:row>
                <xdr:rowOff>17</xdr:rowOff>
              </xdr:from>
              <xdr:to>
                <xdr:col>41</xdr:col>
                <xdr:colOff>47</xdr:colOff>
                <xdr:row>42</xdr:row>
                <xdr:rowOff>11</xdr:rowOff>
              </xdr:to>
            </anchor>
          </commentPr>
        </mc:Choice>
        <mc:Fallback/>
      </mc:AlternateContent>
    </comment>
    <comment ref="AN46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41</xdr:row>
                <xdr:rowOff>17</xdr:rowOff>
              </xdr:from>
              <xdr:to>
                <xdr:col>41</xdr:col>
                <xdr:colOff>47</xdr:colOff>
                <xdr:row>45</xdr:row>
                <xdr:rowOff>11</xdr:rowOff>
              </xdr:to>
            </anchor>
          </commentPr>
        </mc:Choice>
        <mc:Fallback/>
      </mc:AlternateContent>
    </comment>
    <comment ref="AN47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42</xdr:row>
                <xdr:rowOff>17</xdr:rowOff>
              </xdr:from>
              <xdr:to>
                <xdr:col>41</xdr:col>
                <xdr:colOff>47</xdr:colOff>
                <xdr:row>46</xdr:row>
                <xdr:rowOff>11</xdr:rowOff>
              </xdr:to>
            </anchor>
          </commentPr>
        </mc:Choice>
        <mc:Fallback/>
      </mc:AlternateContent>
    </comment>
    <comment ref="AN60" authorId="0">
      <text>
        <r>
          <rPr>
            <sz val="10"/>
            <rFont val="Arial"/>
            <family val="2"/>
          </rPr>
          <t xml:space="preserve">resources reduced to 143.64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55</xdr:row>
                <xdr:rowOff>17</xdr:rowOff>
              </xdr:from>
              <xdr:to>
                <xdr:col>41</xdr:col>
                <xdr:colOff>47</xdr:colOff>
                <xdr:row>59</xdr:row>
                <xdr:rowOff>11</xdr:rowOff>
              </xdr:to>
            </anchor>
          </commentPr>
        </mc:Choice>
        <mc:Fallback/>
      </mc:AlternateContent>
    </comment>
    <comment ref="AN71" authorId="0">
      <text>
        <r>
          <rPr>
            <sz val="10"/>
            <rFont val="Arial"/>
            <family val="2"/>
          </rPr>
          <t xml:space="preserve">resources reduced to 181.44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66</xdr:row>
                <xdr:rowOff>17</xdr:rowOff>
              </xdr:from>
              <xdr:to>
                <xdr:col>41</xdr:col>
                <xdr:colOff>47</xdr:colOff>
                <xdr:row>70</xdr:row>
                <xdr:rowOff>11</xdr:rowOff>
              </xdr:to>
            </anchor>
          </commentPr>
        </mc:Choice>
        <mc:Fallback/>
      </mc:AlternateContent>
    </comment>
    <comment ref="AN203" authorId="0">
      <text>
        <r>
          <rPr>
            <sz val="10"/>
            <rFont val="Arial"/>
            <family val="2"/>
          </rPr>
          <t xml:space="preserve">resources reduced to  98.28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198</xdr:row>
                <xdr:rowOff>17</xdr:rowOff>
              </xdr:from>
              <xdr:to>
                <xdr:col>41</xdr:col>
                <xdr:colOff>47</xdr:colOff>
                <xdr:row>202</xdr:row>
                <xdr:rowOff>11</xdr:rowOff>
              </xdr:to>
            </anchor>
          </commentPr>
        </mc:Choice>
        <mc:Fallback/>
      </mc:AlternateContent>
    </comment>
    <comment ref="AN215" authorId="0">
      <text>
        <r>
          <rPr>
            <sz val="10"/>
            <rFont val="Arial"/>
            <family val="2"/>
          </rPr>
          <t xml:space="preserve">resources reduced to 18.144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210</xdr:row>
                <xdr:rowOff>17</xdr:rowOff>
              </xdr:from>
              <xdr:to>
                <xdr:col>41</xdr:col>
                <xdr:colOff>47</xdr:colOff>
                <xdr:row>214</xdr:row>
                <xdr:rowOff>11</xdr:rowOff>
              </xdr:to>
            </anchor>
          </commentPr>
        </mc:Choice>
        <mc:Fallback/>
      </mc:AlternateContent>
    </comment>
    <comment ref="AN226" authorId="0">
      <text>
        <r>
          <rPr>
            <sz val="10"/>
            <rFont val="Arial"/>
            <family val="2"/>
          </rPr>
          <t xml:space="preserve">resources reduced to 3.24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221</xdr:row>
                <xdr:rowOff>17</xdr:rowOff>
              </xdr:from>
              <xdr:to>
                <xdr:col>41</xdr:col>
                <xdr:colOff>47</xdr:colOff>
                <xdr:row>225</xdr:row>
                <xdr:rowOff>11</xdr:rowOff>
              </xdr:to>
            </anchor>
          </commentPr>
        </mc:Choice>
        <mc:Fallback/>
      </mc:AlternateContent>
    </comment>
    <comment ref="AN251" authorId="0">
      <text>
        <r>
          <rPr>
            <sz val="10"/>
            <rFont val="Arial"/>
            <family val="2"/>
          </rPr>
          <t xml:space="preserve">resources reduced to 1.512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246</xdr:row>
                <xdr:rowOff>17</xdr:rowOff>
              </xdr:from>
              <xdr:to>
                <xdr:col>41</xdr:col>
                <xdr:colOff>47</xdr:colOff>
                <xdr:row>250</xdr:row>
                <xdr:rowOff>11</xdr:rowOff>
              </xdr:to>
            </anchor>
          </commentPr>
        </mc:Choice>
        <mc:Fallback/>
      </mc:AlternateContent>
    </comment>
    <comment ref="AN254" authorId="0">
      <text>
        <r>
          <rPr>
            <sz val="10"/>
            <rFont val="Arial"/>
            <family val="2"/>
          </rPr>
          <t xml:space="preserve">resources reduced to 136.08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249</xdr:row>
                <xdr:rowOff>17</xdr:rowOff>
              </xdr:from>
              <xdr:to>
                <xdr:col>41</xdr:col>
                <xdr:colOff>47</xdr:colOff>
                <xdr:row>253</xdr:row>
                <xdr:rowOff>11</xdr:rowOff>
              </xdr:to>
            </anchor>
          </commentPr>
        </mc:Choice>
        <mc:Fallback/>
      </mc:AlternateContent>
    </comment>
    <comment ref="AN264" authorId="0">
      <text>
        <r>
          <rPr>
            <sz val="10"/>
            <rFont val="Arial"/>
            <family val="2"/>
          </rPr>
          <t xml:space="preserve">resources reduced to 4.536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259</xdr:row>
                <xdr:rowOff>17</xdr:rowOff>
              </xdr:from>
              <xdr:to>
                <xdr:col>41</xdr:col>
                <xdr:colOff>47</xdr:colOff>
                <xdr:row>263</xdr:row>
                <xdr:rowOff>11</xdr:rowOff>
              </xdr:to>
            </anchor>
          </commentPr>
        </mc:Choice>
        <mc:Fallback/>
      </mc:AlternateContent>
    </comment>
    <comment ref="AN265" authorId="0">
      <text>
        <r>
          <rPr>
            <sz val="10"/>
            <rFont val="Arial"/>
            <family val="2"/>
          </rPr>
          <t xml:space="preserve">resources reduced to 83.16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260</xdr:row>
                <xdr:rowOff>17</xdr:rowOff>
              </xdr:from>
              <xdr:to>
                <xdr:col>41</xdr:col>
                <xdr:colOff>47</xdr:colOff>
                <xdr:row>264</xdr:row>
                <xdr:rowOff>11</xdr:rowOff>
              </xdr:to>
            </anchor>
          </commentPr>
        </mc:Choice>
        <mc:Fallback/>
      </mc:AlternateContent>
    </comment>
    <comment ref="AN272" authorId="0">
      <text>
        <r>
          <rPr>
            <sz val="10"/>
            <rFont val="Arial"/>
            <family val="2"/>
          </rPr>
          <t xml:space="preserve">resources reduced to 49.896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267</xdr:row>
                <xdr:rowOff>17</xdr:rowOff>
              </xdr:from>
              <xdr:to>
                <xdr:col>41</xdr:col>
                <xdr:colOff>47</xdr:colOff>
                <xdr:row>271</xdr:row>
                <xdr:rowOff>11</xdr:rowOff>
              </xdr:to>
            </anchor>
          </commentPr>
        </mc:Choice>
        <mc:Fallback/>
      </mc:AlternateContent>
    </comment>
    <comment ref="AN273" authorId="0">
      <text>
        <r>
          <rPr>
            <sz val="10"/>
            <rFont val="Arial"/>
            <family val="2"/>
          </rPr>
          <t xml:space="preserve">resources reduced to 46.872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268</xdr:row>
                <xdr:rowOff>17</xdr:rowOff>
              </xdr:from>
              <xdr:to>
                <xdr:col>41</xdr:col>
                <xdr:colOff>47</xdr:colOff>
                <xdr:row>272</xdr:row>
                <xdr:rowOff>11</xdr:rowOff>
              </xdr:to>
            </anchor>
          </commentPr>
        </mc:Choice>
        <mc:Fallback/>
      </mc:AlternateContent>
    </comment>
    <comment ref="AN336" authorId="0">
      <text>
        <r>
          <rPr>
            <sz val="10"/>
            <rFont val="Arial"/>
            <family val="2"/>
          </rPr>
          <t xml:space="preserve">resources reduced to 1.9488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331</xdr:row>
                <xdr:rowOff>17</xdr:rowOff>
              </xdr:from>
              <xdr:to>
                <xdr:col>41</xdr:col>
                <xdr:colOff>47</xdr:colOff>
                <xdr:row>335</xdr:row>
                <xdr:rowOff>11</xdr:rowOff>
              </xdr:to>
            </anchor>
          </commentPr>
        </mc:Choice>
        <mc:Fallback/>
      </mc:AlternateContent>
    </comment>
    <comment ref="AN348" authorId="0">
      <text>
        <r>
          <rPr>
            <sz val="10"/>
            <rFont val="Arial"/>
            <family val="2"/>
          </rPr>
          <t xml:space="preserve">resources  reduced to 0.9744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343</xdr:row>
                <xdr:rowOff>17</xdr:rowOff>
              </xdr:from>
              <xdr:to>
                <xdr:col>41</xdr:col>
                <xdr:colOff>47</xdr:colOff>
                <xdr:row>347</xdr:row>
                <xdr:rowOff>11</xdr:rowOff>
              </xdr:to>
            </anchor>
          </commentPr>
        </mc:Choice>
        <mc:Fallback/>
      </mc:AlternateContent>
    </comment>
    <comment ref="AN369" authorId="0">
      <text>
        <r>
          <rPr>
            <sz val="10"/>
            <rFont val="Arial"/>
            <family val="2"/>
          </rPr>
          <t xml:space="preserve">resources reduced to 37.0944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364</xdr:row>
                <xdr:rowOff>17</xdr:rowOff>
              </xdr:from>
              <xdr:to>
                <xdr:col>41</xdr:col>
                <xdr:colOff>47</xdr:colOff>
                <xdr:row>368</xdr:row>
                <xdr:rowOff>11</xdr:rowOff>
              </xdr:to>
            </anchor>
          </commentPr>
        </mc:Choice>
        <mc:Fallback/>
      </mc:AlternateContent>
    </comment>
    <comment ref="AN430" authorId="0">
      <text>
        <r>
          <rPr>
            <sz val="10"/>
            <rFont val="Arial"/>
            <family val="2"/>
          </rPr>
          <t xml:space="preserve">resources  reduced to 52.92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425</xdr:row>
                <xdr:rowOff>17</xdr:rowOff>
              </xdr:from>
              <xdr:to>
                <xdr:col>41</xdr:col>
                <xdr:colOff>47</xdr:colOff>
                <xdr:row>429</xdr:row>
                <xdr:rowOff>11</xdr:rowOff>
              </xdr:to>
            </anchor>
          </commentPr>
        </mc:Choice>
        <mc:Fallback/>
      </mc:AlternateContent>
    </comment>
    <comment ref="AN433" authorId="0">
      <text>
        <r>
          <rPr>
            <sz val="10"/>
            <rFont val="Arial"/>
            <family val="2"/>
          </rPr>
          <t xml:space="preserve">resources  reduced to 90.72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428</xdr:row>
                <xdr:rowOff>17</xdr:rowOff>
              </xdr:from>
              <xdr:to>
                <xdr:col>41</xdr:col>
                <xdr:colOff>47</xdr:colOff>
                <xdr:row>432</xdr:row>
                <xdr:rowOff>11</xdr:rowOff>
              </xdr:to>
            </anchor>
          </commentPr>
        </mc:Choice>
        <mc:Fallback/>
      </mc:AlternateContent>
    </comment>
    <comment ref="AN494" authorId="0">
      <text>
        <r>
          <rPr>
            <sz val="10"/>
            <rFont val="Arial"/>
            <family val="2"/>
          </rPr>
          <t xml:space="preserve">resources reduced to 1.296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489</xdr:row>
                <xdr:rowOff>17</xdr:rowOff>
              </xdr:from>
              <xdr:to>
                <xdr:col>41</xdr:col>
                <xdr:colOff>47</xdr:colOff>
                <xdr:row>493</xdr:row>
                <xdr:rowOff>11</xdr:rowOff>
              </xdr:to>
            </anchor>
          </commentPr>
        </mc:Choice>
        <mc:Fallback/>
      </mc:AlternateContent>
    </comment>
    <comment ref="AN499" authorId="0">
      <text>
        <r>
          <rPr>
            <sz val="10"/>
            <rFont val="Arial"/>
            <family val="2"/>
          </rPr>
          <t xml:space="preserve">resources reduced to 1.08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494</xdr:row>
                <xdr:rowOff>17</xdr:rowOff>
              </xdr:from>
              <xdr:to>
                <xdr:col>41</xdr:col>
                <xdr:colOff>47</xdr:colOff>
                <xdr:row>498</xdr:row>
                <xdr:rowOff>11</xdr:rowOff>
              </xdr:to>
            </anchor>
          </commentPr>
        </mc:Choice>
        <mc:Fallback/>
      </mc:AlternateContent>
    </comment>
    <comment ref="AN523" authorId="0">
      <text>
        <r>
          <rPr>
            <sz val="10"/>
            <rFont val="Arial"/>
            <family val="2"/>
          </rPr>
          <t xml:space="preserve">resources reduced to 5.184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518</xdr:row>
                <xdr:rowOff>17</xdr:rowOff>
              </xdr:from>
              <xdr:to>
                <xdr:col>41</xdr:col>
                <xdr:colOff>47</xdr:colOff>
                <xdr:row>522</xdr:row>
                <xdr:rowOff>11</xdr:rowOff>
              </xdr:to>
            </anchor>
          </commentPr>
        </mc:Choice>
        <mc:Fallback/>
      </mc:AlternateContent>
    </comment>
    <comment ref="AN524" authorId="0">
      <text>
        <r>
          <rPr>
            <sz val="10"/>
            <rFont val="Arial"/>
            <family val="2"/>
          </rPr>
          <t xml:space="preserve">resources reduced to 3.456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519</xdr:row>
                <xdr:rowOff>17</xdr:rowOff>
              </xdr:from>
              <xdr:to>
                <xdr:col>41</xdr:col>
                <xdr:colOff>47</xdr:colOff>
                <xdr:row>523</xdr:row>
                <xdr:rowOff>11</xdr:rowOff>
              </xdr:to>
            </anchor>
          </commentPr>
        </mc:Choice>
        <mc:Fallback/>
      </mc:AlternateContent>
    </comment>
    <comment ref="AN534" authorId="0">
      <text>
        <r>
          <rPr>
            <sz val="10"/>
            <rFont val="Arial"/>
            <family val="2"/>
          </rPr>
          <t xml:space="preserve">resources reduced to 2.52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529</xdr:row>
                <xdr:rowOff>17</xdr:rowOff>
              </xdr:from>
              <xdr:to>
                <xdr:col>41</xdr:col>
                <xdr:colOff>47</xdr:colOff>
                <xdr:row>535</xdr:row>
                <xdr:rowOff>4</xdr:rowOff>
              </xdr:to>
            </anchor>
          </commentPr>
        </mc:Choice>
        <mc:Fallback/>
      </mc:AlternateContent>
    </comment>
    <comment ref="AN537" authorId="0">
      <text>
        <r>
          <rPr>
            <sz val="10"/>
            <rFont val="Arial"/>
            <family val="2"/>
          </rPr>
          <t xml:space="preserve">resources reduced to 4.32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532</xdr:row>
                <xdr:rowOff>17</xdr:rowOff>
              </xdr:from>
              <xdr:to>
                <xdr:col>41</xdr:col>
                <xdr:colOff>47</xdr:colOff>
                <xdr:row>536</xdr:row>
                <xdr:rowOff>11</xdr:rowOff>
              </xdr:to>
            </anchor>
          </commentPr>
        </mc:Choice>
        <mc:Fallback/>
      </mc:AlternateContent>
    </comment>
    <comment ref="AN539" authorId="0">
      <text>
        <r>
          <rPr>
            <sz val="10"/>
            <rFont val="Arial"/>
            <family val="2"/>
          </rPr>
          <t xml:space="preserve">resources reduced to 9.36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534</xdr:row>
                <xdr:rowOff>17</xdr:rowOff>
              </xdr:from>
              <xdr:to>
                <xdr:col>41</xdr:col>
                <xdr:colOff>47</xdr:colOff>
                <xdr:row>538</xdr:row>
                <xdr:rowOff>11</xdr:rowOff>
              </xdr:to>
            </anchor>
          </commentPr>
        </mc:Choice>
        <mc:Fallback/>
      </mc:AlternateContent>
    </comment>
    <comment ref="AN542" authorId="0">
      <text>
        <r>
          <rPr>
            <sz val="10"/>
            <rFont val="Arial"/>
            <family val="2"/>
          </rPr>
          <t xml:space="preserve">resources reduced to 8.64 due to neglected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537</xdr:row>
                <xdr:rowOff>17</xdr:rowOff>
              </xdr:from>
              <xdr:to>
                <xdr:col>41</xdr:col>
                <xdr:colOff>47</xdr:colOff>
                <xdr:row>541</xdr:row>
                <xdr:rowOff>11</xdr:rowOff>
              </xdr:to>
            </anchor>
          </commentPr>
        </mc:Choice>
        <mc:Fallback/>
      </mc:AlternateContent>
    </comment>
    <comment ref="AN549" authorId="0">
      <text>
        <r>
          <rPr>
            <sz val="10"/>
            <rFont val="Arial"/>
            <family val="2"/>
          </rPr>
          <t xml:space="preserve">resources reduced to 2.4 due to neglected state and Cangaço activity in state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544</xdr:row>
                <xdr:rowOff>17</xdr:rowOff>
              </xdr:from>
              <xdr:to>
                <xdr:col>41</xdr:col>
                <xdr:colOff>47</xdr:colOff>
                <xdr:row>550</xdr:row>
                <xdr:rowOff>4</xdr:rowOff>
              </xdr:to>
            </anchor>
          </commentPr>
        </mc:Choice>
        <mc:Fallback/>
      </mc:AlternateContent>
    </comment>
    <comment ref="AN743" authorId="0">
      <text>
        <r>
          <rPr>
            <sz val="10"/>
            <rFont val="Arial"/>
            <family val="2"/>
          </rPr>
          <t xml:space="preserve">11.52 resources due to -25% autonomous state status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738</xdr:row>
                <xdr:rowOff>17</xdr:rowOff>
              </xdr:from>
              <xdr:to>
                <xdr:col>41</xdr:col>
                <xdr:colOff>47</xdr:colOff>
                <xdr:row>742</xdr:row>
                <xdr:rowOff>11</xdr:rowOff>
              </xdr:to>
            </anchor>
          </commentPr>
        </mc:Choice>
        <mc:Fallback/>
      </mc:AlternateContent>
    </comment>
    <comment ref="AN748" authorId="0">
      <text>
        <r>
          <rPr>
            <sz val="10"/>
            <rFont val="Arial"/>
            <family val="2"/>
          </rPr>
          <t xml:space="preserve">resources reduced to 60.48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743</xdr:row>
                <xdr:rowOff>17</xdr:rowOff>
              </xdr:from>
              <xdr:to>
                <xdr:col>41</xdr:col>
                <xdr:colOff>47</xdr:colOff>
                <xdr:row>747</xdr:row>
                <xdr:rowOff>11</xdr:rowOff>
              </xdr:to>
            </anchor>
          </commentPr>
        </mc:Choice>
        <mc:Fallback/>
      </mc:AlternateContent>
    </comment>
    <comment ref="AN797" authorId="0">
      <text>
        <r>
          <rPr>
            <sz val="10"/>
            <rFont val="Arial"/>
            <family val="2"/>
          </rPr>
          <t xml:space="preserve">resources reduced to 6.48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792</xdr:row>
                <xdr:rowOff>17</xdr:rowOff>
              </xdr:from>
              <xdr:to>
                <xdr:col>41</xdr:col>
                <xdr:colOff>47</xdr:colOff>
                <xdr:row>796</xdr:row>
                <xdr:rowOff>11</xdr:rowOff>
              </xdr:to>
            </anchor>
          </commentPr>
        </mc:Choice>
        <mc:Fallback/>
      </mc:AlternateContent>
    </comment>
    <comment ref="AN799" authorId="0">
      <text>
        <r>
          <rPr>
            <sz val="10"/>
            <rFont val="Arial"/>
            <family val="2"/>
          </rPr>
          <t xml:space="preserve">resources reduced to 12.096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794</xdr:row>
                <xdr:rowOff>17</xdr:rowOff>
              </xdr:from>
              <xdr:to>
                <xdr:col>41</xdr:col>
                <xdr:colOff>47</xdr:colOff>
                <xdr:row>798</xdr:row>
                <xdr:rowOff>11</xdr:rowOff>
              </xdr:to>
            </anchor>
          </commentPr>
        </mc:Choice>
        <mc:Fallback/>
      </mc:AlternateContent>
    </comment>
    <comment ref="AN804" authorId="0">
      <text>
        <r>
          <rPr>
            <sz val="10"/>
            <rFont val="Arial"/>
            <family val="2"/>
          </rPr>
          <t xml:space="preserve">resources reduced to 116.64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799</xdr:row>
                <xdr:rowOff>17</xdr:rowOff>
              </xdr:from>
              <xdr:to>
                <xdr:col>41</xdr:col>
                <xdr:colOff>47</xdr:colOff>
                <xdr:row>803</xdr:row>
                <xdr:rowOff>11</xdr:rowOff>
              </xdr:to>
            </anchor>
          </commentPr>
        </mc:Choice>
        <mc:Fallback/>
      </mc:AlternateContent>
    </comment>
    <comment ref="AN809" authorId="0">
      <text>
        <r>
          <rPr>
            <sz val="10"/>
            <rFont val="Arial"/>
            <family val="2"/>
          </rPr>
          <t xml:space="preserve">resources reduced to 82.944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804</xdr:row>
                <xdr:rowOff>17</xdr:rowOff>
              </xdr:from>
              <xdr:to>
                <xdr:col>41</xdr:col>
                <xdr:colOff>47</xdr:colOff>
                <xdr:row>808</xdr:row>
                <xdr:rowOff>11</xdr:rowOff>
              </xdr:to>
            </anchor>
          </commentPr>
        </mc:Choice>
        <mc:Fallback/>
      </mc:AlternateContent>
    </comment>
    <comment ref="AN813" authorId="0">
      <text>
        <r>
          <rPr>
            <sz val="10"/>
            <rFont val="Arial"/>
            <family val="2"/>
          </rPr>
          <t xml:space="preserve">resources reduced to 90.72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808</xdr:row>
                <xdr:rowOff>17</xdr:rowOff>
              </xdr:from>
              <xdr:to>
                <xdr:col>41</xdr:col>
                <xdr:colOff>47</xdr:colOff>
                <xdr:row>812</xdr:row>
                <xdr:rowOff>11</xdr:rowOff>
              </xdr:to>
            </anchor>
          </commentPr>
        </mc:Choice>
        <mc:Fallback/>
      </mc:AlternateContent>
    </comment>
    <comment ref="AN817" authorId="0">
      <text>
        <r>
          <rPr>
            <sz val="10"/>
            <rFont val="Arial"/>
            <family val="2"/>
          </rPr>
          <t xml:space="preserve">resources reduced to 4.536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812</xdr:row>
                <xdr:rowOff>17</xdr:rowOff>
              </xdr:from>
              <xdr:to>
                <xdr:col>41</xdr:col>
                <xdr:colOff>47</xdr:colOff>
                <xdr:row>816</xdr:row>
                <xdr:rowOff>11</xdr:rowOff>
              </xdr:to>
            </anchor>
          </commentPr>
        </mc:Choice>
        <mc:Fallback/>
      </mc:AlternateContent>
    </comment>
    <comment ref="AN827" authorId="0">
      <text>
        <r>
          <rPr>
            <sz val="10"/>
            <rFont val="Arial"/>
            <family val="2"/>
          </rPr>
          <t xml:space="preserve">resources reduced to 30.24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822</xdr:row>
                <xdr:rowOff>17</xdr:rowOff>
              </xdr:from>
              <xdr:to>
                <xdr:col>41</xdr:col>
                <xdr:colOff>47</xdr:colOff>
                <xdr:row>826</xdr:row>
                <xdr:rowOff>11</xdr:rowOff>
              </xdr:to>
            </anchor>
          </commentPr>
        </mc:Choice>
        <mc:Fallback/>
      </mc:AlternateContent>
    </comment>
    <comment ref="AN841" authorId="0">
      <text>
        <r>
          <rPr>
            <sz val="10"/>
            <rFont val="Arial"/>
            <family val="2"/>
          </rPr>
          <t xml:space="preserve">resources reduced to 3.024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836</xdr:row>
                <xdr:rowOff>17</xdr:rowOff>
              </xdr:from>
              <xdr:to>
                <xdr:col>41</xdr:col>
                <xdr:colOff>47</xdr:colOff>
                <xdr:row>840</xdr:row>
                <xdr:rowOff>11</xdr:rowOff>
              </xdr:to>
            </anchor>
          </commentPr>
        </mc:Choice>
        <mc:Fallback/>
      </mc:AlternateContent>
    </comment>
    <comment ref="AN868" authorId="0">
      <text>
        <r>
          <rPr>
            <sz val="10"/>
            <rFont val="Arial"/>
            <family val="2"/>
          </rPr>
          <t xml:space="preserve">resources reduced to 48.384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863</xdr:row>
                <xdr:rowOff>17</xdr:rowOff>
              </xdr:from>
              <xdr:to>
                <xdr:col>41</xdr:col>
                <xdr:colOff>47</xdr:colOff>
                <xdr:row>867</xdr:row>
                <xdr:rowOff>11</xdr:rowOff>
              </xdr:to>
            </anchor>
          </commentPr>
        </mc:Choice>
        <mc:Fallback/>
      </mc:AlternateContent>
    </comment>
    <comment ref="AN878" authorId="0">
      <text>
        <r>
          <rPr>
            <sz val="10"/>
            <rFont val="Arial"/>
            <family val="2"/>
          </rPr>
          <t xml:space="preserve">resources reduced to 3.024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873</xdr:row>
                <xdr:rowOff>17</xdr:rowOff>
              </xdr:from>
              <xdr:to>
                <xdr:col>41</xdr:col>
                <xdr:colOff>47</xdr:colOff>
                <xdr:row>877</xdr:row>
                <xdr:rowOff>11</xdr:rowOff>
              </xdr:to>
            </anchor>
          </commentPr>
        </mc:Choice>
        <mc:Fallback/>
      </mc:AlternateContent>
    </comment>
    <comment ref="AN879" authorId="0">
      <text>
        <r>
          <rPr>
            <sz val="10"/>
            <rFont val="Arial"/>
            <family val="2"/>
          </rPr>
          <t xml:space="preserve">resources reduced to 18.144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874</xdr:row>
                <xdr:rowOff>17</xdr:rowOff>
              </xdr:from>
              <xdr:to>
                <xdr:col>41</xdr:col>
                <xdr:colOff>47</xdr:colOff>
                <xdr:row>878</xdr:row>
                <xdr:rowOff>11</xdr:rowOff>
              </xdr:to>
            </anchor>
          </commentPr>
        </mc:Choice>
        <mc:Fallback/>
      </mc:AlternateContent>
    </comment>
    <comment ref="AN880" authorId="0">
      <text>
        <r>
          <rPr>
            <sz val="10"/>
            <rFont val="Arial"/>
            <family val="2"/>
          </rPr>
          <t xml:space="preserve">resources reduced to 3.78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875</xdr:row>
                <xdr:rowOff>17</xdr:rowOff>
              </xdr:from>
              <xdr:to>
                <xdr:col>41</xdr:col>
                <xdr:colOff>47</xdr:colOff>
                <xdr:row>879</xdr:row>
                <xdr:rowOff>11</xdr:rowOff>
              </xdr:to>
            </anchor>
          </commentPr>
        </mc:Choice>
        <mc:Fallback/>
      </mc:AlternateContent>
    </comment>
    <comment ref="AN887" authorId="0">
      <text>
        <r>
          <rPr>
            <sz val="10"/>
            <rFont val="Arial"/>
            <family val="2"/>
          </rPr>
          <t xml:space="preserve">resources reduced to 65.016 due to occupation level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23</xdr:colOff>
                <xdr:row>882</xdr:row>
                <xdr:rowOff>17</xdr:rowOff>
              </xdr:from>
              <xdr:to>
                <xdr:col>41</xdr:col>
                <xdr:colOff>47</xdr:colOff>
                <xdr:row>886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<sst xmlns="http://schemas.openxmlformats.org/spreadsheetml/2006/main" count="5476" uniqueCount="1172">
  <si>
    <t xml:space="preserve">State Name</t>
  </si>
  <si>
    <t xml:space="preserve">ID</t>
  </si>
  <si>
    <t xml:space="preserve">Owner Tag</t>
  </si>
  <si>
    <t xml:space="preserve">State Status</t>
  </si>
  <si>
    <t xml:space="preserve">Country Name</t>
  </si>
  <si>
    <t xml:space="preserve">vp</t>
  </si>
  <si>
    <t xml:space="preserve">States</t>
  </si>
  <si>
    <t xml:space="preserve">Provinces</t>
  </si>
  <si>
    <t xml:space="preserve">population</t>
  </si>
  <si>
    <t xml:space="preserve">infra</t>
  </si>
  <si>
    <t xml:space="preserve">State category</t>
  </si>
  <si>
    <t xml:space="preserve">* Unadjusted Building slots </t>
  </si>
  <si>
    <t xml:space="preserve">MIC</t>
  </si>
  <si>
    <t xml:space="preserve">NIC</t>
  </si>
  <si>
    <t xml:space="preserve">CIC</t>
  </si>
  <si>
    <t xml:space="preserve"> Total Factories </t>
  </si>
  <si>
    <t xml:space="preserve"> Base Oil </t>
  </si>
  <si>
    <t xml:space="preserve"> Base Alum </t>
  </si>
  <si>
    <t xml:space="preserve"> Base Rub </t>
  </si>
  <si>
    <t xml:space="preserve"> Base Tung </t>
  </si>
  <si>
    <t xml:space="preserve"> Base Steel </t>
  </si>
  <si>
    <t xml:space="preserve"> Base Chrom </t>
  </si>
  <si>
    <t xml:space="preserve"> Total Base Resources </t>
  </si>
  <si>
    <t xml:space="preserve">Air base</t>
  </si>
  <si>
    <t xml:space="preserve">Naval base</t>
  </si>
  <si>
    <t xml:space="preserve">Infra Oil </t>
  </si>
  <si>
    <t xml:space="preserve">Infra Alum </t>
  </si>
  <si>
    <t xml:space="preserve">Infra Rub </t>
  </si>
  <si>
    <t xml:space="preserve">Infra Tung </t>
  </si>
  <si>
    <t xml:space="preserve">Infra Steel </t>
  </si>
  <si>
    <t xml:space="preserve">Infra Chrom </t>
  </si>
  <si>
    <t xml:space="preserve">Infra Total Resources </t>
  </si>
  <si>
    <t xml:space="preserve">Supply Conn to Capital</t>
  </si>
  <si>
    <t xml:space="preserve">Infra &amp; Conn Oil </t>
  </si>
  <si>
    <t xml:space="preserve">Infra &amp; Conn Alum</t>
  </si>
  <si>
    <t xml:space="preserve">Infra &amp; Conn Rub</t>
  </si>
  <si>
    <t xml:space="preserve">Infra &amp; Conn Tung</t>
  </si>
  <si>
    <t xml:space="preserve">Infra &amp; Conn Steel</t>
  </si>
  <si>
    <t xml:space="preserve">Infra &amp; Conn Chrom</t>
  </si>
  <si>
    <t xml:space="preserve">Infra &amp; Conn Total Resources</t>
  </si>
  <si>
    <t xml:space="preserve">Herat</t>
  </si>
  <si>
    <t xml:space="preserve">AFG</t>
  </si>
  <si>
    <t xml:space="preserve">Core</t>
  </si>
  <si>
    <t xml:space="preserve">Afghanistan</t>
  </si>
  <si>
    <t xml:space="preserve">rural</t>
  </si>
  <si>
    <t xml:space="preserve">Kabul</t>
  </si>
  <si>
    <t xml:space="preserve">town</t>
  </si>
  <si>
    <t xml:space="preserve">yes</t>
  </si>
  <si>
    <t xml:space="preserve">Albania</t>
  </si>
  <si>
    <t xml:space="preserve">ALB</t>
  </si>
  <si>
    <t xml:space="preserve">Northern Epirus</t>
  </si>
  <si>
    <t xml:space="preserve">pastoral</t>
  </si>
  <si>
    <t xml:space="preserve">Shkodër</t>
  </si>
  <si>
    <t xml:space="preserve">no</t>
  </si>
  <si>
    <t xml:space="preserve">Buenos Aires</t>
  </si>
  <si>
    <t xml:space="preserve">ARG</t>
  </si>
  <si>
    <t xml:space="preserve">Argentina</t>
  </si>
  <si>
    <t xml:space="preserve">large_city</t>
  </si>
  <si>
    <t xml:space="preserve">Chaco Austral</t>
  </si>
  <si>
    <t xml:space="preserve">Chubut</t>
  </si>
  <si>
    <t xml:space="preserve">Formosa</t>
  </si>
  <si>
    <t xml:space="preserve">Los Andes</t>
  </si>
  <si>
    <t xml:space="preserve">Mendoza</t>
  </si>
  <si>
    <t xml:space="preserve">Región Mesopotámica</t>
  </si>
  <si>
    <t xml:space="preserve">Río Negro</t>
  </si>
  <si>
    <t xml:space="preserve">San Juan y La Rioja</t>
  </si>
  <si>
    <t xml:space="preserve">San Luis y La Pampa</t>
  </si>
  <si>
    <t xml:space="preserve">Santa Cruz</t>
  </si>
  <si>
    <t xml:space="preserve">Santa Fe</t>
  </si>
  <si>
    <t xml:space="preserve">Tierra del Fuego</t>
  </si>
  <si>
    <t xml:space="preserve">Tucuman</t>
  </si>
  <si>
    <t xml:space="preserve">Bismarck</t>
  </si>
  <si>
    <t xml:space="preserve">AST</t>
  </si>
  <si>
    <t xml:space="preserve">Occupied</t>
  </si>
  <si>
    <t xml:space="preserve">Australia</t>
  </si>
  <si>
    <t xml:space="preserve">Central Australia</t>
  </si>
  <si>
    <t xml:space="preserve">wasteland</t>
  </si>
  <si>
    <t xml:space="preserve">New South Wales</t>
  </si>
  <si>
    <t xml:space="preserve">North Queensland</t>
  </si>
  <si>
    <t xml:space="preserve">North West Australia</t>
  </si>
  <si>
    <t xml:space="preserve">Northern Territory</t>
  </si>
  <si>
    <t xml:space="preserve">Papua</t>
  </si>
  <si>
    <t xml:space="preserve">Queensland</t>
  </si>
  <si>
    <t xml:space="preserve">Solomon Islands</t>
  </si>
  <si>
    <t xml:space="preserve">small_island</t>
  </si>
  <si>
    <t xml:space="preserve">South Australia</t>
  </si>
  <si>
    <t xml:space="preserve">South West Australia</t>
  </si>
  <si>
    <t xml:space="preserve">South West Queensland</t>
  </si>
  <si>
    <t xml:space="preserve">Tasmania</t>
  </si>
  <si>
    <t xml:space="preserve">Victoria</t>
  </si>
  <si>
    <t xml:space="preserve">Western Australia</t>
  </si>
  <si>
    <t xml:space="preserve">Lower Austria</t>
  </si>
  <si>
    <t xml:space="preserve">AUS</t>
  </si>
  <si>
    <t xml:space="preserve">Austria</t>
  </si>
  <si>
    <t xml:space="preserve">Tyrol</t>
  </si>
  <si>
    <t xml:space="preserve">Upper Austria</t>
  </si>
  <si>
    <t xml:space="preserve">city</t>
  </si>
  <si>
    <t xml:space="preserve">Vorarlberg</t>
  </si>
  <si>
    <t xml:space="preserve">Burundi</t>
  </si>
  <si>
    <t xml:space="preserve">BEL</t>
  </si>
  <si>
    <t xml:space="preserve">Belgium</t>
  </si>
  <si>
    <t xml:space="preserve">Coquilhatville</t>
  </si>
  <si>
    <t xml:space="preserve">Costermansville</t>
  </si>
  <si>
    <t xml:space="preserve">Elisabethville</t>
  </si>
  <si>
    <t xml:space="preserve">Leopoldville</t>
  </si>
  <si>
    <t xml:space="preserve">Lusambo</t>
  </si>
  <si>
    <t xml:space="preserve">Rwanda</t>
  </si>
  <si>
    <t xml:space="preserve">Stanleyville</t>
  </si>
  <si>
    <t xml:space="preserve">Vlaanderen</t>
  </si>
  <si>
    <t xml:space="preserve">metropolis</t>
  </si>
  <si>
    <t xml:space="preserve">Wallonie</t>
  </si>
  <si>
    <t xml:space="preserve">Bhutan</t>
  </si>
  <si>
    <t xml:space="preserve">BHU</t>
  </si>
  <si>
    <t xml:space="preserve">La Paz</t>
  </si>
  <si>
    <t xml:space="preserve">BOL</t>
  </si>
  <si>
    <t xml:space="preserve">Bolivian Republic</t>
  </si>
  <si>
    <t xml:space="preserve">North Borneo</t>
  </si>
  <si>
    <t xml:space="preserve">MAL</t>
  </si>
  <si>
    <t xml:space="preserve">British Malaya</t>
  </si>
  <si>
    <t xml:space="preserve">Singapore</t>
  </si>
  <si>
    <t xml:space="preserve">large_town</t>
  </si>
  <si>
    <t xml:space="preserve">Arunachal Pradesh</t>
  </si>
  <si>
    <t xml:space="preserve">RAJ</t>
  </si>
  <si>
    <t xml:space="preserve">British Raj</t>
  </si>
  <si>
    <t xml:space="preserve">Assam</t>
  </si>
  <si>
    <t xml:space="preserve">Baluchistan</t>
  </si>
  <si>
    <t xml:space="preserve">Bihar</t>
  </si>
  <si>
    <t xml:space="preserve">Bombay</t>
  </si>
  <si>
    <t xml:space="preserve">Burma</t>
  </si>
  <si>
    <t xml:space="preserve">Delhi</t>
  </si>
  <si>
    <t xml:space="preserve">East Bengal</t>
  </si>
  <si>
    <t xml:space="preserve">Gujarat</t>
  </si>
  <si>
    <t xml:space="preserve">Hyderabad</t>
  </si>
  <si>
    <t xml:space="preserve">Indore</t>
  </si>
  <si>
    <t xml:space="preserve">Jabalpur</t>
  </si>
  <si>
    <t xml:space="preserve">Kashmir</t>
  </si>
  <si>
    <t xml:space="preserve">Lucknow</t>
  </si>
  <si>
    <t xml:space="preserve">Madras</t>
  </si>
  <si>
    <t xml:space="preserve">Madurai</t>
  </si>
  <si>
    <t xml:space="preserve">Mandalay</t>
  </si>
  <si>
    <t xml:space="preserve">Mysore</t>
  </si>
  <si>
    <t xml:space="preserve">Northern Kashmir</t>
  </si>
  <si>
    <t xml:space="preserve">Orissa</t>
  </si>
  <si>
    <t xml:space="preserve">Peshawar</t>
  </si>
  <si>
    <t xml:space="preserve">Punjab</t>
  </si>
  <si>
    <t xml:space="preserve">Quetta</t>
  </si>
  <si>
    <t xml:space="preserve">Rajahsthan</t>
  </si>
  <si>
    <t xml:space="preserve">Sind</t>
  </si>
  <si>
    <t xml:space="preserve">West Bengal</t>
  </si>
  <si>
    <t xml:space="preserve">Burgas</t>
  </si>
  <si>
    <t xml:space="preserve">BUL</t>
  </si>
  <si>
    <t xml:space="preserve">Bulgaria</t>
  </si>
  <si>
    <t xml:space="preserve">Moesia</t>
  </si>
  <si>
    <t xml:space="preserve">Plovdiv</t>
  </si>
  <si>
    <t xml:space="preserve">Sofia</t>
  </si>
  <si>
    <t xml:space="preserve">Antofagasta</t>
  </si>
  <si>
    <t xml:space="preserve">CHL</t>
  </si>
  <si>
    <t xml:space="preserve">Chile</t>
  </si>
  <si>
    <t xml:space="preserve">Araucanía</t>
  </si>
  <si>
    <t xml:space="preserve">Arica y Tarapacá</t>
  </si>
  <si>
    <t xml:space="preserve">Atacama</t>
  </si>
  <si>
    <t xml:space="preserve">Aysén</t>
  </si>
  <si>
    <t xml:space="preserve">Easter Island</t>
  </si>
  <si>
    <t xml:space="preserve">Magallanes</t>
  </si>
  <si>
    <t xml:space="preserve">Santiago</t>
  </si>
  <si>
    <t xml:space="preserve">Anhui</t>
  </si>
  <si>
    <t xml:space="preserve">CHI</t>
  </si>
  <si>
    <t xml:space="preserve">China</t>
  </si>
  <si>
    <t xml:space="preserve">Beijing</t>
  </si>
  <si>
    <t xml:space="preserve">Changde</t>
  </si>
  <si>
    <t xml:space="preserve">Fujian</t>
  </si>
  <si>
    <t xml:space="preserve">Ganzi</t>
  </si>
  <si>
    <t xml:space="preserve">Guizhou</t>
  </si>
  <si>
    <t xml:space="preserve">Hebei</t>
  </si>
  <si>
    <t xml:space="preserve">Henan</t>
  </si>
  <si>
    <t xml:space="preserve">Huangshan</t>
  </si>
  <si>
    <t xml:space="preserve">Hubei</t>
  </si>
  <si>
    <t xml:space="preserve">Hunan</t>
  </si>
  <si>
    <t xml:space="preserve">Jiangsu</t>
  </si>
  <si>
    <t xml:space="preserve">Jiangxi</t>
  </si>
  <si>
    <t xml:space="preserve">Liangshan</t>
  </si>
  <si>
    <t xml:space="preserve">Qingdao</t>
  </si>
  <si>
    <t xml:space="preserve">Shandong</t>
  </si>
  <si>
    <t xml:space="preserve">Shanghai</t>
  </si>
  <si>
    <t xml:space="preserve">Sichuan</t>
  </si>
  <si>
    <t xml:space="preserve">Xian</t>
  </si>
  <si>
    <t xml:space="preserve">Xikang</t>
  </si>
  <si>
    <t xml:space="preserve">Zhejiang</t>
  </si>
  <si>
    <t xml:space="preserve">Zunyi</t>
  </si>
  <si>
    <t xml:space="preserve">Cundinamarca</t>
  </si>
  <si>
    <t xml:space="preserve">COL</t>
  </si>
  <si>
    <t xml:space="preserve">Colombia</t>
  </si>
  <si>
    <t xml:space="preserve">La Libertad</t>
  </si>
  <si>
    <t xml:space="preserve">Meta</t>
  </si>
  <si>
    <t xml:space="preserve">Shaanxi</t>
  </si>
  <si>
    <t xml:space="preserve">PRC</t>
  </si>
  <si>
    <t xml:space="preserve">Communist China</t>
  </si>
  <si>
    <t xml:space="preserve">Costa Rica</t>
  </si>
  <si>
    <t xml:space="preserve">COS</t>
  </si>
  <si>
    <t xml:space="preserve">Cuba</t>
  </si>
  <si>
    <t xml:space="preserve">CUB</t>
  </si>
  <si>
    <t xml:space="preserve">Bohemia</t>
  </si>
  <si>
    <t xml:space="preserve">CZE</t>
  </si>
  <si>
    <t xml:space="preserve">Czechoslovakia</t>
  </si>
  <si>
    <t xml:space="preserve">Carpathian Ruthenia</t>
  </si>
  <si>
    <t xml:space="preserve">Eastern Slovakia</t>
  </si>
  <si>
    <t xml:space="preserve">Eastern Sudetenland</t>
  </si>
  <si>
    <t xml:space="preserve">Moravia</t>
  </si>
  <si>
    <t xml:space="preserve">Southern Slovakia</t>
  </si>
  <si>
    <t xml:space="preserve">Sudetenland</t>
  </si>
  <si>
    <t xml:space="preserve">Western Slovakia</t>
  </si>
  <si>
    <t xml:space="preserve">Zaolzie</t>
  </si>
  <si>
    <t xml:space="preserve">Bornholm</t>
  </si>
  <si>
    <t xml:space="preserve">DEN</t>
  </si>
  <si>
    <t xml:space="preserve">Denmark</t>
  </si>
  <si>
    <t xml:space="preserve">Faroe Islands</t>
  </si>
  <si>
    <t xml:space="preserve">Fyn</t>
  </si>
  <si>
    <t xml:space="preserve">Greenland</t>
  </si>
  <si>
    <t xml:space="preserve">Jylland</t>
  </si>
  <si>
    <t xml:space="preserve">Sjaelland</t>
  </si>
  <si>
    <t xml:space="preserve">Sønderjylland</t>
  </si>
  <si>
    <t xml:space="preserve">Dominican Republic</t>
  </si>
  <si>
    <t xml:space="preserve">DOM</t>
  </si>
  <si>
    <t xml:space="preserve">Alberta</t>
  </si>
  <si>
    <t xml:space="preserve">CAN</t>
  </si>
  <si>
    <t xml:space="preserve">Dominion of Canada</t>
  </si>
  <si>
    <t xml:space="preserve">British Columbia</t>
  </si>
  <si>
    <t xml:space="preserve">Cote-Nord</t>
  </si>
  <si>
    <t xml:space="preserve">Districts of Ontario</t>
  </si>
  <si>
    <t xml:space="preserve">Haida Gwaii</t>
  </si>
  <si>
    <t xml:space="preserve">Manitoba</t>
  </si>
  <si>
    <t xml:space="preserve">Maurice</t>
  </si>
  <si>
    <t xml:space="preserve">New Brunswick</t>
  </si>
  <si>
    <t xml:space="preserve">Nord du Quebec</t>
  </si>
  <si>
    <t xml:space="preserve">Northern Manitoba</t>
  </si>
  <si>
    <t xml:space="preserve">Northern Ontario</t>
  </si>
  <si>
    <t xml:space="preserve">Northern Saskatchewan</t>
  </si>
  <si>
    <t xml:space="preserve">Northwest Territories</t>
  </si>
  <si>
    <t xml:space="preserve">Nova Scotia</t>
  </si>
  <si>
    <t xml:space="preserve">Nunavut</t>
  </si>
  <si>
    <t xml:space="preserve">Ouest du Quebec</t>
  </si>
  <si>
    <t xml:space="preserve">Saguenay</t>
  </si>
  <si>
    <t xml:space="preserve">Saint Lawrence</t>
  </si>
  <si>
    <t xml:space="preserve">Saskatchewan</t>
  </si>
  <si>
    <t xml:space="preserve">Southern Ontario</t>
  </si>
  <si>
    <t xml:space="preserve">Upper British Columbia</t>
  </si>
  <si>
    <t xml:space="preserve">Vancouver Island</t>
  </si>
  <si>
    <t xml:space="preserve">Yukon Territory</t>
  </si>
  <si>
    <t xml:space="preserve">Aru Islands</t>
  </si>
  <si>
    <t xml:space="preserve">INS</t>
  </si>
  <si>
    <t xml:space="preserve">Dutch East Indies</t>
  </si>
  <si>
    <t xml:space="preserve">Java</t>
  </si>
  <si>
    <t xml:space="preserve">Kalimantan</t>
  </si>
  <si>
    <t xml:space="preserve">Lesser Sunda Islands</t>
  </si>
  <si>
    <t xml:space="preserve">Sulawesi</t>
  </si>
  <si>
    <t xml:space="preserve">Sumatra</t>
  </si>
  <si>
    <t xml:space="preserve">The Moluccas</t>
  </si>
  <si>
    <t xml:space="preserve">West Papua</t>
  </si>
  <si>
    <t xml:space="preserve">Ecuador</t>
  </si>
  <si>
    <t xml:space="preserve">ECU</t>
  </si>
  <si>
    <t xml:space="preserve">Galapagos Islands</t>
  </si>
  <si>
    <t xml:space="preserve">tiny_island</t>
  </si>
  <si>
    <t xml:space="preserve">Pastaza</t>
  </si>
  <si>
    <t xml:space="preserve">El Salvador</t>
  </si>
  <si>
    <t xml:space="preserve">ELS</t>
  </si>
  <si>
    <t xml:space="preserve">Harju</t>
  </si>
  <si>
    <t xml:space="preserve">EST</t>
  </si>
  <si>
    <t xml:space="preserve">Estonia</t>
  </si>
  <si>
    <t xml:space="preserve">Pärnu</t>
  </si>
  <si>
    <t xml:space="preserve">Saaremaa</t>
  </si>
  <si>
    <t xml:space="preserve">Tartu</t>
  </si>
  <si>
    <t xml:space="preserve">Virumaa</t>
  </si>
  <si>
    <t xml:space="preserve">Bale</t>
  </si>
  <si>
    <t xml:space="preserve">ETH</t>
  </si>
  <si>
    <t xml:space="preserve">Ethiopia</t>
  </si>
  <si>
    <t xml:space="preserve">Begemder</t>
  </si>
  <si>
    <t xml:space="preserve">Gojjam</t>
  </si>
  <si>
    <t xml:space="preserve">Hararghe</t>
  </si>
  <si>
    <t xml:space="preserve">Illubabor-Kaffa</t>
  </si>
  <si>
    <t xml:space="preserve">Shewa</t>
  </si>
  <si>
    <t xml:space="preserve">Sidamo</t>
  </si>
  <si>
    <t xml:space="preserve">Tigray</t>
  </si>
  <si>
    <t xml:space="preserve">Welega</t>
  </si>
  <si>
    <t xml:space="preserve">Wello</t>
  </si>
  <si>
    <t xml:space="preserve">Åland</t>
  </si>
  <si>
    <t xml:space="preserve">FIN</t>
  </si>
  <si>
    <t xml:space="preserve">Finland</t>
  </si>
  <si>
    <t xml:space="preserve">Häme</t>
  </si>
  <si>
    <t xml:space="preserve">Karjala</t>
  </si>
  <si>
    <t xml:space="preserve">Kuopio</t>
  </si>
  <si>
    <t xml:space="preserve">Kymi</t>
  </si>
  <si>
    <t xml:space="preserve">Lappi</t>
  </si>
  <si>
    <t xml:space="preserve">Mikkeli</t>
  </si>
  <si>
    <t xml:space="preserve">Oulu</t>
  </si>
  <si>
    <t xml:space="preserve">Petsamo</t>
  </si>
  <si>
    <t xml:space="preserve">enclave</t>
  </si>
  <si>
    <t xml:space="preserve">Salla</t>
  </si>
  <si>
    <t xml:space="preserve">Turku</t>
  </si>
  <si>
    <t xml:space="preserve">Uusimaa</t>
  </si>
  <si>
    <t xml:space="preserve">Vaasa</t>
  </si>
  <si>
    <t xml:space="preserve">Aleppo</t>
  </si>
  <si>
    <t xml:space="preserve">FRA</t>
  </si>
  <si>
    <t xml:space="preserve">France</t>
  </si>
  <si>
    <t xml:space="preserve">Algerian Desert</t>
  </si>
  <si>
    <t xml:space="preserve">Colony</t>
  </si>
  <si>
    <t xml:space="preserve">Algiers</t>
  </si>
  <si>
    <t xml:space="preserve">Alpes</t>
  </si>
  <si>
    <t xml:space="preserve">Alsace-Lorraine</t>
  </si>
  <si>
    <t xml:space="preserve">Aquitaine</t>
  </si>
  <si>
    <t xml:space="preserve">Auvergne</t>
  </si>
  <si>
    <t xml:space="preserve">B.E.T.</t>
  </si>
  <si>
    <t xml:space="preserve">Bamako</t>
  </si>
  <si>
    <t xml:space="preserve">Bouches-du-Rhône</t>
  </si>
  <si>
    <t xml:space="preserve">Bourgogne</t>
  </si>
  <si>
    <t xml:space="preserve">Brittany</t>
  </si>
  <si>
    <t xml:space="preserve">Cambodia</t>
  </si>
  <si>
    <t xml:space="preserve">Cameroon</t>
  </si>
  <si>
    <t xml:space="preserve">Casablanca</t>
  </si>
  <si>
    <t xml:space="preserve">Centre</t>
  </si>
  <si>
    <t xml:space="preserve">Centre-Sud</t>
  </si>
  <si>
    <t xml:space="preserve">Chad</t>
  </si>
  <si>
    <t xml:space="preserve">Champagne</t>
  </si>
  <si>
    <t xml:space="preserve">Comoro Islands</t>
  </si>
  <si>
    <t xml:space="preserve">Constantine</t>
  </si>
  <si>
    <t xml:space="preserve">Corsica</t>
  </si>
  <si>
    <t xml:space="preserve">Dahomey</t>
  </si>
  <si>
    <t xml:space="preserve">Damascus</t>
  </si>
  <si>
    <t xml:space="preserve">Deir-az-Zur</t>
  </si>
  <si>
    <t xml:space="preserve">Equatorial Africa</t>
  </si>
  <si>
    <t xml:space="preserve">Franche-Comte</t>
  </si>
  <si>
    <t xml:space="preserve">French Caribbean</t>
  </si>
  <si>
    <t xml:space="preserve">French Guiana</t>
  </si>
  <si>
    <t xml:space="preserve">French India</t>
  </si>
  <si>
    <t xml:space="preserve">French Somaliland</t>
  </si>
  <si>
    <t xml:space="preserve">Gabès</t>
  </si>
  <si>
    <t xml:space="preserve">Gabon</t>
  </si>
  <si>
    <t xml:space="preserve">Gao</t>
  </si>
  <si>
    <t xml:space="preserve">Guangzhouwan</t>
  </si>
  <si>
    <t xml:space="preserve">Guinea</t>
  </si>
  <si>
    <t xml:space="preserve">Hatay</t>
  </si>
  <si>
    <t xml:space="preserve">Ile de France</t>
  </si>
  <si>
    <t xml:space="preserve">Ivory Coast</t>
  </si>
  <si>
    <t xml:space="preserve">Kayes-Koulikoro</t>
  </si>
  <si>
    <t xml:space="preserve">Kerguelen</t>
  </si>
  <si>
    <t xml:space="preserve">Languedoc</t>
  </si>
  <si>
    <t xml:space="preserve">Laos</t>
  </si>
  <si>
    <t xml:space="preserve">Lebanon</t>
  </si>
  <si>
    <t xml:space="preserve">Limousin</t>
  </si>
  <si>
    <t xml:space="preserve">Loire</t>
  </si>
  <si>
    <t xml:space="preserve">Madagascar</t>
  </si>
  <si>
    <t xml:space="preserve">Marrakech</t>
  </si>
  <si>
    <t xml:space="preserve">Mauritania</t>
  </si>
  <si>
    <t xml:space="preserve">Mauritanian Desert</t>
  </si>
  <si>
    <t xml:space="preserve">Middle Congo</t>
  </si>
  <si>
    <t xml:space="preserve">Midi Pyrenees</t>
  </si>
  <si>
    <t xml:space="preserve">Nendo</t>
  </si>
  <si>
    <t xml:space="preserve">New Caledonia</t>
  </si>
  <si>
    <t xml:space="preserve">Niger</t>
  </si>
  <si>
    <t xml:space="preserve">Nord-Pas-de-Calais</t>
  </si>
  <si>
    <t xml:space="preserve">Normandy</t>
  </si>
  <si>
    <t xml:space="preserve">Picardy</t>
  </si>
  <si>
    <t xml:space="preserve">Poitou</t>
  </si>
  <si>
    <t xml:space="preserve">Pyrénées-Atlantiques</t>
  </si>
  <si>
    <t xml:space="preserve">Reunion</t>
  </si>
  <si>
    <t xml:space="preserve">Rhone</t>
  </si>
  <si>
    <t xml:space="preserve">Savoy</t>
  </si>
  <si>
    <t xml:space="preserve">Senegal</t>
  </si>
  <si>
    <t xml:space="preserve">Southern Indochina</t>
  </si>
  <si>
    <t xml:space="preserve">Southern Sahara</t>
  </si>
  <si>
    <t xml:space="preserve">St Pierre and Miquelon</t>
  </si>
  <si>
    <t xml:space="preserve">Tahiti</t>
  </si>
  <si>
    <t xml:space="preserve">Tlemcen</t>
  </si>
  <si>
    <t xml:space="preserve">Togo</t>
  </si>
  <si>
    <t xml:space="preserve">Tombouctou</t>
  </si>
  <si>
    <t xml:space="preserve">Tonkin</t>
  </si>
  <si>
    <t xml:space="preserve">Tunisia</t>
  </si>
  <si>
    <t xml:space="preserve">Upper Volta</t>
  </si>
  <si>
    <t xml:space="preserve">Var</t>
  </si>
  <si>
    <t xml:space="preserve">Brandenburg</t>
  </si>
  <si>
    <t xml:space="preserve">GER</t>
  </si>
  <si>
    <t xml:space="preserve">German Reich</t>
  </si>
  <si>
    <t xml:space="preserve">megalopolis</t>
  </si>
  <si>
    <t xml:space="preserve">Ermland-Masuren</t>
  </si>
  <si>
    <t xml:space="preserve">Franken</t>
  </si>
  <si>
    <t xml:space="preserve">Hannover</t>
  </si>
  <si>
    <t xml:space="preserve">Hessen</t>
  </si>
  <si>
    <t xml:space="preserve">Hinterpommern</t>
  </si>
  <si>
    <t xml:space="preserve">Holstein</t>
  </si>
  <si>
    <t xml:space="preserve">Königsberg</t>
  </si>
  <si>
    <t xml:space="preserve">Mecklenburg</t>
  </si>
  <si>
    <t xml:space="preserve">Moselland</t>
  </si>
  <si>
    <t xml:space="preserve">Niederbayern</t>
  </si>
  <si>
    <t xml:space="preserve">Niederschlesien</t>
  </si>
  <si>
    <t xml:space="preserve">Oberbayern</t>
  </si>
  <si>
    <t xml:space="preserve">Oberschlesien</t>
  </si>
  <si>
    <t xml:space="preserve">Ostmark</t>
  </si>
  <si>
    <t xml:space="preserve">Rhineland</t>
  </si>
  <si>
    <t xml:space="preserve">Sachsen</t>
  </si>
  <si>
    <t xml:space="preserve">Schleswig</t>
  </si>
  <si>
    <t xml:space="preserve">Thüringen</t>
  </si>
  <si>
    <t xml:space="preserve">Vorpommern</t>
  </si>
  <si>
    <t xml:space="preserve">Weser-Ems</t>
  </si>
  <si>
    <t xml:space="preserve">Westfalen</t>
  </si>
  <si>
    <t xml:space="preserve">Württemberg</t>
  </si>
  <si>
    <t xml:space="preserve">Guangdong</t>
  </si>
  <si>
    <t xml:space="preserve">GXC</t>
  </si>
  <si>
    <t xml:space="preserve">Guangxi Clique</t>
  </si>
  <si>
    <t xml:space="preserve">Guangxi</t>
  </si>
  <si>
    <t xml:space="preserve">Guangzhou</t>
  </si>
  <si>
    <t xml:space="preserve">Hainan</t>
  </si>
  <si>
    <t xml:space="preserve">Nanning</t>
  </si>
  <si>
    <t xml:space="preserve">Guatemala</t>
  </si>
  <si>
    <t xml:space="preserve">GUA</t>
  </si>
  <si>
    <t xml:space="preserve">Haiti</t>
  </si>
  <si>
    <t xml:space="preserve">HAI</t>
  </si>
  <si>
    <t xml:space="preserve">Honduras</t>
  </si>
  <si>
    <t xml:space="preserve">HON</t>
  </si>
  <si>
    <t xml:space="preserve">Iceland</t>
  </si>
  <si>
    <t xml:space="preserve">ICE</t>
  </si>
  <si>
    <t xml:space="preserve">Fars</t>
  </si>
  <si>
    <t xml:space="preserve">PER</t>
  </si>
  <si>
    <t xml:space="preserve">Iran</t>
  </si>
  <si>
    <t xml:space="preserve">Gilan</t>
  </si>
  <si>
    <t xml:space="preserve">Hamadan</t>
  </si>
  <si>
    <t xml:space="preserve">Isfahan</t>
  </si>
  <si>
    <t xml:space="preserve">Kerman</t>
  </si>
  <si>
    <t xml:space="preserve">Khorasan</t>
  </si>
  <si>
    <t xml:space="preserve">Khuzestan</t>
  </si>
  <si>
    <t xml:space="preserve">Kurdistan</t>
  </si>
  <si>
    <t xml:space="preserve">Semnan</t>
  </si>
  <si>
    <t xml:space="preserve">Sistan</t>
  </si>
  <si>
    <t xml:space="preserve">Tehran</t>
  </si>
  <si>
    <t xml:space="preserve">Tibriz</t>
  </si>
  <si>
    <t xml:space="preserve">Al Hajara</t>
  </si>
  <si>
    <t xml:space="preserve">IRQ</t>
  </si>
  <si>
    <t xml:space="preserve">Iraq</t>
  </si>
  <si>
    <t xml:space="preserve">Baghdad</t>
  </si>
  <si>
    <t xml:space="preserve">Mosul</t>
  </si>
  <si>
    <t xml:space="preserve">Connaught</t>
  </si>
  <si>
    <t xml:space="preserve">IRE</t>
  </si>
  <si>
    <t xml:space="preserve">Ireland</t>
  </si>
  <si>
    <t xml:space="preserve">Leinster</t>
  </si>
  <si>
    <t xml:space="preserve">Munster</t>
  </si>
  <si>
    <t xml:space="preserve">Abruzzo</t>
  </si>
  <si>
    <t xml:space="preserve">ITA</t>
  </si>
  <si>
    <t xml:space="preserve">Italy</t>
  </si>
  <si>
    <t xml:space="preserve">Alto Adige</t>
  </si>
  <si>
    <t xml:space="preserve">Benghasi</t>
  </si>
  <si>
    <t xml:space="preserve">Calabria</t>
  </si>
  <si>
    <t xml:space="preserve">Campania</t>
  </si>
  <si>
    <t xml:space="preserve">Cyrenaica</t>
  </si>
  <si>
    <t xml:space="preserve">Derna</t>
  </si>
  <si>
    <t xml:space="preserve">Dodecanese</t>
  </si>
  <si>
    <t xml:space="preserve">El Agheila</t>
  </si>
  <si>
    <t xml:space="preserve">Emilia Romagna</t>
  </si>
  <si>
    <t xml:space="preserve">Eritrea</t>
  </si>
  <si>
    <t xml:space="preserve">Istria</t>
  </si>
  <si>
    <t xml:space="preserve">Jubaland</t>
  </si>
  <si>
    <t xml:space="preserve">Lazio</t>
  </si>
  <si>
    <t xml:space="preserve">Libyan Desert</t>
  </si>
  <si>
    <t xml:space="preserve">Litorale</t>
  </si>
  <si>
    <t xml:space="preserve">Lombardia</t>
  </si>
  <si>
    <t xml:space="preserve">Piemonte</t>
  </si>
  <si>
    <t xml:space="preserve">Puglia</t>
  </si>
  <si>
    <t xml:space="preserve">Sardegna</t>
  </si>
  <si>
    <t xml:space="preserve">Sicilia</t>
  </si>
  <si>
    <t xml:space="preserve">Sirte</t>
  </si>
  <si>
    <t xml:space="preserve">Somaliland</t>
  </si>
  <si>
    <t xml:space="preserve">Toscana</t>
  </si>
  <si>
    <t xml:space="preserve">Trentino</t>
  </si>
  <si>
    <t xml:space="preserve">Tripoli</t>
  </si>
  <si>
    <t xml:space="preserve">Tripolitania</t>
  </si>
  <si>
    <t xml:space="preserve">Veneto</t>
  </si>
  <si>
    <t xml:space="preserve">Zara</t>
  </si>
  <si>
    <t xml:space="preserve">Caroline Islands</t>
  </si>
  <si>
    <t xml:space="preserve">JAP</t>
  </si>
  <si>
    <t xml:space="preserve">Japan</t>
  </si>
  <si>
    <t xml:space="preserve">Chugoku</t>
  </si>
  <si>
    <t xml:space="preserve">Dalian</t>
  </si>
  <si>
    <t xml:space="preserve">East Hebei</t>
  </si>
  <si>
    <t xml:space="preserve">Hokkaido</t>
  </si>
  <si>
    <t xml:space="preserve">Hokuriku</t>
  </si>
  <si>
    <t xml:space="preserve">Iwo Jima</t>
  </si>
  <si>
    <t xml:space="preserve">Kansai</t>
  </si>
  <si>
    <t xml:space="preserve">Kanto</t>
  </si>
  <si>
    <t xml:space="preserve">Koshinetsu</t>
  </si>
  <si>
    <t xml:space="preserve">Kuril Islands</t>
  </si>
  <si>
    <t xml:space="preserve">Kyushu</t>
  </si>
  <si>
    <t xml:space="preserve">Marcus Island</t>
  </si>
  <si>
    <t xml:space="preserve">Marshall Islands</t>
  </si>
  <si>
    <t xml:space="preserve">North Korea</t>
  </si>
  <si>
    <t xml:space="preserve">Okinawa</t>
  </si>
  <si>
    <t xml:space="preserve">Palau</t>
  </si>
  <si>
    <t xml:space="preserve">Saipan</t>
  </si>
  <si>
    <t xml:space="preserve">Shikoku</t>
  </si>
  <si>
    <t xml:space="preserve">South Korea</t>
  </si>
  <si>
    <t xml:space="preserve">South Sakhalin</t>
  </si>
  <si>
    <t xml:space="preserve">Taiwan</t>
  </si>
  <si>
    <t xml:space="preserve">Tohoku</t>
  </si>
  <si>
    <t xml:space="preserve">Tokai</t>
  </si>
  <si>
    <t xml:space="preserve">Aegean Islands</t>
  </si>
  <si>
    <t xml:space="preserve">GRE</t>
  </si>
  <si>
    <t xml:space="preserve">Kingdom of Greece</t>
  </si>
  <si>
    <t xml:space="preserve">Attica</t>
  </si>
  <si>
    <t xml:space="preserve">Central Macedonia</t>
  </si>
  <si>
    <t xml:space="preserve">Crete</t>
  </si>
  <si>
    <t xml:space="preserve">Epirus</t>
  </si>
  <si>
    <t xml:space="preserve">Peloponnese</t>
  </si>
  <si>
    <t xml:space="preserve">Thrace</t>
  </si>
  <si>
    <t xml:space="preserve">Alföld</t>
  </si>
  <si>
    <t xml:space="preserve">HUN</t>
  </si>
  <si>
    <t xml:space="preserve">Kingdom of Hungary</t>
  </si>
  <si>
    <t xml:space="preserve">Northern Hungary</t>
  </si>
  <si>
    <t xml:space="preserve">Transdanubia</t>
  </si>
  <si>
    <t xml:space="preserve">Kurzeme</t>
  </si>
  <si>
    <t xml:space="preserve">LAT</t>
  </si>
  <si>
    <t xml:space="preserve">Latvia</t>
  </si>
  <si>
    <t xml:space="preserve">Latgale</t>
  </si>
  <si>
    <t xml:space="preserve">Rīga</t>
  </si>
  <si>
    <t xml:space="preserve">Vidzeme</t>
  </si>
  <si>
    <t xml:space="preserve">Zemgale</t>
  </si>
  <si>
    <t xml:space="preserve">Liberia</t>
  </si>
  <si>
    <t xml:space="preserve">LIB</t>
  </si>
  <si>
    <t xml:space="preserve">Aukštaitija</t>
  </si>
  <si>
    <t xml:space="preserve">LIT</t>
  </si>
  <si>
    <t xml:space="preserve">Lithuania</t>
  </si>
  <si>
    <t xml:space="preserve">Kaunas</t>
  </si>
  <si>
    <t xml:space="preserve">Memel</t>
  </si>
  <si>
    <t xml:space="preserve">Sūduva</t>
  </si>
  <si>
    <t xml:space="preserve">Žemaitija</t>
  </si>
  <si>
    <t xml:space="preserve">Luxemburg</t>
  </si>
  <si>
    <t xml:space="preserve">LUX</t>
  </si>
  <si>
    <t xml:space="preserve">Luxembourg</t>
  </si>
  <si>
    <t xml:space="preserve">Heilungkiang</t>
  </si>
  <si>
    <t xml:space="preserve">MAN</t>
  </si>
  <si>
    <t xml:space="preserve">Manchukuo</t>
  </si>
  <si>
    <t xml:space="preserve">Hulunbuir</t>
  </si>
  <si>
    <t xml:space="preserve">Jehol</t>
  </si>
  <si>
    <t xml:space="preserve">Kirin</t>
  </si>
  <si>
    <t xml:space="preserve">Liaoning</t>
  </si>
  <si>
    <t xml:space="preserve">Liaotung</t>
  </si>
  <si>
    <t xml:space="preserve">Sungkiang</t>
  </si>
  <si>
    <t xml:space="preserve">Chahar</t>
  </si>
  <si>
    <t xml:space="preserve">MEN</t>
  </si>
  <si>
    <t xml:space="preserve">Mengkukuo</t>
  </si>
  <si>
    <t xml:space="preserve">South Chahar</t>
  </si>
  <si>
    <t xml:space="preserve">Baja California</t>
  </si>
  <si>
    <t xml:space="preserve">MEX</t>
  </si>
  <si>
    <t xml:space="preserve">Mexico</t>
  </si>
  <si>
    <t xml:space="preserve">Chiapas</t>
  </si>
  <si>
    <t xml:space="preserve">Chihuahua</t>
  </si>
  <si>
    <t xml:space="preserve">Coahuila</t>
  </si>
  <si>
    <t xml:space="preserve">Durango</t>
  </si>
  <si>
    <t xml:space="preserve">Guerrero</t>
  </si>
  <si>
    <t xml:space="preserve">Jalisco</t>
  </si>
  <si>
    <t xml:space="preserve">Mexico City</t>
  </si>
  <si>
    <t xml:space="preserve">Oaxaca</t>
  </si>
  <si>
    <t xml:space="preserve">Sonora</t>
  </si>
  <si>
    <t xml:space="preserve">Tamaulipas</t>
  </si>
  <si>
    <t xml:space="preserve">Veracruz</t>
  </si>
  <si>
    <t xml:space="preserve">Yucatan</t>
  </si>
  <si>
    <t xml:space="preserve">Dornod</t>
  </si>
  <si>
    <t xml:space="preserve">MON</t>
  </si>
  <si>
    <t xml:space="preserve">Mongolia</t>
  </si>
  <si>
    <t xml:space="preserve">Gobi</t>
  </si>
  <si>
    <t xml:space="preserve">Khovd</t>
  </si>
  <si>
    <t xml:space="preserve">Khövsgöl</t>
  </si>
  <si>
    <t xml:space="preserve">Ulaanbaatar</t>
  </si>
  <si>
    <t xml:space="preserve">Nepal</t>
  </si>
  <si>
    <t xml:space="preserve">NEP</t>
  </si>
  <si>
    <t xml:space="preserve">Brabant</t>
  </si>
  <si>
    <t xml:space="preserve">HOL</t>
  </si>
  <si>
    <t xml:space="preserve">Netherlands</t>
  </si>
  <si>
    <t xml:space="preserve">Curaçao</t>
  </si>
  <si>
    <t xml:space="preserve">Friesland</t>
  </si>
  <si>
    <t xml:space="preserve">Holland</t>
  </si>
  <si>
    <t xml:space="preserve">Suriname</t>
  </si>
  <si>
    <t xml:space="preserve">North Island</t>
  </si>
  <si>
    <t xml:space="preserve">NZL</t>
  </si>
  <si>
    <t xml:space="preserve">New Zealand</t>
  </si>
  <si>
    <t xml:space="preserve">Samoa</t>
  </si>
  <si>
    <t xml:space="preserve">South Island</t>
  </si>
  <si>
    <t xml:space="preserve">Nicaragua</t>
  </si>
  <si>
    <t xml:space="preserve">Agder</t>
  </si>
  <si>
    <t xml:space="preserve">NOR</t>
  </si>
  <si>
    <t xml:space="preserve">Norway</t>
  </si>
  <si>
    <t xml:space="preserve">Finnmark</t>
  </si>
  <si>
    <t xml:space="preserve">Helgeland</t>
  </si>
  <si>
    <t xml:space="preserve">Jan Mayen</t>
  </si>
  <si>
    <t xml:space="preserve">Nordland</t>
  </si>
  <si>
    <t xml:space="preserve">Opplandene</t>
  </si>
  <si>
    <t xml:space="preserve">Oslofjord</t>
  </si>
  <si>
    <t xml:space="preserve">Telemark</t>
  </si>
  <si>
    <t xml:space="preserve">Troms</t>
  </si>
  <si>
    <t xml:space="preserve">Trøndelag</t>
  </si>
  <si>
    <t xml:space="preserve">Vestlandet</t>
  </si>
  <si>
    <t xml:space="preserve">Oman</t>
  </si>
  <si>
    <t xml:space="preserve">OMA</t>
  </si>
  <si>
    <t xml:space="preserve">Panamá</t>
  </si>
  <si>
    <t xml:space="preserve">PAN</t>
  </si>
  <si>
    <t xml:space="preserve">Panama</t>
  </si>
  <si>
    <t xml:space="preserve">Arequipa</t>
  </si>
  <si>
    <t xml:space="preserve">PRU</t>
  </si>
  <si>
    <t xml:space="preserve">Peru</t>
  </si>
  <si>
    <t xml:space="preserve">Lima</t>
  </si>
  <si>
    <t xml:space="preserve">Loreto</t>
  </si>
  <si>
    <t xml:space="preserve">Tacna-Moquegua</t>
  </si>
  <si>
    <t xml:space="preserve">Ucayali</t>
  </si>
  <si>
    <t xml:space="preserve">Cebu</t>
  </si>
  <si>
    <t xml:space="preserve">PHI</t>
  </si>
  <si>
    <t xml:space="preserve">Philippines</t>
  </si>
  <si>
    <t xml:space="preserve">Central islands</t>
  </si>
  <si>
    <t xml:space="preserve">Luzon</t>
  </si>
  <si>
    <t xml:space="preserve">Manila</t>
  </si>
  <si>
    <t xml:space="preserve">Mindanao</t>
  </si>
  <si>
    <t xml:space="preserve">Palawan</t>
  </si>
  <si>
    <t xml:space="preserve">Samar</t>
  </si>
  <si>
    <t xml:space="preserve">Białystok</t>
  </si>
  <si>
    <t xml:space="preserve">POL</t>
  </si>
  <si>
    <t xml:space="preserve">Poland</t>
  </si>
  <si>
    <t xml:space="preserve">Danzig</t>
  </si>
  <si>
    <t xml:space="preserve">Gdynia</t>
  </si>
  <si>
    <t xml:space="preserve">Katowice</t>
  </si>
  <si>
    <t xml:space="preserve">Kielce</t>
  </si>
  <si>
    <t xml:space="preserve">Kraków</t>
  </si>
  <si>
    <t xml:space="preserve">Łódz</t>
  </si>
  <si>
    <t xml:space="preserve">Lublin</t>
  </si>
  <si>
    <t xml:space="preserve">Lwów</t>
  </si>
  <si>
    <t xml:space="preserve">Nowogródek</t>
  </si>
  <si>
    <t xml:space="preserve">Płock</t>
  </si>
  <si>
    <t xml:space="preserve">Polesie</t>
  </si>
  <si>
    <t xml:space="preserve">Poznan</t>
  </si>
  <si>
    <t xml:space="preserve">Stanisławów</t>
  </si>
  <si>
    <t xml:space="preserve">Warszawa</t>
  </si>
  <si>
    <t xml:space="preserve">Wilejka</t>
  </si>
  <si>
    <t xml:space="preserve">Wilno</t>
  </si>
  <si>
    <t xml:space="preserve">Wołyn</t>
  </si>
  <si>
    <t xml:space="preserve">Azores</t>
  </si>
  <si>
    <t xml:space="preserve">POR</t>
  </si>
  <si>
    <t xml:space="preserve">Portugal</t>
  </si>
  <si>
    <t xml:space="preserve">Beja</t>
  </si>
  <si>
    <t xml:space="preserve">Cape Verde</t>
  </si>
  <si>
    <t xml:space="preserve">Goa</t>
  </si>
  <si>
    <t xml:space="preserve">Guarda</t>
  </si>
  <si>
    <t xml:space="preserve">Lisbon</t>
  </si>
  <si>
    <t xml:space="preserve">Lourenço Marques</t>
  </si>
  <si>
    <t xml:space="preserve">Luanda</t>
  </si>
  <si>
    <t xml:space="preserve">Macau</t>
  </si>
  <si>
    <t xml:space="preserve">Madeira</t>
  </si>
  <si>
    <t xml:space="preserve">Manica e Sofala</t>
  </si>
  <si>
    <t xml:space="preserve">North Angola</t>
  </si>
  <si>
    <t xml:space="preserve">Porto</t>
  </si>
  <si>
    <t xml:space="preserve">Portuguese Guinea</t>
  </si>
  <si>
    <t xml:space="preserve">Portuguese Timor</t>
  </si>
  <si>
    <t xml:space="preserve">Santarém</t>
  </si>
  <si>
    <t xml:space="preserve">Sao Tome</t>
  </si>
  <si>
    <t xml:space="preserve">South West Angola</t>
  </si>
  <si>
    <t xml:space="preserve">Zambesi</t>
  </si>
  <si>
    <t xml:space="preserve">Zambezia-Moçambique</t>
  </si>
  <si>
    <t xml:space="preserve">Chaco Boreal</t>
  </si>
  <si>
    <t xml:space="preserve">PAR</t>
  </si>
  <si>
    <t xml:space="preserve">Republic of Paraguay</t>
  </si>
  <si>
    <t xml:space="preserve">Paraguay</t>
  </si>
  <si>
    <t xml:space="preserve">Banat</t>
  </si>
  <si>
    <t xml:space="preserve">ROM</t>
  </si>
  <si>
    <t xml:space="preserve">Romania</t>
  </si>
  <si>
    <t xml:space="preserve">Bessarabia</t>
  </si>
  <si>
    <t xml:space="preserve">Bucovina</t>
  </si>
  <si>
    <t xml:space="preserve">Crisana</t>
  </si>
  <si>
    <t xml:space="preserve">Dobrudja</t>
  </si>
  <si>
    <t xml:space="preserve">Moldova</t>
  </si>
  <si>
    <t xml:space="preserve">Muntenia</t>
  </si>
  <si>
    <t xml:space="preserve">North Transylvania</t>
  </si>
  <si>
    <t xml:space="preserve">Oltenia</t>
  </si>
  <si>
    <t xml:space="preserve">Southern Bessarabia</t>
  </si>
  <si>
    <t xml:space="preserve">Transylvania</t>
  </si>
  <si>
    <t xml:space="preserve">Al-Qassim</t>
  </si>
  <si>
    <t xml:space="preserve">SAU</t>
  </si>
  <si>
    <t xml:space="preserve">Saudi Arabia</t>
  </si>
  <si>
    <t xml:space="preserve">Asir-Makkah</t>
  </si>
  <si>
    <t xml:space="preserve">Dammam</t>
  </si>
  <si>
    <t xml:space="preserve">Jawf</t>
  </si>
  <si>
    <t xml:space="preserve">Madinah</t>
  </si>
  <si>
    <t xml:space="preserve">Najiran</t>
  </si>
  <si>
    <t xml:space="preserve">Nejd</t>
  </si>
  <si>
    <t xml:space="preserve">Rub al Khali</t>
  </si>
  <si>
    <t xml:space="preserve">Tabuk</t>
  </si>
  <si>
    <t xml:space="preserve">Acre</t>
  </si>
  <si>
    <t xml:space="preserve">BRA</t>
  </si>
  <si>
    <t xml:space="preserve">Second Brazilian Republic</t>
  </si>
  <si>
    <t xml:space="preserve">Amapá</t>
  </si>
  <si>
    <t xml:space="preserve">Amazon impassable 1</t>
  </si>
  <si>
    <t xml:space="preserve">Amazon impassable 2</t>
  </si>
  <si>
    <t xml:space="preserve">Amazon impassable 3</t>
  </si>
  <si>
    <t xml:space="preserve">Amazon impassable 4</t>
  </si>
  <si>
    <t xml:space="preserve">Amazon impassable 5</t>
  </si>
  <si>
    <t xml:space="preserve">Amazon impassable 6</t>
  </si>
  <si>
    <t xml:space="preserve">Amazon impassable 7</t>
  </si>
  <si>
    <t xml:space="preserve">Amazon impassable 8</t>
  </si>
  <si>
    <t xml:space="preserve">Amazonas</t>
  </si>
  <si>
    <t xml:space="preserve">Bahia</t>
  </si>
  <si>
    <t xml:space="preserve">Ceará</t>
  </si>
  <si>
    <t xml:space="preserve">Espírito Santo</t>
  </si>
  <si>
    <t xml:space="preserve">Goiás</t>
  </si>
  <si>
    <t xml:space="preserve">Guaporé</t>
  </si>
  <si>
    <t xml:space="preserve">Maranhão</t>
  </si>
  <si>
    <t xml:space="preserve">Mato Grosso</t>
  </si>
  <si>
    <t xml:space="preserve">Minas Gerais</t>
  </si>
  <si>
    <t xml:space="preserve">Pará</t>
  </si>
  <si>
    <t xml:space="preserve">Paraná</t>
  </si>
  <si>
    <t xml:space="preserve">Pernambuco</t>
  </si>
  <si>
    <t xml:space="preserve">Piauí</t>
  </si>
  <si>
    <t xml:space="preserve">Punta Porá</t>
  </si>
  <si>
    <t xml:space="preserve">Rio Branco</t>
  </si>
  <si>
    <t xml:space="preserve">Rio de Janeiro</t>
  </si>
  <si>
    <t xml:space="preserve">Rio Grande do Norte</t>
  </si>
  <si>
    <t xml:space="preserve">Rio Grande do Sul</t>
  </si>
  <si>
    <t xml:space="preserve">Santa Catarina</t>
  </si>
  <si>
    <t xml:space="preserve">São Paulo</t>
  </si>
  <si>
    <t xml:space="preserve">Tocantins</t>
  </si>
  <si>
    <t xml:space="preserve">Ordos</t>
  </si>
  <si>
    <t xml:space="preserve">SHX</t>
  </si>
  <si>
    <t xml:space="preserve">Shanxi</t>
  </si>
  <si>
    <t xml:space="preserve">Suiyuan</t>
  </si>
  <si>
    <t xml:space="preserve">Isan</t>
  </si>
  <si>
    <t xml:space="preserve">SIA</t>
  </si>
  <si>
    <t xml:space="preserve">Siam</t>
  </si>
  <si>
    <t xml:space="preserve">Lanna</t>
  </si>
  <si>
    <t xml:space="preserve">Northern Malay</t>
  </si>
  <si>
    <t xml:space="preserve">Dabancheng</t>
  </si>
  <si>
    <t xml:space="preserve">SIK</t>
  </si>
  <si>
    <t xml:space="preserve">Sinkiang</t>
  </si>
  <si>
    <t xml:space="preserve">Dzungaria</t>
  </si>
  <si>
    <t xml:space="preserve">Kunlun Shan</t>
  </si>
  <si>
    <t xml:space="preserve">Taklamakan</t>
  </si>
  <si>
    <t xml:space="preserve">Urumqi</t>
  </si>
  <si>
    <t xml:space="preserve">Yarkand</t>
  </si>
  <si>
    <t xml:space="preserve">Cape</t>
  </si>
  <si>
    <t xml:space="preserve">SAF</t>
  </si>
  <si>
    <t xml:space="preserve">South Africa</t>
  </si>
  <si>
    <t xml:space="preserve">Karas</t>
  </si>
  <si>
    <t xml:space="preserve">Khomas</t>
  </si>
  <si>
    <t xml:space="preserve">Kunene</t>
  </si>
  <si>
    <t xml:space="preserve">Natal</t>
  </si>
  <si>
    <t xml:space="preserve">Otjozondjupa</t>
  </si>
  <si>
    <t xml:space="preserve">Transvaal</t>
  </si>
  <si>
    <t xml:space="preserve">Abkhazia</t>
  </si>
  <si>
    <t xml:space="preserve">SOV</t>
  </si>
  <si>
    <t xml:space="preserve">Soviet Union</t>
  </si>
  <si>
    <t xml:space="preserve">Akhtubinsk</t>
  </si>
  <si>
    <t xml:space="preserve">Akmolinsk</t>
  </si>
  <si>
    <t xml:space="preserve">Alma-Ata</t>
  </si>
  <si>
    <t xml:space="preserve">Altai Krai</t>
  </si>
  <si>
    <t xml:space="preserve">Amur</t>
  </si>
  <si>
    <t xml:space="preserve">Arkhangelsk</t>
  </si>
  <si>
    <t xml:space="preserve">Armenia</t>
  </si>
  <si>
    <t xml:space="preserve">Ashkhabad</t>
  </si>
  <si>
    <t xml:space="preserve">Astrakhan</t>
  </si>
  <si>
    <t xml:space="preserve">Ayaguz</t>
  </si>
  <si>
    <t xml:space="preserve">Azerbaijan</t>
  </si>
  <si>
    <t xml:space="preserve">Balakovo</t>
  </si>
  <si>
    <t xml:space="preserve">Balta-Tiraspol</t>
  </si>
  <si>
    <t xml:space="preserve">Belgorod</t>
  </si>
  <si>
    <t xml:space="preserve">Birobidzhan</t>
  </si>
  <si>
    <t xml:space="preserve">Bobruysk</t>
  </si>
  <si>
    <t xml:space="preserve">Bodaybo</t>
  </si>
  <si>
    <t xml:space="preserve">Bratsk</t>
  </si>
  <si>
    <t xml:space="preserve">Bryansk</t>
  </si>
  <si>
    <t xml:space="preserve">Bukhara</t>
  </si>
  <si>
    <t xml:space="preserve">Buryatia</t>
  </si>
  <si>
    <t xml:space="preserve">Chechnya-Ingushetia</t>
  </si>
  <si>
    <t xml:space="preserve">Chelyabinsk</t>
  </si>
  <si>
    <t xml:space="preserve">Cherkasy</t>
  </si>
  <si>
    <t xml:space="preserve">Chernigov</t>
  </si>
  <si>
    <t xml:space="preserve">Chita</t>
  </si>
  <si>
    <t xml:space="preserve">Chukchi Peninsula</t>
  </si>
  <si>
    <t xml:space="preserve">Chukotka</t>
  </si>
  <si>
    <t xml:space="preserve">Chuvashia</t>
  </si>
  <si>
    <t xml:space="preserve">Crimea</t>
  </si>
  <si>
    <t xml:space="preserve">Dagestan</t>
  </si>
  <si>
    <t xml:space="preserve">Dnipropetrovsk</t>
  </si>
  <si>
    <t xml:space="preserve">Dudinka</t>
  </si>
  <si>
    <t xml:space="preserve">Engels-Marxstadt</t>
  </si>
  <si>
    <t xml:space="preserve">Georgia</t>
  </si>
  <si>
    <t xml:space="preserve">Gomel</t>
  </si>
  <si>
    <t xml:space="preserve">Gorky</t>
  </si>
  <si>
    <t xml:space="preserve">Guryev</t>
  </si>
  <si>
    <t xml:space="preserve">Irkutsk</t>
  </si>
  <si>
    <t xml:space="preserve">Ivanovo</t>
  </si>
  <si>
    <t xml:space="preserve">Kabardino-Balkaria</t>
  </si>
  <si>
    <t xml:space="preserve">Kalinin</t>
  </si>
  <si>
    <t xml:space="preserve">Kalmykia</t>
  </si>
  <si>
    <t xml:space="preserve">Kaluga</t>
  </si>
  <si>
    <t xml:space="preserve">Kamchatka</t>
  </si>
  <si>
    <t xml:space="preserve">Karagandy</t>
  </si>
  <si>
    <t xml:space="preserve">Karakalpakstan</t>
  </si>
  <si>
    <t xml:space="preserve">Kargopol</t>
  </si>
  <si>
    <t xml:space="preserve">Kazan</t>
  </si>
  <si>
    <t xml:space="preserve">Khabarovsk</t>
  </si>
  <si>
    <t xml:space="preserve">Khakassia</t>
  </si>
  <si>
    <t xml:space="preserve">Kharkov</t>
  </si>
  <si>
    <t xml:space="preserve">Khatangsky</t>
  </si>
  <si>
    <t xml:space="preserve">Kherson</t>
  </si>
  <si>
    <t xml:space="preserve">Khiva</t>
  </si>
  <si>
    <t xml:space="preserve">Khmelnytskyi</t>
  </si>
  <si>
    <t xml:space="preserve">Kiev</t>
  </si>
  <si>
    <t xml:space="preserve">Kirensk</t>
  </si>
  <si>
    <t xml:space="preserve">Kirov</t>
  </si>
  <si>
    <t xml:space="preserve">Kolyma</t>
  </si>
  <si>
    <t xml:space="preserve">Kostanay</t>
  </si>
  <si>
    <t xml:space="preserve">Kotlas</t>
  </si>
  <si>
    <t xml:space="preserve">Krasnodar</t>
  </si>
  <si>
    <t xml:space="preserve">Krasnoyarsk</t>
  </si>
  <si>
    <t xml:space="preserve">Kursk</t>
  </si>
  <si>
    <t xml:space="preserve">Kuybyshev</t>
  </si>
  <si>
    <t xml:space="preserve">Kyzyl Orda</t>
  </si>
  <si>
    <t xml:space="preserve">Leningrad</t>
  </si>
  <si>
    <t xml:space="preserve">Lipetsk</t>
  </si>
  <si>
    <t xml:space="preserve">Luga</t>
  </si>
  <si>
    <t xml:space="preserve">Magadan</t>
  </si>
  <si>
    <t xml:space="preserve">Magnitogorsk</t>
  </si>
  <si>
    <t xml:space="preserve">Mari El</t>
  </si>
  <si>
    <t xml:space="preserve">Mikhaylovka</t>
  </si>
  <si>
    <t xml:space="preserve">Millerovo</t>
  </si>
  <si>
    <t xml:space="preserve">Minsk</t>
  </si>
  <si>
    <t xml:space="preserve">Moscow</t>
  </si>
  <si>
    <t xml:space="preserve">Mozyr</t>
  </si>
  <si>
    <t xml:space="preserve">Murmansk</t>
  </si>
  <si>
    <t xml:space="preserve">Mykolaiv</t>
  </si>
  <si>
    <t xml:space="preserve">Navoi</t>
  </si>
  <si>
    <t xml:space="preserve">Nenets</t>
  </si>
  <si>
    <t xml:space="preserve">Nevel</t>
  </si>
  <si>
    <t xml:space="preserve">Nikolayevsk</t>
  </si>
  <si>
    <t xml:space="preserve">North Ossetia</t>
  </si>
  <si>
    <t xml:space="preserve">North Sakhalin</t>
  </si>
  <si>
    <t xml:space="preserve">Northern Urals</t>
  </si>
  <si>
    <t xml:space="preserve">Novgorod</t>
  </si>
  <si>
    <t xml:space="preserve">Novosibirsk</t>
  </si>
  <si>
    <t xml:space="preserve">Odessa</t>
  </si>
  <si>
    <t xml:space="preserve">Okhotsk</t>
  </si>
  <si>
    <t xml:space="preserve">Olonets</t>
  </si>
  <si>
    <t xml:space="preserve">Omsk</t>
  </si>
  <si>
    <t xml:space="preserve">Onega</t>
  </si>
  <si>
    <t xml:space="preserve">Orel</t>
  </si>
  <si>
    <t xml:space="preserve">Orenburg</t>
  </si>
  <si>
    <t xml:space="preserve">Oyrot Region</t>
  </si>
  <si>
    <t xml:space="preserve">Pamir</t>
  </si>
  <si>
    <t xml:space="preserve">Pavlodar</t>
  </si>
  <si>
    <t xml:space="preserve">Pechora</t>
  </si>
  <si>
    <t xml:space="preserve">Penza</t>
  </si>
  <si>
    <t xml:space="preserve">Perm</t>
  </si>
  <si>
    <t xml:space="preserve">Poltava</t>
  </si>
  <si>
    <t xml:space="preserve">Pskov</t>
  </si>
  <si>
    <t xml:space="preserve">Roslavl</t>
  </si>
  <si>
    <t xml:space="preserve">Rostov</t>
  </si>
  <si>
    <t xml:space="preserve">Ryazan</t>
  </si>
  <si>
    <t xml:space="preserve">Rzhev</t>
  </si>
  <si>
    <t xml:space="preserve">Salekhard</t>
  </si>
  <si>
    <t xml:space="preserve">Saratov</t>
  </si>
  <si>
    <t xml:space="preserve">Semipalatinsk</t>
  </si>
  <si>
    <t xml:space="preserve">Smolensk</t>
  </si>
  <si>
    <t xml:space="preserve">Sochi</t>
  </si>
  <si>
    <t xml:space="preserve">Stalinabad</t>
  </si>
  <si>
    <t xml:space="preserve">Stalingrad</t>
  </si>
  <si>
    <t xml:space="preserve">Stalino</t>
  </si>
  <si>
    <t xml:space="preserve">Stavropol</t>
  </si>
  <si>
    <t xml:space="preserve">Sumy</t>
  </si>
  <si>
    <t xml:space="preserve">Surgut</t>
  </si>
  <si>
    <t xml:space="preserve">Sverdlovsk</t>
  </si>
  <si>
    <t xml:space="preserve">Syktyvkar</t>
  </si>
  <si>
    <t xml:space="preserve">Tambov</t>
  </si>
  <si>
    <t xml:space="preserve">Tashauz</t>
  </si>
  <si>
    <t xml:space="preserve">Tashkent</t>
  </si>
  <si>
    <t xml:space="preserve">Tikhvin</t>
  </si>
  <si>
    <t xml:space="preserve">Tobolsk</t>
  </si>
  <si>
    <t xml:space="preserve">Tomsk</t>
  </si>
  <si>
    <t xml:space="preserve">Tula</t>
  </si>
  <si>
    <t xml:space="preserve">Tyumen</t>
  </si>
  <si>
    <t xml:space="preserve">Udachny</t>
  </si>
  <si>
    <t xml:space="preserve">Udmurtia</t>
  </si>
  <si>
    <t xml:space="preserve">Ufa</t>
  </si>
  <si>
    <t xml:space="preserve">Ulyanovsky</t>
  </si>
  <si>
    <t xml:space="preserve">Ural'sk</t>
  </si>
  <si>
    <t xml:space="preserve">Ust Urt</t>
  </si>
  <si>
    <t xml:space="preserve">Verkhoyansk</t>
  </si>
  <si>
    <t xml:space="preserve">Vinnytsia</t>
  </si>
  <si>
    <t xml:space="preserve">Vitebsk</t>
  </si>
  <si>
    <t xml:space="preserve">Vladivostok</t>
  </si>
  <si>
    <t xml:space="preserve">Volgodonsk</t>
  </si>
  <si>
    <t xml:space="preserve">Volkhov</t>
  </si>
  <si>
    <t xml:space="preserve">Vologda</t>
  </si>
  <si>
    <t xml:space="preserve">Voronezh</t>
  </si>
  <si>
    <t xml:space="preserve">Voroshilovgrad</t>
  </si>
  <si>
    <t xml:space="preserve">Yakutsk</t>
  </si>
  <si>
    <t xml:space="preserve">Yamalia</t>
  </si>
  <si>
    <t xml:space="preserve">Yaroslavl</t>
  </si>
  <si>
    <t xml:space="preserve">Yeniseisk</t>
  </si>
  <si>
    <t xml:space="preserve">Zaporozhe</t>
  </si>
  <si>
    <t xml:space="preserve">Zhytomyr</t>
  </si>
  <si>
    <t xml:space="preserve">Zlatoust</t>
  </si>
  <si>
    <t xml:space="preserve">Asturias</t>
  </si>
  <si>
    <t xml:space="preserve">SPR</t>
  </si>
  <si>
    <t xml:space="preserve">Spain</t>
  </si>
  <si>
    <t xml:space="preserve">Burgos</t>
  </si>
  <si>
    <t xml:space="preserve">Cataluña</t>
  </si>
  <si>
    <t xml:space="preserve">Ciudad Real</t>
  </si>
  <si>
    <t xml:space="preserve">Córdoba</t>
  </si>
  <si>
    <t xml:space="preserve">Eastern Aragón</t>
  </si>
  <si>
    <t xml:space="preserve">Equatorial Guinea</t>
  </si>
  <si>
    <t xml:space="preserve">Extremadura</t>
  </si>
  <si>
    <t xml:space="preserve">Galicia</t>
  </si>
  <si>
    <t xml:space="preserve">Granada</t>
  </si>
  <si>
    <t xml:space="preserve">Guadalajara</t>
  </si>
  <si>
    <t xml:space="preserve">Islas Baleares</t>
  </si>
  <si>
    <t xml:space="preserve">Islas Canarias</t>
  </si>
  <si>
    <t xml:space="preserve">León</t>
  </si>
  <si>
    <t xml:space="preserve">Madrid</t>
  </si>
  <si>
    <t xml:space="preserve">Murcia</t>
  </si>
  <si>
    <t xml:space="preserve">Navarra</t>
  </si>
  <si>
    <t xml:space="preserve">País Vasco</t>
  </si>
  <si>
    <t xml:space="preserve">Rio de Oro</t>
  </si>
  <si>
    <t xml:space="preserve">Salamanca</t>
  </si>
  <si>
    <t xml:space="preserve">Sevilla</t>
  </si>
  <si>
    <t xml:space="preserve">Sidi Ifni</t>
  </si>
  <si>
    <t xml:space="preserve">Spanish Africa</t>
  </si>
  <si>
    <t xml:space="preserve">Valencia</t>
  </si>
  <si>
    <t xml:space="preserve">Valladolid</t>
  </si>
  <si>
    <t xml:space="preserve">Western Aragón</t>
  </si>
  <si>
    <t xml:space="preserve">Afar</t>
  </si>
  <si>
    <t xml:space="preserve">AFA</t>
  </si>
  <si>
    <t xml:space="preserve">Sultanate of Aussa</t>
  </si>
  <si>
    <t xml:space="preserve">Bohuslän</t>
  </si>
  <si>
    <t xml:space="preserve">SWE</t>
  </si>
  <si>
    <t xml:space="preserve">Sweden</t>
  </si>
  <si>
    <t xml:space="preserve">Dalarna</t>
  </si>
  <si>
    <t xml:space="preserve">Gävleborg</t>
  </si>
  <si>
    <t xml:space="preserve">Gotland</t>
  </si>
  <si>
    <t xml:space="preserve">Jämtland</t>
  </si>
  <si>
    <t xml:space="preserve">Norrbotten</t>
  </si>
  <si>
    <t xml:space="preserve">Östergötland</t>
  </si>
  <si>
    <t xml:space="preserve">Skåne</t>
  </si>
  <si>
    <t xml:space="preserve">Småland</t>
  </si>
  <si>
    <t xml:space="preserve">Södermanland</t>
  </si>
  <si>
    <t xml:space="preserve">Värmland</t>
  </si>
  <si>
    <t xml:space="preserve">Västerbotten</t>
  </si>
  <si>
    <t xml:space="preserve">Västergötland</t>
  </si>
  <si>
    <t xml:space="preserve">Eastern Swiss Alps</t>
  </si>
  <si>
    <t xml:space="preserve">SWI</t>
  </si>
  <si>
    <t xml:space="preserve">Switzerland</t>
  </si>
  <si>
    <t xml:space="preserve">Jura Mountains</t>
  </si>
  <si>
    <t xml:space="preserve">Swiss Plateau</t>
  </si>
  <si>
    <t xml:space="preserve">Ticino</t>
  </si>
  <si>
    <t xml:space="preserve">Western Swiss Alps</t>
  </si>
  <si>
    <t xml:space="preserve">Tannu Tuva</t>
  </si>
  <si>
    <t xml:space="preserve">TAN</t>
  </si>
  <si>
    <t xml:space="preserve">Nagqu</t>
  </si>
  <si>
    <t xml:space="preserve">TIB</t>
  </si>
  <si>
    <t xml:space="preserve">Tibet</t>
  </si>
  <si>
    <t xml:space="preserve">Ngari</t>
  </si>
  <si>
    <t xml:space="preserve">Shigatse</t>
  </si>
  <si>
    <t xml:space="preserve">Afyon</t>
  </si>
  <si>
    <t xml:space="preserve">TUR</t>
  </si>
  <si>
    <t xml:space="preserve">Turkey</t>
  </si>
  <si>
    <t xml:space="preserve">Amasya</t>
  </si>
  <si>
    <t xml:space="preserve">Ankara</t>
  </si>
  <si>
    <t xml:space="preserve">Antalya</t>
  </si>
  <si>
    <t xml:space="preserve">Bursa</t>
  </si>
  <si>
    <t xml:space="preserve">Diyarbakır</t>
  </si>
  <si>
    <t xml:space="preserve">Edirne</t>
  </si>
  <si>
    <t xml:space="preserve">Hakkari</t>
  </si>
  <si>
    <t xml:space="preserve">Istanbul</t>
  </si>
  <si>
    <t xml:space="preserve">Izmir</t>
  </si>
  <si>
    <t xml:space="preserve">Izmit</t>
  </si>
  <si>
    <t xml:space="preserve">Kastamonu</t>
  </si>
  <si>
    <t xml:space="preserve">Kayseri</t>
  </si>
  <si>
    <t xml:space="preserve">Konya</t>
  </si>
  <si>
    <t xml:space="preserve">Malatya</t>
  </si>
  <si>
    <t xml:space="preserve">Mersin</t>
  </si>
  <si>
    <t xml:space="preserve">Samsun</t>
  </si>
  <si>
    <t xml:space="preserve">Sivas</t>
  </si>
  <si>
    <t xml:space="preserve">Trabzon</t>
  </si>
  <si>
    <t xml:space="preserve">Tunceli</t>
  </si>
  <si>
    <t xml:space="preserve">Van</t>
  </si>
  <si>
    <t xml:space="preserve">Aberdeenshire</t>
  </si>
  <si>
    <t xml:space="preserve">ENG</t>
  </si>
  <si>
    <t xml:space="preserve">United Kingdom</t>
  </si>
  <si>
    <t xml:space="preserve">Abu Dhabi</t>
  </si>
  <si>
    <t xml:space="preserve">Aden</t>
  </si>
  <si>
    <t xml:space="preserve">Alexandria</t>
  </si>
  <si>
    <t xml:space="preserve">Andaman</t>
  </si>
  <si>
    <t xml:space="preserve">Ascension</t>
  </si>
  <si>
    <t xml:space="preserve">Aswan</t>
  </si>
  <si>
    <t xml:space="preserve">Bahr al Ghazal</t>
  </si>
  <si>
    <t xml:space="preserve">Bechuanaland</t>
  </si>
  <si>
    <t xml:space="preserve">Benue</t>
  </si>
  <si>
    <t xml:space="preserve">Bermuda</t>
  </si>
  <si>
    <t xml:space="preserve">Blue Nile</t>
  </si>
  <si>
    <t xml:space="preserve">Borno</t>
  </si>
  <si>
    <t xml:space="preserve">British Guyana</t>
  </si>
  <si>
    <t xml:space="preserve">British Honduras</t>
  </si>
  <si>
    <t xml:space="preserve">British Somaliland</t>
  </si>
  <si>
    <t xml:space="preserve">Cairo</t>
  </si>
  <si>
    <t xml:space="preserve">Ceylon</t>
  </si>
  <si>
    <t xml:space="preserve">Christmas Island</t>
  </si>
  <si>
    <t xml:space="preserve">Cocos Islands</t>
  </si>
  <si>
    <t xml:space="preserve">Cumbria</t>
  </si>
  <si>
    <t xml:space="preserve">Cyprus</t>
  </si>
  <si>
    <t xml:space="preserve">Diego Garcia</t>
  </si>
  <si>
    <t xml:space="preserve">East Anglia</t>
  </si>
  <si>
    <t xml:space="preserve">East Midlands</t>
  </si>
  <si>
    <t xml:space="preserve">Eastern Desert</t>
  </si>
  <si>
    <t xml:space="preserve">Ellice Islands</t>
  </si>
  <si>
    <t xml:space="preserve">Falkland Islands</t>
  </si>
  <si>
    <t xml:space="preserve">Fiji</t>
  </si>
  <si>
    <t xml:space="preserve">Gambia</t>
  </si>
  <si>
    <t xml:space="preserve">Garissa</t>
  </si>
  <si>
    <t xml:space="preserve">Ghana</t>
  </si>
  <si>
    <t xml:space="preserve">Gibraltar</t>
  </si>
  <si>
    <t xml:space="preserve">Gilbert Islands</t>
  </si>
  <si>
    <t xml:space="preserve">Gloucestershire</t>
  </si>
  <si>
    <t xml:space="preserve">Greater London Area</t>
  </si>
  <si>
    <t xml:space="preserve">Hong Kong</t>
  </si>
  <si>
    <t xml:space="preserve">Isle of Man</t>
  </si>
  <si>
    <t xml:space="preserve">Jamaica</t>
  </si>
  <si>
    <t xml:space="preserve">Jordan</t>
  </si>
  <si>
    <t xml:space="preserve">Kassala</t>
  </si>
  <si>
    <t xml:space="preserve">Khartoum</t>
  </si>
  <si>
    <t xml:space="preserve">Kurdufan</t>
  </si>
  <si>
    <t xml:space="preserve">Kuwait</t>
  </si>
  <si>
    <t xml:space="preserve">Labrador</t>
  </si>
  <si>
    <t xml:space="preserve">Lagos</t>
  </si>
  <si>
    <t xml:space="preserve">Lanark</t>
  </si>
  <si>
    <t xml:space="preserve">Lancashire</t>
  </si>
  <si>
    <t xml:space="preserve">Leeward Islands</t>
  </si>
  <si>
    <t xml:space="preserve">Lothian</t>
  </si>
  <si>
    <t xml:space="preserve">Malawi</t>
  </si>
  <si>
    <t xml:space="preserve">Maldives</t>
  </si>
  <si>
    <t xml:space="preserve">Malta</t>
  </si>
  <si>
    <t xml:space="preserve">Matrouh</t>
  </si>
  <si>
    <t xml:space="preserve">Mauritius</t>
  </si>
  <si>
    <t xml:space="preserve">Mombasa</t>
  </si>
  <si>
    <t xml:space="preserve">Nairobi</t>
  </si>
  <si>
    <t xml:space="preserve">Nauru</t>
  </si>
  <si>
    <t xml:space="preserve">Newfoundland</t>
  </si>
  <si>
    <t xml:space="preserve">North Darfur</t>
  </si>
  <si>
    <t xml:space="preserve">Northern Bahamas</t>
  </si>
  <si>
    <t xml:space="preserve">Northern Ireland</t>
  </si>
  <si>
    <t xml:space="preserve">Northumberland</t>
  </si>
  <si>
    <t xml:space="preserve">Nyanza-Rift Valley</t>
  </si>
  <si>
    <t xml:space="preserve">Palestine</t>
  </si>
  <si>
    <t xml:space="preserve">Pitcairn Island</t>
  </si>
  <si>
    <t xml:space="preserve">Qatar</t>
  </si>
  <si>
    <t xml:space="preserve">Rhodesia</t>
  </si>
  <si>
    <t xml:space="preserve">Saint Helena</t>
  </si>
  <si>
    <t xml:space="preserve">Scottish Highlands</t>
  </si>
  <si>
    <t xml:space="preserve">Seychelles</t>
  </si>
  <si>
    <t xml:space="preserve">Shetland Islands</t>
  </si>
  <si>
    <t xml:space="preserve">Sierra Leone</t>
  </si>
  <si>
    <t xml:space="preserve">Sinai</t>
  </si>
  <si>
    <t xml:space="preserve">Socotra</t>
  </si>
  <si>
    <t xml:space="preserve">Sokoto</t>
  </si>
  <si>
    <t xml:space="preserve">South Darfur</t>
  </si>
  <si>
    <t xml:space="preserve">South Georgia</t>
  </si>
  <si>
    <t xml:space="preserve">South-West England</t>
  </si>
  <si>
    <t xml:space="preserve">Southern Bahamas</t>
  </si>
  <si>
    <t xml:space="preserve">Suez</t>
  </si>
  <si>
    <t xml:space="preserve">Sussex</t>
  </si>
  <si>
    <t xml:space="preserve">Tanganyika</t>
  </si>
  <si>
    <t xml:space="preserve">Trinidad</t>
  </si>
  <si>
    <t xml:space="preserve">Uganda</t>
  </si>
  <si>
    <t xml:space="preserve">Upper Nile</t>
  </si>
  <si>
    <t xml:space="preserve">Wales</t>
  </si>
  <si>
    <t xml:space="preserve">West Midlands</t>
  </si>
  <si>
    <t xml:space="preserve">Western Desert</t>
  </si>
  <si>
    <t xml:space="preserve">Windward Islands</t>
  </si>
  <si>
    <t xml:space="preserve">Yorkshire</t>
  </si>
  <si>
    <t xml:space="preserve">Zambia</t>
  </si>
  <si>
    <t xml:space="preserve">Alabama</t>
  </si>
  <si>
    <t xml:space="preserve">USA</t>
  </si>
  <si>
    <t xml:space="preserve">United States</t>
  </si>
  <si>
    <t xml:space="preserve">Alaska</t>
  </si>
  <si>
    <t xml:space="preserve">Arizona</t>
  </si>
  <si>
    <t xml:space="preserve">Arkansas</t>
  </si>
  <si>
    <t xml:space="preserve">Attu Island</t>
  </si>
  <si>
    <t xml:space="preserve">California</t>
  </si>
  <si>
    <t xml:space="preserve">Colorado</t>
  </si>
  <si>
    <t xml:space="preserve">Florida</t>
  </si>
  <si>
    <t xml:space="preserve">Guam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</si>
  <si>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</si>
  <si>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</si>
  <si>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</si>
  <si>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</si>
  <si>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</si>
  <si>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Johnston Atoll</t>
  </si>
  <si>
    <t xml:space="preserve">Kansas</t>
  </si>
  <si>
    <t xml:space="preserve">Kentucky</t>
  </si>
  <si>
    <t xml:space="preserve">Line Islands</t>
  </si>
  <si>
    <t xml:space="preserve">Louisiana</t>
  </si>
  <si>
    <t xml:space="preserve">Maryland</t>
  </si>
  <si>
    <t xml:space="preserve">Michigan</t>
  </si>
  <si>
    <t xml:space="preserve">Midway Island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</si>
  <si>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</si>
  <si>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</si>
  <si>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</si>
  <si>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</si>
  <si>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</si>
  <si>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</si>
  <si>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England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</si>
  <si>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</si>
  <si>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</si>
  <si>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</si>
  <si>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</si>
  <si>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</si>
  <si>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</si>
  <si>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</si>
  <si>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</si>
  <si>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Panamá Canal</t>
  </si>
  <si>
    <t xml:space="preserve">Pennsylvania</t>
  </si>
  <si>
    <t xml:space="preserve">Phoenix Island</t>
  </si>
  <si>
    <t xml:space="preserve">Puerto Rico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</si>
  <si>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</si>
  <si>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</si>
  <si>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</si>
  <si>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</si>
  <si>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</si>
  <si>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Virginia</t>
  </si>
  <si>
    <t xml:space="preserve">Wake Island</t>
  </si>
  <si>
    <t xml:space="preserve">Washington</t>
  </si>
  <si>
    <t xml:space="preserve">West Virginia</t>
  </si>
  <si>
    <t xml:space="preserve">Wisconsin</t>
  </si>
  <si>
    <t xml:space="preserve">Wyoming</t>
  </si>
  <si>
    <t xml:space="preserve">Cerro Largo</t>
  </si>
  <si>
    <t xml:space="preserve">URG</t>
  </si>
  <si>
    <t xml:space="preserve">Uruguay</t>
  </si>
  <si>
    <t xml:space="preserve">Montevideo</t>
  </si>
  <si>
    <t xml:space="preserve">Paysandú</t>
  </si>
  <si>
    <t xml:space="preserve">Bolivar</t>
  </si>
  <si>
    <t xml:space="preserve">VEN</t>
  </si>
  <si>
    <t xml:space="preserve">Venezuela</t>
  </si>
  <si>
    <t xml:space="preserve">Miranda</t>
  </si>
  <si>
    <t xml:space="preserve">Zulia</t>
  </si>
  <si>
    <t xml:space="preserve">Gannan</t>
  </si>
  <si>
    <t xml:space="preserve">XSM</t>
  </si>
  <si>
    <t xml:space="preserve">Xibei San Ma</t>
  </si>
  <si>
    <t xml:space="preserve">Gansu</t>
  </si>
  <si>
    <t xml:space="preserve">Golog</t>
  </si>
  <si>
    <t xml:space="preserve">Haixi</t>
  </si>
  <si>
    <t xml:space="preserve">Jiuquan</t>
  </si>
  <si>
    <t xml:space="preserve">Ningxia</t>
  </si>
  <si>
    <t xml:space="preserve">Qinghai</t>
  </si>
  <si>
    <t xml:space="preserve">Yemen</t>
  </si>
  <si>
    <t xml:space="preserve">YEM</t>
  </si>
  <si>
    <t xml:space="preserve">Bosnia</t>
  </si>
  <si>
    <t xml:space="preserve">YUG</t>
  </si>
  <si>
    <t xml:space="preserve">Yugoslavia</t>
  </si>
  <si>
    <t xml:space="preserve">Croatia</t>
  </si>
  <si>
    <t xml:space="preserve">Dalmatia</t>
  </si>
  <si>
    <t xml:space="preserve">Herzegovina</t>
  </si>
  <si>
    <t xml:space="preserve">Kosovo</t>
  </si>
  <si>
    <t xml:space="preserve">Ljubljana</t>
  </si>
  <si>
    <t xml:space="preserve">Macedonia</t>
  </si>
  <si>
    <t xml:space="preserve">Montenegro</t>
  </si>
  <si>
    <t xml:space="preserve">Morava</t>
  </si>
  <si>
    <t xml:space="preserve">North Slovenia</t>
  </si>
  <si>
    <t xml:space="preserve">Serbia</t>
  </si>
  <si>
    <t xml:space="preserve">Southern Serbia</t>
  </si>
  <si>
    <t xml:space="preserve">Vojvodina</t>
  </si>
  <si>
    <t xml:space="preserve">West Banat</t>
  </si>
  <si>
    <t xml:space="preserve">Dali</t>
  </si>
  <si>
    <t xml:space="preserve">YUN</t>
  </si>
  <si>
    <t xml:space="preserve">Yunnan</t>
  </si>
  <si>
    <t xml:space="preserve">Subtotals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</si>
</sst>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#,##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A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956" activePane="bottomRight" state="frozen"/>
      <selection pane="topLeft" activeCell="A1" activeCellId="0" sqref="A1"/>
      <selection pane="topRight" activeCell="F1" activeCellId="0" sqref="F1"/>
      <selection pane="bottomLeft" activeCell="A956" activeCellId="0" sqref="A956"/>
      <selection pane="bottomRight" activeCell="L1065" activeCellId="0" sqref="L106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58"/>
    <col collapsed="false" customWidth="true" hidden="false" outlineLevel="0" max="2" min="2" style="1" width="3.89"/>
    <col collapsed="false" customWidth="true" hidden="false" outlineLevel="0" max="3" min="3" style="1" width="8.95"/>
    <col collapsed="false" customWidth="true" hidden="false" outlineLevel="0" max="4" min="4" style="1" width="9.08"/>
    <col collapsed="false" customWidth="true" hidden="false" outlineLevel="0" max="5" min="5" style="1" width="25.95"/>
    <col collapsed="false" customWidth="true" hidden="false" outlineLevel="0" max="6" min="6" style="1" width="5.97"/>
    <col collapsed="false" customWidth="true" hidden="false" outlineLevel="0" max="7" min="7" style="1" width="6.61"/>
    <col collapsed="false" customWidth="true" hidden="false" outlineLevel="0" max="8" min="8" style="1" width="10.38"/>
    <col collapsed="false" customWidth="true" hidden="false" outlineLevel="0" max="9" min="9" style="1" width="13.49"/>
    <col collapsed="false" customWidth="true" hidden="false" outlineLevel="0" max="10" min="10" style="1" width="5.97"/>
    <col collapsed="false" customWidth="true" hidden="false" outlineLevel="0" max="12" min="12" style="1" width="15.31"/>
    <col collapsed="false" customWidth="true" hidden="false" outlineLevel="0" max="15" min="13" style="1" width="5.32"/>
    <col collapsed="false" customWidth="true" hidden="false" outlineLevel="0" max="16" min="16" style="1" width="11.29"/>
    <col collapsed="false" customWidth="true" hidden="false" outlineLevel="0" max="17" min="17" style="1" width="7.4"/>
    <col collapsed="false" customWidth="true" hidden="false" outlineLevel="0" max="18" min="18" style="1" width="7.78"/>
    <col collapsed="false" customWidth="true" hidden="false" outlineLevel="0" max="21" min="19" style="1" width="7.4"/>
    <col collapsed="false" customWidth="true" hidden="false" outlineLevel="0" max="22" min="22" style="1" width="9.08"/>
    <col collapsed="false" customWidth="true" hidden="false" outlineLevel="0" max="23" min="23" style="1" width="12.32"/>
    <col collapsed="false" customWidth="true" hidden="false" outlineLevel="0" max="24" min="24" style="1" width="8.95"/>
    <col collapsed="false" customWidth="true" hidden="false" outlineLevel="0" max="25" min="25" style="1" width="11.03"/>
    <col collapsed="false" customWidth="true" hidden="false" outlineLevel="0" max="26" min="26" style="1" width="7.4"/>
    <col collapsed="false" customWidth="true" hidden="false" outlineLevel="0" max="27" min="27" style="1" width="7.78"/>
    <col collapsed="false" customWidth="true" hidden="false" outlineLevel="0" max="30" min="28" style="1" width="7.4"/>
    <col collapsed="false" customWidth="true" hidden="false" outlineLevel="0" max="31" min="31" style="1" width="9.08"/>
    <col collapsed="false" customWidth="true" hidden="false" outlineLevel="0" max="32" min="32" style="1" width="12.32"/>
    <col collapsed="false" customWidth="true" hidden="false" outlineLevel="0" max="33" min="33" style="1" width="13.75"/>
    <col collapsed="false" customWidth="true" hidden="false" outlineLevel="0" max="35" min="35" style="1" width="12.85"/>
    <col collapsed="false" customWidth="true" hidden="false" outlineLevel="0" max="37" min="37" style="1" width="12.57"/>
    <col collapsed="false" customWidth="true" hidden="false" outlineLevel="0" max="38" min="38" style="1" width="12.32"/>
    <col collapsed="false" customWidth="true" hidden="false" outlineLevel="0" max="39" min="39" style="1" width="14.27"/>
    <col collapsed="false" customWidth="true" hidden="false" outlineLevel="0" max="40" min="40" style="1" width="16.48"/>
  </cols>
  <sheetData>
    <row r="1" customFormat="false" ht="30.25" hidden="false" customHeight="tru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/>
      <c r="AP1" s="6"/>
      <c r="AQ1" s="6"/>
      <c r="AR1" s="6"/>
    </row>
    <row r="2" customFormat="false" ht="13.8" hidden="false" customHeight="false" outlineLevel="0" collapsed="false">
      <c r="A2" s="1" t="s">
        <v>40</v>
      </c>
      <c r="B2" s="1" t="n">
        <v>415</v>
      </c>
      <c r="C2" s="1" t="s">
        <v>41</v>
      </c>
      <c r="D2" s="1" t="s">
        <v>42</v>
      </c>
      <c r="E2" s="1" t="s">
        <v>43</v>
      </c>
      <c r="F2" s="1" t="n">
        <v>2</v>
      </c>
      <c r="G2" s="1" t="n">
        <v>1</v>
      </c>
      <c r="H2" s="1" t="n">
        <v>15</v>
      </c>
      <c r="I2" s="8" t="n">
        <v>1634853</v>
      </c>
      <c r="J2" s="1" t="n">
        <v>1</v>
      </c>
      <c r="K2" s="1" t="s">
        <v>44</v>
      </c>
      <c r="L2" s="1" t="n">
        <v>2</v>
      </c>
      <c r="P2" s="1" t="n">
        <f aca="false">SUM(M2:O2)</f>
        <v>0</v>
      </c>
      <c r="W2" s="1" t="n">
        <f aca="false">SUM(Q2:V2)</f>
        <v>0</v>
      </c>
      <c r="AF2" s="9" t="n">
        <f aca="false">SUM(Z2:AE2)</f>
        <v>0</v>
      </c>
      <c r="AG2" s="10"/>
      <c r="AH2" s="11"/>
      <c r="AI2" s="11"/>
      <c r="AJ2" s="11"/>
      <c r="AK2" s="11"/>
      <c r="AL2" s="11"/>
      <c r="AM2" s="11"/>
      <c r="AN2" s="11" t="n">
        <f aca="false">SUM(AH2:AM2)</f>
        <v>0</v>
      </c>
      <c r="AO2" s="1"/>
      <c r="AP2" s="1"/>
      <c r="AQ2" s="1"/>
      <c r="AR2" s="1"/>
    </row>
    <row r="3" customFormat="false" ht="13.8" hidden="false" customHeight="false" outlineLevel="0" collapsed="false">
      <c r="A3" s="1" t="s">
        <v>45</v>
      </c>
      <c r="B3" s="1" t="n">
        <v>267</v>
      </c>
      <c r="C3" s="1" t="s">
        <v>41</v>
      </c>
      <c r="D3" s="1" t="s">
        <v>42</v>
      </c>
      <c r="E3" s="1" t="s">
        <v>43</v>
      </c>
      <c r="F3" s="1" t="n">
        <v>6</v>
      </c>
      <c r="G3" s="1" t="n">
        <v>1</v>
      </c>
      <c r="H3" s="1" t="n">
        <v>18</v>
      </c>
      <c r="I3" s="8" t="n">
        <v>4642801</v>
      </c>
      <c r="J3" s="1" t="n">
        <v>1</v>
      </c>
      <c r="K3" s="1" t="s">
        <v>46</v>
      </c>
      <c r="L3" s="1" t="n">
        <v>4</v>
      </c>
      <c r="M3" s="1" t="n">
        <v>1</v>
      </c>
      <c r="O3" s="1" t="n">
        <v>2</v>
      </c>
      <c r="P3" s="1" t="n">
        <f aca="false">SUM(M3:O3)</f>
        <v>3</v>
      </c>
      <c r="T3" s="1" t="n">
        <v>3</v>
      </c>
      <c r="W3" s="1" t="n">
        <f aca="false">SUM(Q3:V3)</f>
        <v>3</v>
      </c>
      <c r="AC3" s="9" t="n">
        <f aca="false">(T3)*(1+(J3)*0.2)</f>
        <v>3.6</v>
      </c>
      <c r="AF3" s="9" t="n">
        <f aca="false">SUM(Z3:AE3)</f>
        <v>3.6</v>
      </c>
      <c r="AG3" s="10" t="s">
        <v>47</v>
      </c>
      <c r="AH3" s="11"/>
      <c r="AI3" s="11"/>
      <c r="AJ3" s="11"/>
      <c r="AK3" s="11" t="n">
        <f aca="false">IF(AG3="yes",AC3*1.2,AC3)</f>
        <v>4.32</v>
      </c>
      <c r="AL3" s="11"/>
      <c r="AM3" s="11"/>
      <c r="AN3" s="11" t="n">
        <f aca="false">SUM(AH3:AM3)</f>
        <v>4.32</v>
      </c>
      <c r="AO3" s="1"/>
      <c r="AP3" s="1"/>
      <c r="AQ3" s="1"/>
      <c r="AR3" s="1"/>
    </row>
    <row r="4" customFormat="false" ht="13.8" hidden="false" customHeight="false" outlineLevel="0" collapsed="false">
      <c r="A4" s="1" t="s">
        <v>48</v>
      </c>
      <c r="B4" s="1" t="n">
        <v>44</v>
      </c>
      <c r="C4" s="1" t="s">
        <v>49</v>
      </c>
      <c r="D4" s="1" t="s">
        <v>42</v>
      </c>
      <c r="E4" s="1" t="s">
        <v>48</v>
      </c>
      <c r="F4" s="1" t="n">
        <v>11</v>
      </c>
      <c r="G4" s="1" t="n">
        <v>1</v>
      </c>
      <c r="H4" s="1" t="n">
        <v>7</v>
      </c>
      <c r="I4" s="8" t="n">
        <v>494470</v>
      </c>
      <c r="J4" s="1" t="n">
        <v>2</v>
      </c>
      <c r="K4" s="1" t="s">
        <v>46</v>
      </c>
      <c r="L4" s="1" t="n">
        <v>4</v>
      </c>
      <c r="M4" s="1" t="n">
        <v>1</v>
      </c>
      <c r="O4" s="1" t="n">
        <v>1</v>
      </c>
      <c r="P4" s="1" t="n">
        <f aca="false">SUM(M4:O4)</f>
        <v>2</v>
      </c>
      <c r="Q4" s="1" t="n">
        <v>4</v>
      </c>
      <c r="R4" s="1" t="n">
        <v>1</v>
      </c>
      <c r="V4" s="1" t="n">
        <v>1</v>
      </c>
      <c r="W4" s="1" t="n">
        <f aca="false">SUM(Q4:V4)</f>
        <v>6</v>
      </c>
      <c r="X4" s="1" t="n">
        <v>3</v>
      </c>
      <c r="Y4" s="1" t="n">
        <v>6</v>
      </c>
      <c r="Z4" s="9" t="n">
        <f aca="false">(Q4)*(1+(J4)*0.2)</f>
        <v>5.6</v>
      </c>
      <c r="AA4" s="9" t="n">
        <f aca="false">(R4)*(1+(J4)*0.2)</f>
        <v>1.4</v>
      </c>
      <c r="AE4" s="9" t="n">
        <f aca="false">(V4)*(1+(J4)*0.2)</f>
        <v>1.4</v>
      </c>
      <c r="AF4" s="9" t="n">
        <f aca="false">SUM(Z4:AE4)</f>
        <v>8.4</v>
      </c>
      <c r="AG4" s="10" t="s">
        <v>47</v>
      </c>
      <c r="AH4" s="11" t="n">
        <f aca="false">IF(AG4="yes",Z4*1.2,Z4)</f>
        <v>6.72</v>
      </c>
      <c r="AI4" s="11" t="n">
        <f aca="false">IF(AG4="yes",AA4*1.2,AA4)</f>
        <v>1.68</v>
      </c>
      <c r="AJ4" s="11"/>
      <c r="AK4" s="11"/>
      <c r="AL4" s="11"/>
      <c r="AM4" s="11" t="n">
        <f aca="false">IF(AG4="yes",AE4*1.2,AE4)</f>
        <v>1.68</v>
      </c>
      <c r="AN4" s="11" t="n">
        <f aca="false">SUM(AH4:AM4)</f>
        <v>10.08</v>
      </c>
      <c r="AO4" s="1"/>
      <c r="AP4" s="1"/>
      <c r="AQ4" s="1"/>
      <c r="AR4" s="1"/>
    </row>
    <row r="5" customFormat="false" ht="13.8" hidden="false" customHeight="false" outlineLevel="0" collapsed="false">
      <c r="A5" s="1" t="s">
        <v>50</v>
      </c>
      <c r="B5" s="1" t="n">
        <v>805</v>
      </c>
      <c r="C5" s="1" t="s">
        <v>49</v>
      </c>
      <c r="D5" s="1" t="s">
        <v>42</v>
      </c>
      <c r="E5" s="1" t="s">
        <v>48</v>
      </c>
      <c r="F5" s="1" t="n">
        <v>1</v>
      </c>
      <c r="G5" s="1" t="n">
        <v>1</v>
      </c>
      <c r="H5" s="1" t="n">
        <v>3</v>
      </c>
      <c r="I5" s="8" t="n">
        <v>262520</v>
      </c>
      <c r="J5" s="1" t="n">
        <v>1</v>
      </c>
      <c r="K5" s="1" t="s">
        <v>51</v>
      </c>
      <c r="L5" s="1" t="n">
        <v>1</v>
      </c>
      <c r="P5" s="1" t="n">
        <f aca="false">SUM(M5:O5)</f>
        <v>0</v>
      </c>
      <c r="W5" s="1" t="n">
        <f aca="false">SUM(Q5:V5)</f>
        <v>0</v>
      </c>
      <c r="Z5" s="12"/>
      <c r="AF5" s="9" t="n">
        <f aca="false">SUM(Z5:AE5)</f>
        <v>0</v>
      </c>
      <c r="AG5" s="10"/>
      <c r="AH5" s="11"/>
      <c r="AI5" s="11"/>
      <c r="AJ5" s="11"/>
      <c r="AK5" s="11"/>
      <c r="AL5" s="11"/>
      <c r="AM5" s="11"/>
      <c r="AN5" s="11" t="n">
        <f aca="false">SUM(AH5:AM5)</f>
        <v>0</v>
      </c>
      <c r="AO5" s="1"/>
      <c r="AP5" s="1"/>
      <c r="AQ5" s="1"/>
      <c r="AR5" s="1"/>
    </row>
    <row r="6" customFormat="false" ht="13.8" hidden="false" customHeight="false" outlineLevel="0" collapsed="false">
      <c r="A6" s="1" t="s">
        <v>52</v>
      </c>
      <c r="B6" s="1" t="n">
        <v>934</v>
      </c>
      <c r="C6" s="1" t="s">
        <v>49</v>
      </c>
      <c r="D6" s="1" t="s">
        <v>42</v>
      </c>
      <c r="E6" s="1" t="s">
        <v>48</v>
      </c>
      <c r="F6" s="1" t="n">
        <v>3</v>
      </c>
      <c r="G6" s="1" t="n">
        <v>1</v>
      </c>
      <c r="H6" s="1" t="n">
        <v>3</v>
      </c>
      <c r="I6" s="8" t="n">
        <v>247234</v>
      </c>
      <c r="J6" s="1" t="n">
        <v>2</v>
      </c>
      <c r="K6" s="1" t="s">
        <v>44</v>
      </c>
      <c r="L6" s="1" t="n">
        <v>2</v>
      </c>
      <c r="O6" s="1" t="n">
        <v>1</v>
      </c>
      <c r="P6" s="1" t="n">
        <f aca="false">SUM(M6:O6)</f>
        <v>1</v>
      </c>
      <c r="R6" s="1" t="n">
        <v>1</v>
      </c>
      <c r="V6" s="1" t="n">
        <v>1</v>
      </c>
      <c r="W6" s="1" t="n">
        <f aca="false">SUM(Q6:V6)</f>
        <v>2</v>
      </c>
      <c r="AA6" s="9" t="n">
        <f aca="false">(R6)*(1+(J6)*0.2)</f>
        <v>1.4</v>
      </c>
      <c r="AE6" s="9" t="n">
        <f aca="false">(V6)*(1+(J6)*0.2)</f>
        <v>1.4</v>
      </c>
      <c r="AF6" s="9" t="n">
        <f aca="false">SUM(Z6:AE6)</f>
        <v>2.8</v>
      </c>
      <c r="AG6" s="10" t="s">
        <v>53</v>
      </c>
      <c r="AH6" s="11"/>
      <c r="AI6" s="11" t="n">
        <f aca="false">IF(AG6="yes",AA6*1.2,AA6)</f>
        <v>1.4</v>
      </c>
      <c r="AJ6" s="11"/>
      <c r="AK6" s="11"/>
      <c r="AL6" s="11"/>
      <c r="AM6" s="11" t="n">
        <f aca="false">IF(AG6="yes",AE6*1.2,AE6)</f>
        <v>1.4</v>
      </c>
      <c r="AN6" s="11" t="n">
        <f aca="false">SUM(AH6:AM6)</f>
        <v>2.8</v>
      </c>
      <c r="AO6" s="1"/>
      <c r="AP6" s="1"/>
      <c r="AQ6" s="1"/>
      <c r="AR6" s="1"/>
    </row>
    <row r="7" customFormat="false" ht="13.8" hidden="false" customHeight="false" outlineLevel="0" collapsed="false">
      <c r="A7" s="13" t="s">
        <v>54</v>
      </c>
      <c r="B7" s="1" t="n">
        <v>278</v>
      </c>
      <c r="C7" s="1" t="s">
        <v>55</v>
      </c>
      <c r="D7" s="1" t="s">
        <v>42</v>
      </c>
      <c r="E7" s="1" t="s">
        <v>56</v>
      </c>
      <c r="F7" s="13" t="n">
        <v>17</v>
      </c>
      <c r="G7" s="1" t="n">
        <v>1</v>
      </c>
      <c r="H7" s="13" t="n">
        <v>20</v>
      </c>
      <c r="I7" s="8" t="n">
        <v>5603198</v>
      </c>
      <c r="J7" s="1" t="n">
        <v>3</v>
      </c>
      <c r="K7" s="1" t="s">
        <v>57</v>
      </c>
      <c r="L7" s="1" t="n">
        <v>8</v>
      </c>
      <c r="M7" s="1" t="n">
        <v>2</v>
      </c>
      <c r="N7" s="1" t="n">
        <v>1</v>
      </c>
      <c r="O7" s="1" t="n">
        <v>5</v>
      </c>
      <c r="P7" s="1" t="n">
        <f aca="false">SUM(M7:O7)</f>
        <v>8</v>
      </c>
      <c r="W7" s="1" t="n">
        <f aca="false">SUM(Q7:V7)</f>
        <v>0</v>
      </c>
      <c r="X7" s="1" t="n">
        <v>4</v>
      </c>
      <c r="Y7" s="1" t="n">
        <v>10</v>
      </c>
      <c r="AD7" s="9"/>
      <c r="AF7" s="9" t="n">
        <f aca="false">SUM(Z7:AE7)</f>
        <v>0</v>
      </c>
      <c r="AG7" s="10"/>
      <c r="AH7" s="11"/>
      <c r="AI7" s="11"/>
      <c r="AJ7" s="11"/>
      <c r="AK7" s="11"/>
      <c r="AL7" s="11"/>
      <c r="AM7" s="11"/>
      <c r="AN7" s="11" t="n">
        <f aca="false">SUM(AH7:AM7)</f>
        <v>0</v>
      </c>
      <c r="AO7" s="1"/>
      <c r="AP7" s="1"/>
      <c r="AQ7" s="1"/>
      <c r="AR7" s="1"/>
    </row>
    <row r="8" customFormat="false" ht="13.8" hidden="false" customHeight="false" outlineLevel="0" collapsed="false">
      <c r="A8" s="1" t="s">
        <v>58</v>
      </c>
      <c r="B8" s="1" t="n">
        <v>509</v>
      </c>
      <c r="C8" s="1" t="s">
        <v>55</v>
      </c>
      <c r="D8" s="1" t="s">
        <v>42</v>
      </c>
      <c r="E8" s="1" t="s">
        <v>56</v>
      </c>
      <c r="F8" s="13" t="n">
        <v>1</v>
      </c>
      <c r="G8" s="1" t="n">
        <v>1</v>
      </c>
      <c r="H8" s="13" t="n">
        <v>8</v>
      </c>
      <c r="I8" s="8" t="n">
        <v>705101</v>
      </c>
      <c r="J8" s="13" t="n">
        <v>1</v>
      </c>
      <c r="K8" s="13" t="s">
        <v>44</v>
      </c>
      <c r="L8" s="13" t="n">
        <v>2</v>
      </c>
      <c r="O8" s="1" t="n">
        <v>1</v>
      </c>
      <c r="P8" s="1" t="n">
        <f aca="false">SUM(M8:O8)</f>
        <v>1</v>
      </c>
      <c r="T8" s="13" t="n">
        <v>30</v>
      </c>
      <c r="U8" s="13" t="n">
        <v>4</v>
      </c>
      <c r="W8" s="13" t="n">
        <f aca="false">SUM(Q8:V8)</f>
        <v>34</v>
      </c>
      <c r="AC8" s="14" t="n">
        <f aca="false">(T8)*(1+(J8)*0.2)</f>
        <v>36</v>
      </c>
      <c r="AD8" s="14" t="n">
        <f aca="false">(U8)*(1+(J8)*0.2)</f>
        <v>4.8</v>
      </c>
      <c r="AF8" s="14" t="n">
        <f aca="false">SUM(Z8:AE8)</f>
        <v>40.8</v>
      </c>
      <c r="AG8" s="10" t="s">
        <v>53</v>
      </c>
      <c r="AH8" s="11"/>
      <c r="AI8" s="11"/>
      <c r="AJ8" s="11"/>
      <c r="AK8" s="15" t="n">
        <f aca="false">IF(AG8="yes",AC8*1.2,AC8)</f>
        <v>36</v>
      </c>
      <c r="AL8" s="15" t="n">
        <f aca="false">IF(AG8="yes",AD8*1.2,AD8)</f>
        <v>4.8</v>
      </c>
      <c r="AM8" s="11"/>
      <c r="AN8" s="15" t="n">
        <f aca="false">SUM(AH8:AM8)</f>
        <v>40.8</v>
      </c>
      <c r="AO8" s="1"/>
      <c r="AP8" s="1"/>
      <c r="AQ8" s="1"/>
      <c r="AR8" s="1"/>
    </row>
    <row r="9" customFormat="false" ht="13.8" hidden="false" customHeight="false" outlineLevel="0" collapsed="false">
      <c r="A9" s="13" t="s">
        <v>59</v>
      </c>
      <c r="B9" s="13" t="n">
        <v>955</v>
      </c>
      <c r="C9" s="1" t="s">
        <v>55</v>
      </c>
      <c r="D9" s="13" t="s">
        <v>42</v>
      </c>
      <c r="E9" s="1" t="s">
        <v>56</v>
      </c>
      <c r="F9" s="13" t="n">
        <v>6</v>
      </c>
      <c r="G9" s="1" t="n">
        <v>1</v>
      </c>
      <c r="H9" s="13" t="n">
        <v>7</v>
      </c>
      <c r="I9" s="16" t="n">
        <v>395522</v>
      </c>
      <c r="J9" s="13" t="n">
        <v>1</v>
      </c>
      <c r="K9" s="13" t="s">
        <v>44</v>
      </c>
      <c r="L9" s="13" t="n">
        <v>2</v>
      </c>
      <c r="P9" s="1" t="n">
        <f aca="false">SUM(M9:O9)</f>
        <v>0</v>
      </c>
      <c r="Q9" s="13" t="n">
        <v>4</v>
      </c>
      <c r="W9" s="13" t="n">
        <f aca="false">SUM(Q9:V9)</f>
        <v>4</v>
      </c>
      <c r="Y9" s="13" t="n">
        <v>1</v>
      </c>
      <c r="Z9" s="14" t="n">
        <f aca="false">(Q9)*(1+(J9)*0.2)</f>
        <v>4.8</v>
      </c>
      <c r="AA9" s="9"/>
      <c r="AE9" s="9"/>
      <c r="AF9" s="14" t="n">
        <f aca="false">SUM(Z9:AE9)</f>
        <v>4.8</v>
      </c>
      <c r="AG9" s="17" t="s">
        <v>47</v>
      </c>
      <c r="AH9" s="15" t="n">
        <f aca="false">IF(AG9="yes",Z9*1.2,Z9)</f>
        <v>5.76</v>
      </c>
      <c r="AI9" s="11"/>
      <c r="AJ9" s="11"/>
      <c r="AK9" s="11"/>
      <c r="AL9" s="11"/>
      <c r="AM9" s="11"/>
      <c r="AN9" s="15" t="n">
        <f aca="false">SUM(AH9:AM9)</f>
        <v>5.76</v>
      </c>
      <c r="AO9" s="1"/>
      <c r="AP9" s="1"/>
      <c r="AQ9" s="1"/>
      <c r="AR9" s="1"/>
    </row>
    <row r="10" customFormat="false" ht="13.8" hidden="false" customHeight="false" outlineLevel="0" collapsed="false">
      <c r="A10" s="13" t="s">
        <v>60</v>
      </c>
      <c r="B10" s="13" t="n">
        <v>957</v>
      </c>
      <c r="C10" s="1" t="s">
        <v>55</v>
      </c>
      <c r="D10" s="13" t="s">
        <v>42</v>
      </c>
      <c r="E10" s="1" t="s">
        <v>56</v>
      </c>
      <c r="F10" s="13" t="n">
        <v>1</v>
      </c>
      <c r="G10" s="1" t="n">
        <v>1</v>
      </c>
      <c r="H10" s="13" t="n">
        <v>3</v>
      </c>
      <c r="I10" s="16" t="n">
        <v>500610</v>
      </c>
      <c r="J10" s="13" t="n">
        <v>1</v>
      </c>
      <c r="K10" s="13" t="s">
        <v>51</v>
      </c>
      <c r="L10" s="13" t="n">
        <v>1</v>
      </c>
      <c r="P10" s="1" t="n">
        <f aca="false">SUM(M10:O10)</f>
        <v>0</v>
      </c>
      <c r="T10" s="13" t="n">
        <v>5</v>
      </c>
      <c r="U10" s="13" t="n">
        <v>2</v>
      </c>
      <c r="W10" s="13" t="n">
        <f aca="false">SUM(Q10:V10)</f>
        <v>7</v>
      </c>
      <c r="AA10" s="9"/>
      <c r="AC10" s="14" t="n">
        <f aca="false">(T10)*(1+(J10)*0.2)</f>
        <v>6</v>
      </c>
      <c r="AD10" s="14" t="n">
        <f aca="false">(U10)*(1+(J10)*0.2)</f>
        <v>2.4</v>
      </c>
      <c r="AE10" s="9"/>
      <c r="AF10" s="14" t="n">
        <f aca="false">SUM(Z10:AE10)</f>
        <v>8.4</v>
      </c>
      <c r="AG10" s="17" t="s">
        <v>53</v>
      </c>
      <c r="AH10" s="11"/>
      <c r="AI10" s="11"/>
      <c r="AJ10" s="11"/>
      <c r="AK10" s="15" t="n">
        <f aca="false">IF(AG10="yes",AC10*1.2,AC10)</f>
        <v>6</v>
      </c>
      <c r="AL10" s="15" t="n">
        <f aca="false">IF(AG10="yes",AD10*1.2,AD10)</f>
        <v>2.4</v>
      </c>
      <c r="AM10" s="11"/>
      <c r="AN10" s="15" t="n">
        <f aca="false">SUM(AH10:AM10)</f>
        <v>8.4</v>
      </c>
      <c r="AO10" s="1"/>
      <c r="AP10" s="1"/>
      <c r="AQ10" s="1"/>
      <c r="AR10" s="1"/>
    </row>
    <row r="11" customFormat="false" ht="13.8" hidden="false" customHeight="false" outlineLevel="0" collapsed="false">
      <c r="A11" s="13" t="s">
        <v>61</v>
      </c>
      <c r="B11" s="13" t="n">
        <v>959</v>
      </c>
      <c r="C11" s="1" t="s">
        <v>55</v>
      </c>
      <c r="D11" s="13" t="s">
        <v>42</v>
      </c>
      <c r="E11" s="1" t="s">
        <v>56</v>
      </c>
      <c r="F11" s="13" t="n">
        <v>3</v>
      </c>
      <c r="G11" s="1" t="n">
        <v>1</v>
      </c>
      <c r="H11" s="13" t="n">
        <v>4</v>
      </c>
      <c r="I11" s="16" t="n">
        <v>782265</v>
      </c>
      <c r="J11" s="13" t="n">
        <v>1</v>
      </c>
      <c r="K11" s="13" t="s">
        <v>44</v>
      </c>
      <c r="L11" s="13" t="n">
        <v>2</v>
      </c>
      <c r="O11" s="13" t="n">
        <v>1</v>
      </c>
      <c r="P11" s="13" t="n">
        <f aca="false">SUM(M11:O11)</f>
        <v>1</v>
      </c>
      <c r="W11" s="1" t="n">
        <f aca="false">SUM(Q11:V11)</f>
        <v>0</v>
      </c>
      <c r="AA11" s="9"/>
      <c r="AE11" s="9"/>
      <c r="AF11" s="9"/>
      <c r="AG11" s="10"/>
      <c r="AH11" s="11"/>
      <c r="AI11" s="11"/>
      <c r="AJ11" s="11"/>
      <c r="AK11" s="11"/>
      <c r="AL11" s="11"/>
      <c r="AM11" s="11"/>
      <c r="AN11" s="11"/>
      <c r="AO11" s="1"/>
      <c r="AP11" s="1"/>
      <c r="AQ11" s="1"/>
      <c r="AR11" s="1"/>
    </row>
    <row r="12" customFormat="false" ht="13.8" hidden="false" customHeight="false" outlineLevel="0" collapsed="false">
      <c r="A12" s="1" t="s">
        <v>62</v>
      </c>
      <c r="B12" s="1" t="n">
        <v>511</v>
      </c>
      <c r="C12" s="1" t="s">
        <v>55</v>
      </c>
      <c r="D12" s="1" t="s">
        <v>42</v>
      </c>
      <c r="E12" s="1" t="s">
        <v>56</v>
      </c>
      <c r="F12" s="13" t="n">
        <v>2</v>
      </c>
      <c r="G12" s="1" t="n">
        <v>1</v>
      </c>
      <c r="H12" s="13" t="n">
        <v>5</v>
      </c>
      <c r="I12" s="8" t="n">
        <v>1091605</v>
      </c>
      <c r="J12" s="1" t="n">
        <v>2</v>
      </c>
      <c r="K12" s="1" t="s">
        <v>44</v>
      </c>
      <c r="L12" s="1" t="n">
        <v>2</v>
      </c>
      <c r="O12" s="1" t="n">
        <v>1</v>
      </c>
      <c r="P12" s="1" t="n">
        <f aca="false">SUM(M12:O12)</f>
        <v>1</v>
      </c>
      <c r="W12" s="1" t="n">
        <f aca="false">SUM(Q12:V12)</f>
        <v>0</v>
      </c>
      <c r="X12" s="1" t="n">
        <v>1</v>
      </c>
      <c r="AD12" s="9"/>
      <c r="AF12" s="9" t="n">
        <f aca="false">SUM(Z12:AE12)</f>
        <v>0</v>
      </c>
      <c r="AG12" s="10"/>
      <c r="AH12" s="11"/>
      <c r="AI12" s="11"/>
      <c r="AJ12" s="11"/>
      <c r="AK12" s="11"/>
      <c r="AL12" s="11"/>
      <c r="AM12" s="11"/>
      <c r="AN12" s="11" t="n">
        <f aca="false">SUM(AH12:AM12)</f>
        <v>0</v>
      </c>
      <c r="AO12" s="1"/>
      <c r="AP12" s="1"/>
      <c r="AQ12" s="1"/>
      <c r="AR12" s="1"/>
    </row>
    <row r="13" customFormat="false" ht="13.8" hidden="false" customHeight="false" outlineLevel="0" collapsed="false">
      <c r="A13" s="13" t="s">
        <v>63</v>
      </c>
      <c r="B13" s="1" t="n">
        <v>510</v>
      </c>
      <c r="C13" s="1" t="s">
        <v>55</v>
      </c>
      <c r="D13" s="1" t="s">
        <v>42</v>
      </c>
      <c r="E13" s="1" t="s">
        <v>56</v>
      </c>
      <c r="F13" s="13" t="n">
        <v>6</v>
      </c>
      <c r="G13" s="1" t="n">
        <v>1</v>
      </c>
      <c r="H13" s="13" t="n">
        <v>8</v>
      </c>
      <c r="I13" s="16" t="n">
        <v>1498997</v>
      </c>
      <c r="J13" s="13" t="n">
        <v>1</v>
      </c>
      <c r="K13" s="13" t="s">
        <v>44</v>
      </c>
      <c r="L13" s="13" t="n">
        <v>2</v>
      </c>
      <c r="M13" s="13"/>
      <c r="O13" s="13" t="n">
        <v>1</v>
      </c>
      <c r="P13" s="13" t="n">
        <f aca="false">SUM(M13:O13)</f>
        <v>1</v>
      </c>
      <c r="Q13" s="13" t="n">
        <v>2</v>
      </c>
      <c r="S13" s="13" t="n">
        <v>3</v>
      </c>
      <c r="W13" s="13" t="n">
        <f aca="false">SUM(Q13:V13)</f>
        <v>5</v>
      </c>
      <c r="X13" s="13"/>
      <c r="Z13" s="14" t="n">
        <f aca="false">(Q13)*(1+(J13)*0.2)</f>
        <v>2.4</v>
      </c>
      <c r="AB13" s="13" t="n">
        <f aca="false">(S13)*(1+(J13)*0.2)</f>
        <v>3.6</v>
      </c>
      <c r="AD13" s="9"/>
      <c r="AF13" s="14" t="n">
        <f aca="false">SUM(Z13:AE13)</f>
        <v>6</v>
      </c>
      <c r="AG13" s="10" t="s">
        <v>47</v>
      </c>
      <c r="AH13" s="15" t="n">
        <f aca="false">IF(AG13="yes",Z13*1.2,Z13)</f>
        <v>2.88</v>
      </c>
      <c r="AI13" s="11"/>
      <c r="AJ13" s="15" t="n">
        <f aca="false">IF(AG13="yes",AB13*1.2,AB13)</f>
        <v>4.32</v>
      </c>
      <c r="AK13" s="11"/>
      <c r="AL13" s="11"/>
      <c r="AM13" s="11"/>
      <c r="AN13" s="15" t="n">
        <f aca="false">SUM(AH13:AM13)</f>
        <v>7.2</v>
      </c>
      <c r="AO13" s="1"/>
      <c r="AP13" s="1"/>
      <c r="AQ13" s="1"/>
      <c r="AR13" s="1"/>
    </row>
    <row r="14" customFormat="false" ht="13.8" hidden="false" customHeight="false" outlineLevel="0" collapsed="false">
      <c r="A14" s="13" t="s">
        <v>64</v>
      </c>
      <c r="B14" s="1" t="n">
        <v>512</v>
      </c>
      <c r="C14" s="1" t="s">
        <v>55</v>
      </c>
      <c r="D14" s="1" t="s">
        <v>42</v>
      </c>
      <c r="E14" s="1" t="s">
        <v>56</v>
      </c>
      <c r="F14" s="13" t="n">
        <v>3</v>
      </c>
      <c r="G14" s="1" t="n">
        <v>1</v>
      </c>
      <c r="H14" s="13" t="n">
        <v>9</v>
      </c>
      <c r="I14" s="16" t="n">
        <v>471575</v>
      </c>
      <c r="J14" s="13" t="n">
        <v>1</v>
      </c>
      <c r="K14" s="1" t="s">
        <v>44</v>
      </c>
      <c r="L14" s="1" t="n">
        <v>2</v>
      </c>
      <c r="P14" s="1" t="n">
        <f aca="false">SUM(M14:O14)</f>
        <v>0</v>
      </c>
      <c r="Q14" s="13" t="n">
        <v>3</v>
      </c>
      <c r="W14" s="13" t="n">
        <f aca="false">SUM(Q14:V14)</f>
        <v>3</v>
      </c>
      <c r="Y14" s="13"/>
      <c r="Z14" s="14" t="n">
        <f aca="false">(Q14)*(1+(J14)*0.2)</f>
        <v>3.6</v>
      </c>
      <c r="AF14" s="14" t="n">
        <f aca="false">SUM(Z14:AE14)</f>
        <v>3.6</v>
      </c>
      <c r="AG14" s="10" t="s">
        <v>47</v>
      </c>
      <c r="AH14" s="15" t="n">
        <f aca="false">IF(AG14="yes",Z14*1.2,Z14)</f>
        <v>4.32</v>
      </c>
      <c r="AI14" s="11"/>
      <c r="AJ14" s="11"/>
      <c r="AK14" s="11"/>
      <c r="AL14" s="11"/>
      <c r="AM14" s="11"/>
      <c r="AN14" s="15" t="n">
        <f aca="false">SUM(AH14:AM14)</f>
        <v>4.32</v>
      </c>
      <c r="AO14" s="1"/>
      <c r="AP14" s="1"/>
      <c r="AQ14" s="1"/>
      <c r="AR14" s="1"/>
    </row>
    <row r="15" customFormat="false" ht="13.8" hidden="false" customHeight="false" outlineLevel="0" collapsed="false">
      <c r="A15" s="18" t="s">
        <v>65</v>
      </c>
      <c r="B15" s="13" t="n">
        <v>960</v>
      </c>
      <c r="C15" s="1" t="s">
        <v>55</v>
      </c>
      <c r="D15" s="13" t="s">
        <v>42</v>
      </c>
      <c r="E15" s="1" t="s">
        <v>56</v>
      </c>
      <c r="F15" s="13" t="n">
        <v>3</v>
      </c>
      <c r="G15" s="1" t="n">
        <v>1</v>
      </c>
      <c r="H15" s="13" t="n">
        <v>4</v>
      </c>
      <c r="I15" s="16" t="n">
        <v>882387</v>
      </c>
      <c r="J15" s="13" t="n">
        <v>1</v>
      </c>
      <c r="K15" s="13" t="s">
        <v>44</v>
      </c>
      <c r="L15" s="13" t="n">
        <v>2</v>
      </c>
      <c r="P15" s="1" t="n">
        <f aca="false">SUM(M15:O15)</f>
        <v>0</v>
      </c>
      <c r="W15" s="1" t="n">
        <f aca="false">SUM(Q15:V15)</f>
        <v>0</v>
      </c>
      <c r="AA15" s="9"/>
      <c r="AE15" s="9"/>
      <c r="AF15" s="9"/>
      <c r="AG15" s="10"/>
      <c r="AH15" s="11"/>
      <c r="AI15" s="11"/>
      <c r="AJ15" s="11"/>
      <c r="AK15" s="11"/>
      <c r="AL15" s="11"/>
      <c r="AM15" s="11"/>
      <c r="AN15" s="11"/>
      <c r="AO15" s="1"/>
      <c r="AP15" s="1"/>
      <c r="AQ15" s="1"/>
      <c r="AR15" s="1"/>
    </row>
    <row r="16" customFormat="false" ht="13.8" hidden="false" customHeight="false" outlineLevel="0" collapsed="false">
      <c r="A16" s="13" t="s">
        <v>66</v>
      </c>
      <c r="B16" s="13" t="n">
        <v>958</v>
      </c>
      <c r="C16" s="1" t="s">
        <v>55</v>
      </c>
      <c r="D16" s="13" t="s">
        <v>42</v>
      </c>
      <c r="E16" s="1" t="s">
        <v>56</v>
      </c>
      <c r="F16" s="13" t="n">
        <v>2</v>
      </c>
      <c r="G16" s="1" t="n">
        <v>1</v>
      </c>
      <c r="H16" s="13" t="n">
        <v>9</v>
      </c>
      <c r="I16" s="16" t="n">
        <v>603138</v>
      </c>
      <c r="J16" s="13" t="n">
        <v>2</v>
      </c>
      <c r="K16" s="13" t="s">
        <v>44</v>
      </c>
      <c r="L16" s="13" t="n">
        <v>2</v>
      </c>
      <c r="P16" s="1" t="n">
        <f aca="false">SUM(M16:O16)</f>
        <v>0</v>
      </c>
      <c r="W16" s="1" t="n">
        <f aca="false">SUM(Q16:V16)</f>
        <v>0</v>
      </c>
      <c r="AA16" s="9"/>
      <c r="AE16" s="9"/>
      <c r="AF16" s="9"/>
      <c r="AG16" s="10"/>
      <c r="AH16" s="11"/>
      <c r="AI16" s="11"/>
      <c r="AJ16" s="11"/>
      <c r="AK16" s="11"/>
      <c r="AL16" s="11"/>
      <c r="AM16" s="11"/>
      <c r="AN16" s="11"/>
      <c r="AO16" s="1"/>
      <c r="AP16" s="1"/>
      <c r="AQ16" s="1"/>
      <c r="AR16" s="1"/>
    </row>
    <row r="17" customFormat="false" ht="13.8" hidden="false" customHeight="false" outlineLevel="0" collapsed="false">
      <c r="A17" s="13" t="s">
        <v>67</v>
      </c>
      <c r="B17" s="13" t="n">
        <v>954</v>
      </c>
      <c r="C17" s="1" t="s">
        <v>55</v>
      </c>
      <c r="D17" s="13" t="s">
        <v>42</v>
      </c>
      <c r="E17" s="1" t="s">
        <v>56</v>
      </c>
      <c r="F17" s="13" t="n">
        <v>1</v>
      </c>
      <c r="G17" s="1" t="n">
        <v>1</v>
      </c>
      <c r="H17" s="13" t="n">
        <v>5</v>
      </c>
      <c r="I17" s="19" t="n">
        <v>132161</v>
      </c>
      <c r="J17" s="13" t="n">
        <v>1</v>
      </c>
      <c r="K17" s="13" t="s">
        <v>44</v>
      </c>
      <c r="L17" s="13" t="n">
        <v>2</v>
      </c>
      <c r="P17" s="1" t="n">
        <f aca="false">SUM(M17:O17)</f>
        <v>0</v>
      </c>
      <c r="Q17" s="13" t="n">
        <v>3</v>
      </c>
      <c r="W17" s="13" t="n">
        <f aca="false">SUM(Q17:V17)</f>
        <v>3</v>
      </c>
      <c r="Z17" s="14" t="n">
        <f aca="false">(Q17)*(1+(J17)*0.2)</f>
        <v>3.6</v>
      </c>
      <c r="AA17" s="9"/>
      <c r="AE17" s="9"/>
      <c r="AF17" s="14" t="n">
        <f aca="false">SUM(Z17:AE17)</f>
        <v>3.6</v>
      </c>
      <c r="AG17" s="17" t="s">
        <v>53</v>
      </c>
      <c r="AH17" s="15" t="n">
        <f aca="false">IF(AG17="yes",Z17*1.2,Z17)</f>
        <v>3.6</v>
      </c>
      <c r="AI17" s="11"/>
      <c r="AJ17" s="11"/>
      <c r="AK17" s="11"/>
      <c r="AL17" s="11"/>
      <c r="AM17" s="11"/>
      <c r="AN17" s="15" t="n">
        <f aca="false">SUM(AH17:AM17)</f>
        <v>3.6</v>
      </c>
      <c r="AO17" s="1"/>
      <c r="AP17" s="1"/>
      <c r="AQ17" s="1"/>
      <c r="AR17" s="1"/>
    </row>
    <row r="18" customFormat="false" ht="13.8" hidden="false" customHeight="false" outlineLevel="0" collapsed="false">
      <c r="A18" s="13" t="s">
        <v>68</v>
      </c>
      <c r="B18" s="13" t="n">
        <v>956</v>
      </c>
      <c r="C18" s="1" t="s">
        <v>55</v>
      </c>
      <c r="D18" s="13" t="s">
        <v>42</v>
      </c>
      <c r="E18" s="1" t="s">
        <v>56</v>
      </c>
      <c r="F18" s="13" t="n">
        <v>3</v>
      </c>
      <c r="G18" s="1" t="n">
        <v>1</v>
      </c>
      <c r="H18" s="13" t="n">
        <v>7</v>
      </c>
      <c r="I18" s="19" t="n">
        <v>3000828</v>
      </c>
      <c r="J18" s="13" t="n">
        <v>2</v>
      </c>
      <c r="K18" s="13" t="s">
        <v>44</v>
      </c>
      <c r="L18" s="13" t="n">
        <v>2</v>
      </c>
      <c r="M18" s="13" t="n">
        <v>1</v>
      </c>
      <c r="O18" s="13" t="n">
        <v>1</v>
      </c>
      <c r="P18" s="13" t="n">
        <f aca="false">SUM(M18:O18)</f>
        <v>2</v>
      </c>
      <c r="Q18" s="13" t="n">
        <v>6</v>
      </c>
      <c r="W18" s="13" t="n">
        <f aca="false">SUM(Q18:V18)</f>
        <v>6</v>
      </c>
      <c r="X18" s="13" t="n">
        <v>1</v>
      </c>
      <c r="Z18" s="14" t="n">
        <f aca="false">(Q18)*(1+(J18)*0.2)</f>
        <v>8.4</v>
      </c>
      <c r="AA18" s="9"/>
      <c r="AE18" s="9"/>
      <c r="AF18" s="14" t="n">
        <f aca="false">SUM(Z18:AE18)</f>
        <v>8.4</v>
      </c>
      <c r="AG18" s="17" t="s">
        <v>47</v>
      </c>
      <c r="AH18" s="15" t="n">
        <f aca="false">IF(AG18="yes",Z18*1.2,Z18)</f>
        <v>10.08</v>
      </c>
      <c r="AI18" s="11"/>
      <c r="AJ18" s="11"/>
      <c r="AK18" s="11"/>
      <c r="AL18" s="11"/>
      <c r="AM18" s="11"/>
      <c r="AN18" s="15" t="n">
        <f aca="false">SUM(AH18:AM18)</f>
        <v>10.08</v>
      </c>
      <c r="AO18" s="1"/>
      <c r="AP18" s="1"/>
      <c r="AQ18" s="1"/>
      <c r="AR18" s="1"/>
    </row>
    <row r="19" customFormat="false" ht="13.8" hidden="false" customHeight="false" outlineLevel="0" collapsed="false">
      <c r="A19" s="13" t="s">
        <v>69</v>
      </c>
      <c r="B19" s="13" t="n">
        <v>953</v>
      </c>
      <c r="C19" s="1" t="s">
        <v>55</v>
      </c>
      <c r="D19" s="13" t="s">
        <v>42</v>
      </c>
      <c r="E19" s="1" t="s">
        <v>56</v>
      </c>
      <c r="F19" s="13" t="n">
        <v>1</v>
      </c>
      <c r="G19" s="1" t="n">
        <v>1</v>
      </c>
      <c r="H19" s="13" t="n">
        <v>3</v>
      </c>
      <c r="I19" s="16" t="n">
        <v>80864</v>
      </c>
      <c r="K19" s="13" t="s">
        <v>51</v>
      </c>
      <c r="L19" s="13" t="n">
        <v>1</v>
      </c>
      <c r="P19" s="1" t="n">
        <f aca="false">SUM(M19:O19)</f>
        <v>0</v>
      </c>
      <c r="Q19" s="13" t="n">
        <v>1</v>
      </c>
      <c r="W19" s="13" t="n">
        <f aca="false">SUM(Q19:V19)</f>
        <v>1</v>
      </c>
      <c r="Y19" s="13" t="n">
        <v>1</v>
      </c>
      <c r="Z19" s="14" t="n">
        <f aca="false">(Q19)*(1+(J19)*0.2)</f>
        <v>1</v>
      </c>
      <c r="AA19" s="9"/>
      <c r="AE19" s="9"/>
      <c r="AF19" s="14" t="n">
        <f aca="false">SUM(Z19:AE19)</f>
        <v>1</v>
      </c>
      <c r="AG19" s="17" t="s">
        <v>47</v>
      </c>
      <c r="AH19" s="15" t="n">
        <f aca="false">IF(AG19="yes",Z19*1.2,Z19)</f>
        <v>1.2</v>
      </c>
      <c r="AI19" s="11"/>
      <c r="AJ19" s="11"/>
      <c r="AK19" s="11"/>
      <c r="AL19" s="11"/>
      <c r="AM19" s="11"/>
      <c r="AN19" s="15" t="n">
        <f aca="false">SUM(AH19:AM19)</f>
        <v>1.2</v>
      </c>
      <c r="AO19" s="1"/>
      <c r="AP19" s="1"/>
      <c r="AQ19" s="1"/>
      <c r="AR19" s="1"/>
    </row>
    <row r="20" customFormat="false" ht="13.8" hidden="false" customHeight="false" outlineLevel="0" collapsed="false">
      <c r="A20" s="1" t="s">
        <v>70</v>
      </c>
      <c r="B20" s="1" t="n">
        <v>508</v>
      </c>
      <c r="C20" s="1" t="s">
        <v>55</v>
      </c>
      <c r="D20" s="1" t="s">
        <v>42</v>
      </c>
      <c r="E20" s="1" t="s">
        <v>56</v>
      </c>
      <c r="F20" s="13" t="n">
        <v>7</v>
      </c>
      <c r="G20" s="1" t="n">
        <v>1</v>
      </c>
      <c r="H20" s="13" t="n">
        <v>4</v>
      </c>
      <c r="I20" s="16" t="n">
        <v>1142704</v>
      </c>
      <c r="J20" s="1" t="n">
        <v>2</v>
      </c>
      <c r="K20" s="13" t="s">
        <v>46</v>
      </c>
      <c r="L20" s="13" t="n">
        <v>4</v>
      </c>
      <c r="O20" s="1" t="n">
        <v>1</v>
      </c>
      <c r="P20" s="1" t="n">
        <f aca="false">SUM(M20:O20)</f>
        <v>1</v>
      </c>
      <c r="W20" s="1" t="n">
        <f aca="false">SUM(Q20:V20)</f>
        <v>0</v>
      </c>
      <c r="AF20" s="9" t="n">
        <f aca="false">SUM(Z20:AE20)</f>
        <v>0</v>
      </c>
      <c r="AG20" s="10"/>
      <c r="AH20" s="11"/>
      <c r="AI20" s="11"/>
      <c r="AJ20" s="11"/>
      <c r="AK20" s="11"/>
      <c r="AL20" s="11"/>
      <c r="AM20" s="11"/>
      <c r="AN20" s="11" t="n">
        <f aca="false">SUM(AH20:AM20)</f>
        <v>0</v>
      </c>
      <c r="AO20" s="1"/>
      <c r="AP20" s="1"/>
      <c r="AQ20" s="1"/>
      <c r="AR20" s="1"/>
    </row>
    <row r="21" customFormat="false" ht="13.8" hidden="false" customHeight="false" outlineLevel="0" collapsed="false">
      <c r="A21" s="1" t="s">
        <v>71</v>
      </c>
      <c r="B21" s="1" t="n">
        <v>737</v>
      </c>
      <c r="C21" s="1" t="s">
        <v>72</v>
      </c>
      <c r="D21" s="1" t="s">
        <v>73</v>
      </c>
      <c r="E21" s="1" t="s">
        <v>74</v>
      </c>
      <c r="F21" s="1" t="n">
        <v>5</v>
      </c>
      <c r="G21" s="1" t="n">
        <v>1</v>
      </c>
      <c r="H21" s="1" t="n">
        <v>16</v>
      </c>
      <c r="I21" s="8" t="n">
        <v>346062</v>
      </c>
      <c r="J21" s="1" t="n">
        <v>1</v>
      </c>
      <c r="K21" s="1" t="s">
        <v>44</v>
      </c>
      <c r="L21" s="1" t="n">
        <v>2</v>
      </c>
      <c r="P21" s="1" t="n">
        <f aca="false">SUM(M21:O21)</f>
        <v>0</v>
      </c>
      <c r="W21" s="1" t="n">
        <f aca="false">SUM(Q21:V21)</f>
        <v>0</v>
      </c>
      <c r="X21" s="1" t="n">
        <v>1</v>
      </c>
      <c r="Y21" s="1" t="n">
        <v>7</v>
      </c>
      <c r="AD21" s="9"/>
      <c r="AF21" s="9" t="n">
        <f aca="false">SUM(Z21:AE21)</f>
        <v>0</v>
      </c>
      <c r="AG21" s="10"/>
      <c r="AH21" s="11"/>
      <c r="AI21" s="11"/>
      <c r="AJ21" s="11"/>
      <c r="AK21" s="11"/>
      <c r="AL21" s="11"/>
      <c r="AM21" s="11"/>
      <c r="AN21" s="11" t="n">
        <f aca="false">SUM(AH21:AM21)</f>
        <v>0</v>
      </c>
      <c r="AO21" s="1"/>
      <c r="AP21" s="1"/>
      <c r="AQ21" s="1"/>
      <c r="AR21" s="1"/>
    </row>
    <row r="22" customFormat="false" ht="13.8" hidden="false" customHeight="false" outlineLevel="0" collapsed="false">
      <c r="A22" s="1" t="s">
        <v>75</v>
      </c>
      <c r="B22" s="1" t="n">
        <v>674</v>
      </c>
      <c r="C22" s="1" t="s">
        <v>72</v>
      </c>
      <c r="D22" s="1" t="s">
        <v>42</v>
      </c>
      <c r="E22" s="1" t="s">
        <v>74</v>
      </c>
      <c r="G22" s="1" t="n">
        <v>1</v>
      </c>
      <c r="H22" s="1" t="n">
        <v>29</v>
      </c>
      <c r="I22" s="8" t="n">
        <v>30037</v>
      </c>
      <c r="J22" s="1" t="n">
        <v>1</v>
      </c>
      <c r="K22" s="1" t="s">
        <v>76</v>
      </c>
      <c r="L22" s="1" t="n">
        <v>0</v>
      </c>
      <c r="P22" s="1" t="n">
        <f aca="false">SUM(M22:O22)</f>
        <v>0</v>
      </c>
      <c r="W22" s="1" t="n">
        <f aca="false">SUM(Q22:V22)</f>
        <v>0</v>
      </c>
      <c r="AD22" s="9"/>
      <c r="AF22" s="9" t="n">
        <f aca="false">SUM(Z22:AE22)</f>
        <v>0</v>
      </c>
      <c r="AG22" s="10"/>
      <c r="AH22" s="11"/>
      <c r="AI22" s="11"/>
      <c r="AJ22" s="11"/>
      <c r="AK22" s="11"/>
      <c r="AL22" s="11"/>
      <c r="AM22" s="11"/>
      <c r="AN22" s="11" t="n">
        <f aca="false">SUM(AH22:AM22)</f>
        <v>0</v>
      </c>
      <c r="AO22" s="1"/>
      <c r="AP22" s="1"/>
      <c r="AQ22" s="1"/>
      <c r="AR22" s="1"/>
    </row>
    <row r="23" customFormat="false" ht="13.8" hidden="false" customHeight="false" outlineLevel="0" collapsed="false">
      <c r="A23" s="1" t="s">
        <v>77</v>
      </c>
      <c r="B23" s="1" t="n">
        <v>285</v>
      </c>
      <c r="C23" s="1" t="s">
        <v>72</v>
      </c>
      <c r="D23" s="1" t="s">
        <v>42</v>
      </c>
      <c r="E23" s="1" t="s">
        <v>74</v>
      </c>
      <c r="F23" s="1" t="n">
        <v>51</v>
      </c>
      <c r="G23" s="1" t="n">
        <v>1</v>
      </c>
      <c r="H23" s="1" t="n">
        <v>42</v>
      </c>
      <c r="I23" s="8" t="n">
        <v>2566229</v>
      </c>
      <c r="J23" s="1" t="n">
        <v>3</v>
      </c>
      <c r="K23" s="1" t="s">
        <v>57</v>
      </c>
      <c r="L23" s="1" t="n">
        <v>8</v>
      </c>
      <c r="M23" s="1" t="n">
        <v>2</v>
      </c>
      <c r="N23" s="1" t="n">
        <v>2</v>
      </c>
      <c r="O23" s="1" t="n">
        <v>4</v>
      </c>
      <c r="P23" s="1" t="n">
        <f aca="false">SUM(M23:O23)</f>
        <v>8</v>
      </c>
      <c r="W23" s="1" t="n">
        <f aca="false">SUM(Q23:V23)</f>
        <v>0</v>
      </c>
      <c r="X23" s="1" t="n">
        <v>5</v>
      </c>
      <c r="Y23" s="1" t="n">
        <v>6</v>
      </c>
      <c r="AF23" s="9" t="n">
        <f aca="false">SUM(Z23:AE23)</f>
        <v>0</v>
      </c>
      <c r="AG23" s="10"/>
      <c r="AH23" s="11"/>
      <c r="AI23" s="11"/>
      <c r="AJ23" s="11"/>
      <c r="AK23" s="11"/>
      <c r="AL23" s="11"/>
      <c r="AM23" s="11"/>
      <c r="AN23" s="11" t="n">
        <f aca="false">SUM(AH23:AM23)</f>
        <v>0</v>
      </c>
      <c r="AO23" s="1"/>
      <c r="AP23" s="1"/>
      <c r="AQ23" s="1"/>
      <c r="AR23" s="1"/>
    </row>
    <row r="24" customFormat="false" ht="13.8" hidden="false" customHeight="false" outlineLevel="0" collapsed="false">
      <c r="A24" s="1" t="s">
        <v>78</v>
      </c>
      <c r="B24" s="1" t="n">
        <v>872</v>
      </c>
      <c r="C24" s="1" t="s">
        <v>72</v>
      </c>
      <c r="D24" s="1" t="s">
        <v>42</v>
      </c>
      <c r="E24" s="1" t="s">
        <v>74</v>
      </c>
      <c r="G24" s="1" t="n">
        <v>1</v>
      </c>
      <c r="H24" s="1" t="n">
        <v>19</v>
      </c>
      <c r="I24" s="8" t="n">
        <v>100122</v>
      </c>
      <c r="J24" s="1" t="n">
        <v>1</v>
      </c>
      <c r="K24" s="1" t="s">
        <v>44</v>
      </c>
      <c r="L24" s="1" t="n">
        <v>2</v>
      </c>
      <c r="P24" s="1" t="n">
        <f aca="false">SUM(M24:O24)</f>
        <v>0</v>
      </c>
      <c r="W24" s="1" t="n">
        <f aca="false">SUM(Q24:V24)</f>
        <v>0</v>
      </c>
      <c r="AD24" s="9"/>
      <c r="AF24" s="9" t="n">
        <f aca="false">SUM(Z24:AE24)</f>
        <v>0</v>
      </c>
      <c r="AG24" s="10"/>
      <c r="AH24" s="11"/>
      <c r="AI24" s="11"/>
      <c r="AJ24" s="11"/>
      <c r="AK24" s="11"/>
      <c r="AL24" s="11"/>
      <c r="AM24" s="11"/>
      <c r="AN24" s="11" t="n">
        <f aca="false">SUM(AH24:AM24)</f>
        <v>0</v>
      </c>
      <c r="AO24" s="1"/>
      <c r="AP24" s="1"/>
      <c r="AQ24" s="1"/>
      <c r="AR24" s="1"/>
    </row>
    <row r="25" customFormat="false" ht="13.8" hidden="false" customHeight="false" outlineLevel="0" collapsed="false">
      <c r="A25" s="1" t="s">
        <v>79</v>
      </c>
      <c r="B25" s="1" t="n">
        <v>870</v>
      </c>
      <c r="C25" s="1" t="s">
        <v>72</v>
      </c>
      <c r="D25" s="1" t="s">
        <v>42</v>
      </c>
      <c r="E25" s="1" t="s">
        <v>74</v>
      </c>
      <c r="G25" s="1" t="n">
        <v>1</v>
      </c>
      <c r="H25" s="1" t="n">
        <v>10</v>
      </c>
      <c r="I25" s="8" t="n">
        <v>1001</v>
      </c>
      <c r="J25" s="1" t="n">
        <v>1</v>
      </c>
      <c r="K25" s="1" t="s">
        <v>76</v>
      </c>
      <c r="L25" s="1" t="n">
        <v>0</v>
      </c>
      <c r="P25" s="1" t="n">
        <f aca="false">SUM(M25:O25)</f>
        <v>0</v>
      </c>
      <c r="W25" s="1" t="n">
        <f aca="false">SUM(Q25:V25)</f>
        <v>0</v>
      </c>
      <c r="AF25" s="9" t="n">
        <f aca="false">SUM(Z25:AE25)</f>
        <v>0</v>
      </c>
      <c r="AG25" s="10"/>
      <c r="AH25" s="11"/>
      <c r="AI25" s="11"/>
      <c r="AJ25" s="11"/>
      <c r="AK25" s="11"/>
      <c r="AL25" s="11"/>
      <c r="AM25" s="11"/>
      <c r="AN25" s="11" t="n">
        <f aca="false">SUM(AH25:AM25)</f>
        <v>0</v>
      </c>
      <c r="AO25" s="1"/>
      <c r="AP25" s="1"/>
      <c r="AQ25" s="1"/>
      <c r="AR25" s="1"/>
    </row>
    <row r="26" customFormat="false" ht="13.8" hidden="false" customHeight="false" outlineLevel="0" collapsed="false">
      <c r="A26" s="1" t="s">
        <v>80</v>
      </c>
      <c r="B26" s="1" t="n">
        <v>520</v>
      </c>
      <c r="C26" s="1" t="s">
        <v>72</v>
      </c>
      <c r="D26" s="1" t="s">
        <v>42</v>
      </c>
      <c r="E26" s="1" t="s">
        <v>74</v>
      </c>
      <c r="F26" s="1" t="n">
        <v>5</v>
      </c>
      <c r="G26" s="1" t="n">
        <v>1</v>
      </c>
      <c r="H26" s="1" t="n">
        <v>25</v>
      </c>
      <c r="I26" s="8" t="n">
        <v>13016</v>
      </c>
      <c r="J26" s="1" t="n">
        <v>2</v>
      </c>
      <c r="K26" s="1" t="s">
        <v>76</v>
      </c>
      <c r="L26" s="1" t="n">
        <v>0</v>
      </c>
      <c r="P26" s="1" t="n">
        <f aca="false">SUM(M26:O26)</f>
        <v>0</v>
      </c>
      <c r="U26" s="1" t="n">
        <v>22</v>
      </c>
      <c r="W26" s="1" t="n">
        <f aca="false">SUM(Q26:V26)</f>
        <v>22</v>
      </c>
      <c r="X26" s="1" t="n">
        <v>1</v>
      </c>
      <c r="Y26" s="1" t="n">
        <v>1</v>
      </c>
      <c r="AD26" s="9" t="n">
        <f aca="false">(U26)*(1+(J26)*0.2)</f>
        <v>30.8</v>
      </c>
      <c r="AF26" s="9" t="n">
        <f aca="false">SUM(Z26:AE26)</f>
        <v>30.8</v>
      </c>
      <c r="AG26" s="10" t="s">
        <v>47</v>
      </c>
      <c r="AH26" s="11"/>
      <c r="AI26" s="11"/>
      <c r="AJ26" s="11"/>
      <c r="AK26" s="11"/>
      <c r="AL26" s="11" t="n">
        <f aca="false">IF(AG26="yes",AD26*1.2,AD26)</f>
        <v>36.96</v>
      </c>
      <c r="AM26" s="11"/>
      <c r="AN26" s="11" t="n">
        <f aca="false">SUM(AH26:AM26)</f>
        <v>36.96</v>
      </c>
      <c r="AO26" s="1"/>
      <c r="AP26" s="1"/>
      <c r="AQ26" s="1"/>
      <c r="AR26" s="1"/>
    </row>
    <row r="27" customFormat="false" ht="13.8" hidden="false" customHeight="false" outlineLevel="0" collapsed="false">
      <c r="A27" s="1" t="s">
        <v>81</v>
      </c>
      <c r="B27" s="1" t="n">
        <v>523</v>
      </c>
      <c r="C27" s="1" t="s">
        <v>72</v>
      </c>
      <c r="D27" s="1" t="s">
        <v>73</v>
      </c>
      <c r="E27" s="1" t="s">
        <v>74</v>
      </c>
      <c r="F27" s="1" t="n">
        <v>4</v>
      </c>
      <c r="G27" s="1" t="n">
        <v>1</v>
      </c>
      <c r="H27" s="1" t="n">
        <v>44</v>
      </c>
      <c r="I27" s="8" t="n">
        <v>1078315</v>
      </c>
      <c r="J27" s="1" t="n">
        <v>1</v>
      </c>
      <c r="K27" s="1" t="s">
        <v>44</v>
      </c>
      <c r="L27" s="1" t="n">
        <v>2</v>
      </c>
      <c r="P27" s="1" t="n">
        <f aca="false">SUM(M27:O27)</f>
        <v>0</v>
      </c>
      <c r="W27" s="1" t="n">
        <f aca="false">SUM(Q27:V27)</f>
        <v>0</v>
      </c>
      <c r="X27" s="1" t="n">
        <v>3</v>
      </c>
      <c r="Y27" s="1" t="n">
        <v>7</v>
      </c>
      <c r="AF27" s="9" t="n">
        <f aca="false">SUM(Z27:AE27)</f>
        <v>0</v>
      </c>
      <c r="AG27" s="10"/>
      <c r="AH27" s="11"/>
      <c r="AI27" s="11"/>
      <c r="AJ27" s="11"/>
      <c r="AK27" s="11"/>
      <c r="AL27" s="11"/>
      <c r="AM27" s="11"/>
      <c r="AN27" s="11" t="n">
        <f aca="false">SUM(AH27:AM27)</f>
        <v>0</v>
      </c>
      <c r="AO27" s="1"/>
      <c r="AP27" s="1"/>
      <c r="AQ27" s="1"/>
      <c r="AR27" s="1"/>
    </row>
    <row r="28" customFormat="false" ht="13.8" hidden="false" customHeight="false" outlineLevel="0" collapsed="false">
      <c r="A28" s="1" t="s">
        <v>82</v>
      </c>
      <c r="B28" s="1" t="n">
        <v>521</v>
      </c>
      <c r="C28" s="1" t="s">
        <v>72</v>
      </c>
      <c r="D28" s="1" t="s">
        <v>42</v>
      </c>
      <c r="E28" s="1" t="s">
        <v>74</v>
      </c>
      <c r="F28" s="1" t="n">
        <v>16</v>
      </c>
      <c r="G28" s="1" t="n">
        <v>1</v>
      </c>
      <c r="H28" s="1" t="n">
        <v>31</v>
      </c>
      <c r="I28" s="8" t="n">
        <v>817797</v>
      </c>
      <c r="J28" s="1" t="n">
        <v>3</v>
      </c>
      <c r="K28" s="1" t="s">
        <v>46</v>
      </c>
      <c r="L28" s="1" t="n">
        <v>4</v>
      </c>
      <c r="O28" s="1" t="n">
        <v>1</v>
      </c>
      <c r="P28" s="1" t="n">
        <f aca="false">SUM(M28:O28)</f>
        <v>1</v>
      </c>
      <c r="T28" s="1" t="n">
        <v>24</v>
      </c>
      <c r="W28" s="1" t="n">
        <f aca="false">SUM(Q28:V28)</f>
        <v>24</v>
      </c>
      <c r="X28" s="1" t="n">
        <v>1</v>
      </c>
      <c r="Y28" s="1" t="n">
        <v>3</v>
      </c>
      <c r="AA28" s="9"/>
      <c r="AC28" s="9" t="n">
        <f aca="false">(T28)*(1+(J28)*0.2)</f>
        <v>38.4</v>
      </c>
      <c r="AD28" s="9"/>
      <c r="AF28" s="9" t="n">
        <f aca="false">SUM(Z28:AE28)</f>
        <v>38.4</v>
      </c>
      <c r="AG28" s="10" t="s">
        <v>47</v>
      </c>
      <c r="AH28" s="11"/>
      <c r="AI28" s="11"/>
      <c r="AJ28" s="11"/>
      <c r="AK28" s="11" t="n">
        <f aca="false">IF(AG28="yes",AC28*1.2,AC28)</f>
        <v>46.08</v>
      </c>
      <c r="AL28" s="11"/>
      <c r="AM28" s="11"/>
      <c r="AN28" s="11" t="n">
        <f aca="false">SUM(AH28:AM28)</f>
        <v>46.08</v>
      </c>
      <c r="AO28" s="1"/>
      <c r="AP28" s="1"/>
      <c r="AQ28" s="1"/>
      <c r="AR28" s="1"/>
    </row>
    <row r="29" customFormat="false" ht="13.8" hidden="false" customHeight="false" outlineLevel="0" collapsed="false">
      <c r="A29" s="1" t="s">
        <v>83</v>
      </c>
      <c r="B29" s="1" t="n">
        <v>634</v>
      </c>
      <c r="C29" s="1" t="s">
        <v>72</v>
      </c>
      <c r="D29" s="1" t="s">
        <v>73</v>
      </c>
      <c r="E29" s="1" t="s">
        <v>74</v>
      </c>
      <c r="F29" s="1" t="n">
        <v>4</v>
      </c>
      <c r="G29" s="1" t="n">
        <v>1</v>
      </c>
      <c r="H29" s="1" t="n">
        <v>14</v>
      </c>
      <c r="I29" s="8" t="n">
        <v>150183</v>
      </c>
      <c r="J29" s="1" t="n">
        <v>1</v>
      </c>
      <c r="K29" s="1" t="s">
        <v>84</v>
      </c>
      <c r="L29" s="1" t="n">
        <v>1</v>
      </c>
      <c r="P29" s="1" t="n">
        <f aca="false">SUM(M29:O29)</f>
        <v>0</v>
      </c>
      <c r="W29" s="1" t="n">
        <f aca="false">SUM(Q29:V29)</f>
        <v>0</v>
      </c>
      <c r="Y29" s="1" t="n">
        <v>4</v>
      </c>
      <c r="AA29" s="9"/>
      <c r="AD29" s="9"/>
      <c r="AF29" s="9" t="n">
        <f aca="false">SUM(Z29:AE29)</f>
        <v>0</v>
      </c>
      <c r="AG29" s="10"/>
      <c r="AH29" s="11"/>
      <c r="AI29" s="11"/>
      <c r="AJ29" s="11"/>
      <c r="AK29" s="11"/>
      <c r="AL29" s="11"/>
      <c r="AM29" s="11"/>
      <c r="AN29" s="11" t="n">
        <f aca="false">SUM(AH29:AM29)</f>
        <v>0</v>
      </c>
      <c r="AO29" s="1"/>
      <c r="AP29" s="1"/>
      <c r="AQ29" s="1"/>
      <c r="AR29" s="1"/>
    </row>
    <row r="30" customFormat="false" ht="13.8" hidden="false" customHeight="false" outlineLevel="0" collapsed="false">
      <c r="A30" s="1" t="s">
        <v>85</v>
      </c>
      <c r="B30" s="1" t="n">
        <v>519</v>
      </c>
      <c r="C30" s="1" t="s">
        <v>72</v>
      </c>
      <c r="D30" s="1" t="s">
        <v>42</v>
      </c>
      <c r="E30" s="1" t="s">
        <v>74</v>
      </c>
      <c r="F30" s="1" t="n">
        <v>15</v>
      </c>
      <c r="G30" s="1" t="n">
        <v>1</v>
      </c>
      <c r="H30" s="1" t="n">
        <v>17</v>
      </c>
      <c r="I30" s="8" t="n">
        <v>201045</v>
      </c>
      <c r="J30" s="1" t="n">
        <v>1</v>
      </c>
      <c r="K30" s="1" t="s">
        <v>44</v>
      </c>
      <c r="L30" s="1" t="n">
        <v>2</v>
      </c>
      <c r="P30" s="1" t="n">
        <f aca="false">SUM(M30:O30)</f>
        <v>0</v>
      </c>
      <c r="W30" s="1" t="n">
        <f aca="false">SUM(Q30:V30)</f>
        <v>0</v>
      </c>
      <c r="Y30" s="1" t="n">
        <v>2</v>
      </c>
      <c r="AA30" s="9"/>
      <c r="AF30" s="9" t="n">
        <f aca="false">SUM(Z30:AE30)</f>
        <v>0</v>
      </c>
      <c r="AG30" s="10"/>
      <c r="AH30" s="11"/>
      <c r="AI30" s="11"/>
      <c r="AJ30" s="11"/>
      <c r="AK30" s="11"/>
      <c r="AL30" s="11"/>
      <c r="AM30" s="11"/>
      <c r="AN30" s="11" t="n">
        <f aca="false">SUM(AH30:AM30)</f>
        <v>0</v>
      </c>
      <c r="AO30" s="1"/>
      <c r="AP30" s="1"/>
      <c r="AQ30" s="1"/>
      <c r="AR30" s="1"/>
    </row>
    <row r="31" customFormat="false" ht="13.8" hidden="false" customHeight="false" outlineLevel="0" collapsed="false">
      <c r="A31" s="1" t="s">
        <v>86</v>
      </c>
      <c r="B31" s="1" t="n">
        <v>871</v>
      </c>
      <c r="C31" s="1" t="s">
        <v>72</v>
      </c>
      <c r="D31" s="1" t="s">
        <v>42</v>
      </c>
      <c r="E31" s="1" t="s">
        <v>74</v>
      </c>
      <c r="G31" s="1" t="n">
        <v>1</v>
      </c>
      <c r="H31" s="1" t="n">
        <v>11</v>
      </c>
      <c r="I31" s="8" t="n">
        <v>50061</v>
      </c>
      <c r="J31" s="1" t="n">
        <v>1</v>
      </c>
      <c r="K31" s="1" t="s">
        <v>51</v>
      </c>
      <c r="L31" s="1" t="n">
        <v>1</v>
      </c>
      <c r="P31" s="1" t="n">
        <f aca="false">SUM(M31:O31)</f>
        <v>0</v>
      </c>
      <c r="W31" s="1" t="n">
        <f aca="false">SUM(Q31:V31)</f>
        <v>0</v>
      </c>
      <c r="AA31" s="9"/>
      <c r="AD31" s="9"/>
      <c r="AF31" s="9" t="n">
        <f aca="false">SUM(Z31:AE31)</f>
        <v>0</v>
      </c>
      <c r="AG31" s="10"/>
      <c r="AH31" s="11"/>
      <c r="AI31" s="11"/>
      <c r="AJ31" s="11"/>
      <c r="AK31" s="11"/>
      <c r="AL31" s="11"/>
      <c r="AM31" s="11"/>
      <c r="AN31" s="11" t="n">
        <f aca="false">SUM(AH31:AM31)</f>
        <v>0</v>
      </c>
      <c r="AO31" s="1"/>
      <c r="AP31" s="1"/>
      <c r="AQ31" s="1"/>
      <c r="AR31" s="1"/>
    </row>
    <row r="32" customFormat="false" ht="13.8" hidden="false" customHeight="false" outlineLevel="0" collapsed="false">
      <c r="A32" s="1" t="s">
        <v>87</v>
      </c>
      <c r="B32" s="1" t="n">
        <v>873</v>
      </c>
      <c r="C32" s="1" t="s">
        <v>72</v>
      </c>
      <c r="D32" s="1" t="s">
        <v>42</v>
      </c>
      <c r="E32" s="1" t="s">
        <v>74</v>
      </c>
      <c r="G32" s="1" t="n">
        <v>1</v>
      </c>
      <c r="H32" s="1" t="n">
        <v>5</v>
      </c>
      <c r="I32" s="8" t="n">
        <v>10012</v>
      </c>
      <c r="J32" s="1" t="n">
        <v>1</v>
      </c>
      <c r="K32" s="1" t="s">
        <v>51</v>
      </c>
      <c r="L32" s="1" t="n">
        <v>1</v>
      </c>
      <c r="P32" s="1" t="n">
        <f aca="false">SUM(M32:O32)</f>
        <v>0</v>
      </c>
      <c r="W32" s="1" t="n">
        <f aca="false">SUM(Q32:V32)</f>
        <v>0</v>
      </c>
      <c r="AD32" s="9"/>
      <c r="AF32" s="9" t="n">
        <f aca="false">SUM(Z32:AE32)</f>
        <v>0</v>
      </c>
      <c r="AG32" s="10"/>
      <c r="AH32" s="11"/>
      <c r="AI32" s="11"/>
      <c r="AJ32" s="11"/>
      <c r="AK32" s="11"/>
      <c r="AL32" s="11"/>
      <c r="AM32" s="11"/>
      <c r="AN32" s="11" t="n">
        <f aca="false">SUM(AH32:AM32)</f>
        <v>0</v>
      </c>
      <c r="AO32" s="1"/>
      <c r="AP32" s="1"/>
      <c r="AQ32" s="1"/>
      <c r="AR32" s="1"/>
    </row>
    <row r="33" customFormat="false" ht="13.8" hidden="false" customHeight="false" outlineLevel="0" collapsed="false">
      <c r="A33" s="1" t="s">
        <v>88</v>
      </c>
      <c r="B33" s="1" t="n">
        <v>518</v>
      </c>
      <c r="C33" s="1" t="s">
        <v>72</v>
      </c>
      <c r="D33" s="1" t="s">
        <v>42</v>
      </c>
      <c r="E33" s="1" t="s">
        <v>74</v>
      </c>
      <c r="F33" s="1" t="n">
        <v>1</v>
      </c>
      <c r="G33" s="1" t="n">
        <v>1</v>
      </c>
      <c r="H33" s="1" t="n">
        <v>6</v>
      </c>
      <c r="I33" s="8" t="n">
        <v>224273</v>
      </c>
      <c r="J33" s="1" t="n">
        <v>3</v>
      </c>
      <c r="K33" s="1" t="s">
        <v>84</v>
      </c>
      <c r="L33" s="1" t="n">
        <v>1</v>
      </c>
      <c r="P33" s="1" t="n">
        <f aca="false">SUM(M33:O33)</f>
        <v>0</v>
      </c>
      <c r="W33" s="1" t="n">
        <f aca="false">SUM(Q33:V33)</f>
        <v>0</v>
      </c>
      <c r="Y33" s="1" t="n">
        <v>2</v>
      </c>
      <c r="AF33" s="9" t="n">
        <f aca="false">SUM(Z33:AE33)</f>
        <v>0</v>
      </c>
      <c r="AG33" s="10"/>
      <c r="AH33" s="11"/>
      <c r="AI33" s="11"/>
      <c r="AJ33" s="11"/>
      <c r="AK33" s="11"/>
      <c r="AL33" s="11"/>
      <c r="AM33" s="11"/>
      <c r="AN33" s="11" t="n">
        <f aca="false">SUM(AH33:AM33)</f>
        <v>0</v>
      </c>
      <c r="AO33" s="1"/>
      <c r="AP33" s="1"/>
      <c r="AQ33" s="1"/>
      <c r="AR33" s="1"/>
    </row>
    <row r="34" customFormat="false" ht="13.8" hidden="false" customHeight="false" outlineLevel="0" collapsed="false">
      <c r="A34" s="1" t="s">
        <v>89</v>
      </c>
      <c r="B34" s="1" t="n">
        <v>517</v>
      </c>
      <c r="C34" s="1" t="s">
        <v>72</v>
      </c>
      <c r="D34" s="1" t="s">
        <v>42</v>
      </c>
      <c r="E34" s="1" t="s">
        <v>74</v>
      </c>
      <c r="F34" s="1" t="n">
        <v>20</v>
      </c>
      <c r="G34" s="1" t="n">
        <v>1</v>
      </c>
      <c r="H34" s="1" t="n">
        <v>14</v>
      </c>
      <c r="I34" s="8" t="n">
        <v>2222209</v>
      </c>
      <c r="J34" s="1" t="n">
        <v>3</v>
      </c>
      <c r="K34" s="1" t="s">
        <v>57</v>
      </c>
      <c r="L34" s="1" t="n">
        <v>8</v>
      </c>
      <c r="M34" s="1" t="n">
        <v>2</v>
      </c>
      <c r="O34" s="1" t="n">
        <v>5</v>
      </c>
      <c r="P34" s="1" t="n">
        <f aca="false">SUM(M34:O34)</f>
        <v>7</v>
      </c>
      <c r="U34" s="1" t="n">
        <v>8</v>
      </c>
      <c r="V34" s="1" t="n">
        <v>4</v>
      </c>
      <c r="W34" s="1" t="n">
        <f aca="false">SUM(Q34:V34)</f>
        <v>12</v>
      </c>
      <c r="X34" s="1" t="n">
        <v>3</v>
      </c>
      <c r="Y34" s="1" t="n">
        <v>4</v>
      </c>
      <c r="AD34" s="9" t="n">
        <f aca="false">(U34)*(1+(J34)*0.2)</f>
        <v>12.8</v>
      </c>
      <c r="AE34" s="9" t="n">
        <f aca="false">(V34)*(1+(J34)*0.2)</f>
        <v>6.4</v>
      </c>
      <c r="AF34" s="9" t="n">
        <f aca="false">SUM(Z34:AE34)</f>
        <v>19.2</v>
      </c>
      <c r="AG34" s="10" t="s">
        <v>47</v>
      </c>
      <c r="AH34" s="11"/>
      <c r="AI34" s="11"/>
      <c r="AJ34" s="11"/>
      <c r="AK34" s="11"/>
      <c r="AL34" s="11" t="n">
        <f aca="false">IF(AG34="yes",AD34*1.2,AD34)</f>
        <v>15.36</v>
      </c>
      <c r="AM34" s="11" t="n">
        <f aca="false">IF(AG34="yes",AE34*1.2,AE34)</f>
        <v>7.68</v>
      </c>
      <c r="AN34" s="11" t="n">
        <f aca="false">SUM(AH34:AM34)</f>
        <v>23.04</v>
      </c>
      <c r="AO34" s="1"/>
      <c r="AP34" s="1"/>
      <c r="AQ34" s="1"/>
      <c r="AR34" s="1"/>
    </row>
    <row r="35" customFormat="false" ht="13.8" hidden="false" customHeight="false" outlineLevel="0" collapsed="false">
      <c r="A35" s="1" t="s">
        <v>90</v>
      </c>
      <c r="B35" s="1" t="n">
        <v>522</v>
      </c>
      <c r="C35" s="1" t="s">
        <v>72</v>
      </c>
      <c r="D35" s="1" t="s">
        <v>42</v>
      </c>
      <c r="E35" s="1" t="s">
        <v>74</v>
      </c>
      <c r="F35" s="1" t="n">
        <v>10</v>
      </c>
      <c r="G35" s="1" t="n">
        <v>1</v>
      </c>
      <c r="H35" s="1" t="n">
        <v>20</v>
      </c>
      <c r="I35" s="8" t="n">
        <v>317587</v>
      </c>
      <c r="J35" s="1" t="n">
        <v>3</v>
      </c>
      <c r="K35" s="1" t="s">
        <v>44</v>
      </c>
      <c r="L35" s="1" t="n">
        <v>2</v>
      </c>
      <c r="O35" s="1" t="n">
        <v>1</v>
      </c>
      <c r="P35" s="1" t="n">
        <f aca="false">SUM(M35:O35)</f>
        <v>1</v>
      </c>
      <c r="W35" s="1" t="n">
        <f aca="false">SUM(Q35:V35)</f>
        <v>0</v>
      </c>
      <c r="X35" s="1" t="n">
        <v>1</v>
      </c>
      <c r="Y35" s="1" t="n">
        <v>1</v>
      </c>
      <c r="AF35" s="9" t="n">
        <f aca="false">SUM(Z35:AE35)</f>
        <v>0</v>
      </c>
      <c r="AG35" s="10"/>
      <c r="AH35" s="11"/>
      <c r="AI35" s="11"/>
      <c r="AJ35" s="11"/>
      <c r="AK35" s="11"/>
      <c r="AL35" s="11"/>
      <c r="AM35" s="11"/>
      <c r="AN35" s="11" t="n">
        <f aca="false">SUM(AH35:AM35)</f>
        <v>0</v>
      </c>
      <c r="AO35" s="1"/>
      <c r="AP35" s="1"/>
      <c r="AQ35" s="1"/>
      <c r="AR35" s="1"/>
    </row>
    <row r="36" customFormat="false" ht="13.8" hidden="false" customHeight="false" outlineLevel="0" collapsed="false">
      <c r="A36" s="1" t="s">
        <v>91</v>
      </c>
      <c r="B36" s="1" t="n">
        <v>4</v>
      </c>
      <c r="C36" s="1" t="s">
        <v>92</v>
      </c>
      <c r="D36" s="1" t="s">
        <v>42</v>
      </c>
      <c r="E36" s="1" t="s">
        <v>93</v>
      </c>
      <c r="F36" s="1" t="n">
        <v>35</v>
      </c>
      <c r="G36" s="1" t="n">
        <v>1</v>
      </c>
      <c r="H36" s="1" t="n">
        <v>13</v>
      </c>
      <c r="I36" s="8" t="n">
        <v>2599152</v>
      </c>
      <c r="J36" s="1" t="n">
        <v>4</v>
      </c>
      <c r="K36" s="1" t="s">
        <v>57</v>
      </c>
      <c r="L36" s="1" t="n">
        <v>8</v>
      </c>
      <c r="M36" s="1" t="n">
        <v>3</v>
      </c>
      <c r="O36" s="1" t="n">
        <v>5</v>
      </c>
      <c r="P36" s="1" t="n">
        <f aca="false">SUM(M36:O36)</f>
        <v>8</v>
      </c>
      <c r="Q36" s="1" t="n">
        <v>1</v>
      </c>
      <c r="W36" s="1" t="n">
        <f aca="false">SUM(Q36:V36)</f>
        <v>1</v>
      </c>
      <c r="X36" s="1" t="n">
        <v>6</v>
      </c>
      <c r="Z36" s="1" t="n">
        <f aca="false">(Q36)*(1+(J36)*0.2)</f>
        <v>1.8</v>
      </c>
      <c r="AA36" s="9"/>
      <c r="AF36" s="9" t="n">
        <f aca="false">SUM(Z36:AE36)</f>
        <v>1.8</v>
      </c>
      <c r="AG36" s="10" t="s">
        <v>47</v>
      </c>
      <c r="AH36" s="11" t="n">
        <f aca="false">IF(AG36="yes",Z36*1.2,Z36)</f>
        <v>2.16</v>
      </c>
      <c r="AI36" s="11"/>
      <c r="AJ36" s="11"/>
      <c r="AK36" s="11"/>
      <c r="AL36" s="11"/>
      <c r="AM36" s="11"/>
      <c r="AN36" s="11" t="n">
        <f aca="false">SUM(AH36:AM36)</f>
        <v>2.16</v>
      </c>
      <c r="AO36" s="1"/>
      <c r="AP36" s="1"/>
      <c r="AQ36" s="1"/>
      <c r="AR36" s="1"/>
    </row>
    <row r="37" customFormat="false" ht="13.8" hidden="false" customHeight="false" outlineLevel="0" collapsed="false">
      <c r="A37" s="1" t="s">
        <v>94</v>
      </c>
      <c r="B37" s="1" t="n">
        <v>153</v>
      </c>
      <c r="C37" s="1" t="s">
        <v>92</v>
      </c>
      <c r="D37" s="1" t="s">
        <v>42</v>
      </c>
      <c r="E37" s="1" t="s">
        <v>93</v>
      </c>
      <c r="F37" s="1" t="n">
        <v>5</v>
      </c>
      <c r="G37" s="1" t="n">
        <v>1</v>
      </c>
      <c r="H37" s="1" t="n">
        <v>9</v>
      </c>
      <c r="I37" s="8" t="n">
        <v>1502818</v>
      </c>
      <c r="J37" s="1" t="n">
        <v>3</v>
      </c>
      <c r="K37" s="1" t="s">
        <v>46</v>
      </c>
      <c r="L37" s="1" t="n">
        <v>4</v>
      </c>
      <c r="O37" s="1" t="n">
        <v>1</v>
      </c>
      <c r="P37" s="1" t="n">
        <f aca="false">SUM(M37:O37)</f>
        <v>1</v>
      </c>
      <c r="W37" s="1" t="n">
        <f aca="false">SUM(Q37:V37)</f>
        <v>0</v>
      </c>
      <c r="X37" s="1" t="n">
        <v>3</v>
      </c>
      <c r="AD37" s="9"/>
      <c r="AF37" s="9" t="n">
        <f aca="false">SUM(Z37:AE37)</f>
        <v>0</v>
      </c>
      <c r="AG37" s="10"/>
      <c r="AH37" s="11"/>
      <c r="AI37" s="11"/>
      <c r="AJ37" s="11"/>
      <c r="AK37" s="11"/>
      <c r="AL37" s="11"/>
      <c r="AM37" s="11"/>
      <c r="AN37" s="11" t="n">
        <f aca="false">SUM(AH37:AM37)</f>
        <v>0</v>
      </c>
      <c r="AO37" s="1"/>
      <c r="AP37" s="1"/>
      <c r="AQ37" s="1"/>
      <c r="AR37" s="1"/>
    </row>
    <row r="38" customFormat="false" ht="13.8" hidden="false" customHeight="false" outlineLevel="0" collapsed="false">
      <c r="A38" s="1" t="s">
        <v>95</v>
      </c>
      <c r="B38" s="1" t="n">
        <v>152</v>
      </c>
      <c r="C38" s="1" t="s">
        <v>92</v>
      </c>
      <c r="D38" s="1" t="s">
        <v>42</v>
      </c>
      <c r="E38" s="1" t="s">
        <v>93</v>
      </c>
      <c r="F38" s="1" t="n">
        <v>26</v>
      </c>
      <c r="G38" s="1" t="n">
        <v>1</v>
      </c>
      <c r="H38" s="1" t="n">
        <v>15</v>
      </c>
      <c r="I38" s="8" t="n">
        <v>2278155</v>
      </c>
      <c r="J38" s="1" t="n">
        <v>3</v>
      </c>
      <c r="K38" s="1" t="s">
        <v>96</v>
      </c>
      <c r="L38" s="1" t="n">
        <v>6</v>
      </c>
      <c r="O38" s="1" t="n">
        <v>3</v>
      </c>
      <c r="P38" s="1" t="n">
        <f aca="false">SUM(M38:O38)</f>
        <v>3</v>
      </c>
      <c r="R38" s="1" t="n">
        <v>1</v>
      </c>
      <c r="U38" s="1" t="n">
        <v>15</v>
      </c>
      <c r="W38" s="1" t="n">
        <f aca="false">SUM(Q38:V38)</f>
        <v>16</v>
      </c>
      <c r="AA38" s="9" t="n">
        <f aca="false">(R38)*(1+(J38)*0.2)</f>
        <v>1.6</v>
      </c>
      <c r="AD38" s="9" t="n">
        <f aca="false">(U38)*(1+(J38)*0.2)</f>
        <v>24</v>
      </c>
      <c r="AF38" s="9" t="n">
        <f aca="false">SUM(Z38:AE38)</f>
        <v>25.6</v>
      </c>
      <c r="AG38" s="10" t="s">
        <v>47</v>
      </c>
      <c r="AH38" s="11"/>
      <c r="AI38" s="11" t="n">
        <f aca="false">IF(AG38="yes",AA38*1.2,AA38)</f>
        <v>1.92</v>
      </c>
      <c r="AJ38" s="11"/>
      <c r="AK38" s="11"/>
      <c r="AL38" s="11" t="n">
        <f aca="false">IF(AG38="yes",AD38*1.2,AD38)</f>
        <v>28.8</v>
      </c>
      <c r="AM38" s="11"/>
      <c r="AN38" s="11" t="n">
        <f aca="false">SUM(AH38:AM38)</f>
        <v>30.72</v>
      </c>
      <c r="AO38" s="1"/>
      <c r="AP38" s="1"/>
      <c r="AQ38" s="1"/>
      <c r="AR38" s="1"/>
    </row>
    <row r="39" customFormat="false" ht="13.8" hidden="false" customHeight="false" outlineLevel="0" collapsed="false">
      <c r="A39" s="1" t="s">
        <v>97</v>
      </c>
      <c r="B39" s="1" t="n">
        <v>848</v>
      </c>
      <c r="C39" s="1" t="s">
        <v>92</v>
      </c>
      <c r="D39" s="1" t="s">
        <v>42</v>
      </c>
      <c r="E39" s="1" t="s">
        <v>93</v>
      </c>
      <c r="G39" s="1" t="n">
        <v>1</v>
      </c>
      <c r="H39" s="1" t="n">
        <v>2</v>
      </c>
      <c r="I39" s="8" t="n">
        <v>154542</v>
      </c>
      <c r="J39" s="1" t="n">
        <v>2</v>
      </c>
      <c r="K39" s="1" t="s">
        <v>51</v>
      </c>
      <c r="L39" s="1" t="n">
        <v>1</v>
      </c>
      <c r="O39" s="1" t="n">
        <v>1</v>
      </c>
      <c r="P39" s="1" t="n">
        <f aca="false">SUM(M39:O39)</f>
        <v>1</v>
      </c>
      <c r="W39" s="1" t="n">
        <f aca="false">SUM(Q39:V39)</f>
        <v>0</v>
      </c>
      <c r="AF39" s="9" t="n">
        <f aca="false">SUM(Z39:AE39)</f>
        <v>0</v>
      </c>
      <c r="AG39" s="10"/>
      <c r="AH39" s="11"/>
      <c r="AI39" s="11"/>
      <c r="AJ39" s="11"/>
      <c r="AK39" s="11"/>
      <c r="AL39" s="11"/>
      <c r="AM39" s="11"/>
      <c r="AN39" s="11" t="n">
        <f aca="false">SUM(AH39:AM39)</f>
        <v>0</v>
      </c>
      <c r="AO39" s="1"/>
      <c r="AP39" s="1"/>
      <c r="AQ39" s="1"/>
      <c r="AR39" s="1"/>
    </row>
    <row r="40" customFormat="false" ht="13.8" hidden="false" customHeight="false" outlineLevel="0" collapsed="false">
      <c r="A40" s="1" t="s">
        <v>98</v>
      </c>
      <c r="B40" s="1" t="n">
        <v>769</v>
      </c>
      <c r="C40" s="1" t="s">
        <v>99</v>
      </c>
      <c r="D40" s="1" t="s">
        <v>73</v>
      </c>
      <c r="E40" s="1" t="s">
        <v>100</v>
      </c>
      <c r="F40" s="1" t="n">
        <v>1</v>
      </c>
      <c r="G40" s="1" t="n">
        <v>1</v>
      </c>
      <c r="H40" s="1" t="n">
        <v>1</v>
      </c>
      <c r="I40" s="8" t="n">
        <v>2148350</v>
      </c>
      <c r="J40" s="1" t="n">
        <v>1</v>
      </c>
      <c r="K40" s="1" t="s">
        <v>51</v>
      </c>
      <c r="L40" s="1" t="n">
        <v>1</v>
      </c>
      <c r="P40" s="1" t="n">
        <f aca="false">SUM(M40:O40)</f>
        <v>0</v>
      </c>
      <c r="W40" s="1" t="n">
        <f aca="false">SUM(Q40:V40)</f>
        <v>0</v>
      </c>
      <c r="AF40" s="9" t="n">
        <f aca="false">SUM(Z40:AE40)</f>
        <v>0</v>
      </c>
      <c r="AG40" s="10"/>
      <c r="AH40" s="11"/>
      <c r="AI40" s="11"/>
      <c r="AJ40" s="11"/>
      <c r="AK40" s="11"/>
      <c r="AL40" s="11"/>
      <c r="AM40" s="11"/>
      <c r="AN40" s="11" t="n">
        <f aca="false">SUM(AH40:AM40)</f>
        <v>0</v>
      </c>
      <c r="AO40" s="1"/>
      <c r="AP40" s="1"/>
      <c r="AQ40" s="1"/>
      <c r="AR40" s="1"/>
    </row>
    <row r="41" customFormat="false" ht="13.8" hidden="false" customHeight="false" outlineLevel="0" collapsed="false">
      <c r="A41" s="1" t="s">
        <v>101</v>
      </c>
      <c r="B41" s="1" t="n">
        <v>538</v>
      </c>
      <c r="C41" s="1" t="s">
        <v>99</v>
      </c>
      <c r="D41" s="1" t="s">
        <v>73</v>
      </c>
      <c r="E41" s="1" t="s">
        <v>100</v>
      </c>
      <c r="G41" s="1" t="n">
        <v>1</v>
      </c>
      <c r="H41" s="1" t="n">
        <v>9</v>
      </c>
      <c r="I41" s="8" t="n">
        <v>1696042</v>
      </c>
      <c r="J41" s="1" t="n">
        <v>1</v>
      </c>
      <c r="K41" s="1" t="s">
        <v>51</v>
      </c>
      <c r="L41" s="1" t="n">
        <v>1</v>
      </c>
      <c r="P41" s="1" t="n">
        <f aca="false">SUM(M41:O41)</f>
        <v>0</v>
      </c>
      <c r="S41" s="1" t="n">
        <v>5</v>
      </c>
      <c r="W41" s="1" t="n">
        <f aca="false">SUM(Q41:V41)</f>
        <v>5</v>
      </c>
      <c r="AA41" s="9"/>
      <c r="AB41" s="9" t="n">
        <f aca="false">(S41)*(1+(J41)*0.2)</f>
        <v>6</v>
      </c>
      <c r="AD41" s="9"/>
      <c r="AF41" s="9" t="n">
        <f aca="false">SUM(Z41:AE41)</f>
        <v>6</v>
      </c>
      <c r="AG41" s="10" t="s">
        <v>53</v>
      </c>
      <c r="AH41" s="11"/>
      <c r="AI41" s="11"/>
      <c r="AJ41" s="11" t="n">
        <f aca="false">IF(AG41="yes",AB41*1.2,AB41)</f>
        <v>6</v>
      </c>
      <c r="AK41" s="11"/>
      <c r="AL41" s="11"/>
      <c r="AM41" s="11"/>
      <c r="AN41" s="11" t="n">
        <f aca="false">SUM(AH41:AM41)</f>
        <v>6</v>
      </c>
      <c r="AO41" s="1"/>
      <c r="AP41" s="1"/>
      <c r="AQ41" s="1"/>
      <c r="AR41" s="1"/>
    </row>
    <row r="42" customFormat="false" ht="13.8" hidden="false" customHeight="false" outlineLevel="0" collapsed="false">
      <c r="A42" s="1" t="s">
        <v>102</v>
      </c>
      <c r="B42" s="1" t="n">
        <v>890</v>
      </c>
      <c r="C42" s="1" t="s">
        <v>99</v>
      </c>
      <c r="D42" s="1" t="s">
        <v>73</v>
      </c>
      <c r="E42" s="1" t="s">
        <v>100</v>
      </c>
      <c r="G42" s="1" t="n">
        <v>1</v>
      </c>
      <c r="H42" s="1" t="n">
        <v>7</v>
      </c>
      <c r="I42" s="8" t="n">
        <v>710902</v>
      </c>
      <c r="J42" s="1" t="n">
        <v>1</v>
      </c>
      <c r="K42" s="1" t="s">
        <v>51</v>
      </c>
      <c r="L42" s="1" t="n">
        <v>1</v>
      </c>
      <c r="P42" s="1" t="n">
        <f aca="false">SUM(M42:O42)</f>
        <v>0</v>
      </c>
      <c r="S42" s="1" t="n">
        <v>3</v>
      </c>
      <c r="W42" s="1" t="n">
        <f aca="false">SUM(Q42:V42)</f>
        <v>3</v>
      </c>
      <c r="AB42" s="9" t="n">
        <f aca="false">(S42)*(1+(J42)*0.2)</f>
        <v>3.6</v>
      </c>
      <c r="AF42" s="9" t="n">
        <f aca="false">SUM(Z42:AE42)</f>
        <v>3.6</v>
      </c>
      <c r="AG42" s="10" t="s">
        <v>53</v>
      </c>
      <c r="AH42" s="11"/>
      <c r="AI42" s="11"/>
      <c r="AJ42" s="11" t="n">
        <f aca="false">IF(AG42="yes",AB42*1.2,AB42)</f>
        <v>3.6</v>
      </c>
      <c r="AK42" s="11"/>
      <c r="AL42" s="11"/>
      <c r="AM42" s="11"/>
      <c r="AN42" s="11" t="n">
        <f aca="false">SUM(AH42:AM42)</f>
        <v>3.6</v>
      </c>
      <c r="AO42" s="1"/>
      <c r="AP42" s="1"/>
      <c r="AQ42" s="1"/>
      <c r="AR42" s="1"/>
    </row>
    <row r="43" customFormat="false" ht="13.8" hidden="false" customHeight="false" outlineLevel="0" collapsed="false">
      <c r="A43" s="1" t="s">
        <v>103</v>
      </c>
      <c r="B43" s="1" t="n">
        <v>889</v>
      </c>
      <c r="C43" s="1" t="s">
        <v>99</v>
      </c>
      <c r="D43" s="1" t="s">
        <v>73</v>
      </c>
      <c r="E43" s="1" t="s">
        <v>100</v>
      </c>
      <c r="F43" s="13" t="n">
        <v>1</v>
      </c>
      <c r="G43" s="1" t="n">
        <v>1</v>
      </c>
      <c r="H43" s="1" t="n">
        <v>7</v>
      </c>
      <c r="I43" s="8" t="n">
        <v>709054</v>
      </c>
      <c r="J43" s="1" t="n">
        <v>1</v>
      </c>
      <c r="K43" s="1" t="s">
        <v>51</v>
      </c>
      <c r="L43" s="1" t="n">
        <v>1</v>
      </c>
      <c r="P43" s="1" t="n">
        <f aca="false">SUM(M43:O43)</f>
        <v>0</v>
      </c>
      <c r="T43" s="1" t="n">
        <v>2</v>
      </c>
      <c r="W43" s="1" t="n">
        <f aca="false">SUM(Q43:V43)</f>
        <v>2</v>
      </c>
      <c r="AC43" s="9" t="n">
        <f aca="false">(T43)*(1+(J43)*0.2)</f>
        <v>2.4</v>
      </c>
      <c r="AF43" s="9" t="n">
        <f aca="false">SUM(Z43:AE43)</f>
        <v>2.4</v>
      </c>
      <c r="AG43" s="10" t="s">
        <v>53</v>
      </c>
      <c r="AH43" s="11"/>
      <c r="AI43" s="11"/>
      <c r="AJ43" s="11"/>
      <c r="AK43" s="11" t="n">
        <f aca="false">IF(AG43="yes",AC43*1.2,AC43)</f>
        <v>2.4</v>
      </c>
      <c r="AL43" s="11"/>
      <c r="AM43" s="11"/>
      <c r="AN43" s="11" t="n">
        <f aca="false">SUM(AH43:AM43)</f>
        <v>2.4</v>
      </c>
      <c r="AO43" s="1"/>
      <c r="AP43" s="1"/>
      <c r="AQ43" s="1"/>
      <c r="AR43" s="1"/>
    </row>
    <row r="44" customFormat="false" ht="13.8" hidden="false" customHeight="false" outlineLevel="0" collapsed="false">
      <c r="A44" s="1" t="s">
        <v>104</v>
      </c>
      <c r="B44" s="1" t="n">
        <v>295</v>
      </c>
      <c r="C44" s="1" t="s">
        <v>99</v>
      </c>
      <c r="D44" s="1" t="s">
        <v>73</v>
      </c>
      <c r="E44" s="1" t="s">
        <v>100</v>
      </c>
      <c r="F44" s="13" t="n">
        <v>3</v>
      </c>
      <c r="G44" s="1" t="n">
        <v>1</v>
      </c>
      <c r="H44" s="1" t="n">
        <v>7</v>
      </c>
      <c r="I44" s="8" t="n">
        <v>1949899</v>
      </c>
      <c r="J44" s="1" t="n">
        <v>2</v>
      </c>
      <c r="K44" s="1" t="s">
        <v>44</v>
      </c>
      <c r="L44" s="1" t="n">
        <v>2</v>
      </c>
      <c r="O44" s="1" t="n">
        <v>1</v>
      </c>
      <c r="P44" s="1" t="n">
        <f aca="false">SUM(M44:O44)</f>
        <v>1</v>
      </c>
      <c r="W44" s="1" t="n">
        <f aca="false">SUM(Q44:V44)</f>
        <v>0</v>
      </c>
      <c r="Y44" s="1" t="n">
        <v>1</v>
      </c>
      <c r="AF44" s="9" t="n">
        <f aca="false">SUM(Z44:AE44)</f>
        <v>0</v>
      </c>
      <c r="AG44" s="10"/>
      <c r="AH44" s="11"/>
      <c r="AI44" s="11"/>
      <c r="AJ44" s="11"/>
      <c r="AK44" s="11"/>
      <c r="AL44" s="11"/>
      <c r="AM44" s="11"/>
      <c r="AN44" s="11" t="n">
        <f aca="false">SUM(AH44:AM44)</f>
        <v>0</v>
      </c>
      <c r="AO44" s="1"/>
      <c r="AP44" s="1"/>
      <c r="AQ44" s="1"/>
      <c r="AR44" s="1"/>
    </row>
    <row r="45" customFormat="false" ht="13.8" hidden="false" customHeight="false" outlineLevel="0" collapsed="false">
      <c r="A45" s="1" t="s">
        <v>105</v>
      </c>
      <c r="B45" s="1" t="n">
        <v>888</v>
      </c>
      <c r="C45" s="1" t="s">
        <v>99</v>
      </c>
      <c r="D45" s="1" t="s">
        <v>73</v>
      </c>
      <c r="E45" s="1" t="s">
        <v>100</v>
      </c>
      <c r="G45" s="1" t="n">
        <v>1</v>
      </c>
      <c r="H45" s="1" t="n">
        <v>8</v>
      </c>
      <c r="I45" s="8" t="n">
        <v>886318</v>
      </c>
      <c r="J45" s="1" t="n">
        <v>1</v>
      </c>
      <c r="K45" s="1" t="s">
        <v>51</v>
      </c>
      <c r="L45" s="1" t="n">
        <v>1</v>
      </c>
      <c r="P45" s="1" t="n">
        <f aca="false">SUM(M45:O45)</f>
        <v>0</v>
      </c>
      <c r="W45" s="1" t="n">
        <f aca="false">SUM(Q45:V45)</f>
        <v>0</v>
      </c>
      <c r="AF45" s="9" t="n">
        <f aca="false">SUM(Z45:AE45)</f>
        <v>0</v>
      </c>
      <c r="AG45" s="10"/>
      <c r="AH45" s="11"/>
      <c r="AI45" s="11"/>
      <c r="AJ45" s="11"/>
      <c r="AK45" s="11"/>
      <c r="AL45" s="11"/>
      <c r="AM45" s="11"/>
      <c r="AN45" s="11" t="n">
        <f aca="false">SUM(AH45:AM45)</f>
        <v>0</v>
      </c>
      <c r="AO45" s="1"/>
      <c r="AP45" s="1"/>
      <c r="AQ45" s="1"/>
      <c r="AR45" s="1"/>
    </row>
    <row r="46" customFormat="false" ht="13.8" hidden="false" customHeight="false" outlineLevel="0" collapsed="false">
      <c r="A46" s="1" t="s">
        <v>106</v>
      </c>
      <c r="B46" s="1" t="n">
        <v>768</v>
      </c>
      <c r="C46" s="1" t="s">
        <v>99</v>
      </c>
      <c r="D46" s="1" t="s">
        <v>73</v>
      </c>
      <c r="E46" s="1" t="s">
        <v>100</v>
      </c>
      <c r="F46" s="1" t="n">
        <v>1</v>
      </c>
      <c r="G46" s="1" t="n">
        <v>1</v>
      </c>
      <c r="H46" s="1" t="n">
        <v>1</v>
      </c>
      <c r="I46" s="8" t="n">
        <v>1718659</v>
      </c>
      <c r="J46" s="1" t="n">
        <v>1</v>
      </c>
      <c r="K46" s="1" t="s">
        <v>51</v>
      </c>
      <c r="L46" s="1" t="n">
        <v>1</v>
      </c>
      <c r="P46" s="1" t="n">
        <f aca="false">SUM(M46:O46)</f>
        <v>0</v>
      </c>
      <c r="T46" s="1" t="n">
        <v>3</v>
      </c>
      <c r="W46" s="1" t="n">
        <f aca="false">SUM(Q46:V46)</f>
        <v>3</v>
      </c>
      <c r="AC46" s="9" t="n">
        <f aca="false">(T46)*(1+(J46)*0.2)</f>
        <v>3.6</v>
      </c>
      <c r="AF46" s="9" t="n">
        <f aca="false">SUM(Z46:AE46)</f>
        <v>3.6</v>
      </c>
      <c r="AG46" s="10" t="s">
        <v>53</v>
      </c>
      <c r="AH46" s="11"/>
      <c r="AI46" s="11"/>
      <c r="AJ46" s="11"/>
      <c r="AK46" s="11" t="n">
        <f aca="false">IF(AG46="yes",AC46*1.2,AC46)</f>
        <v>3.6</v>
      </c>
      <c r="AL46" s="11"/>
      <c r="AM46" s="11"/>
      <c r="AN46" s="11" t="n">
        <f aca="false">SUM(AH46:AM46)</f>
        <v>3.6</v>
      </c>
      <c r="AO46" s="1"/>
      <c r="AP46" s="1"/>
      <c r="AQ46" s="1"/>
      <c r="AR46" s="1"/>
    </row>
    <row r="47" customFormat="false" ht="13.8" hidden="false" customHeight="false" outlineLevel="0" collapsed="false">
      <c r="A47" s="1" t="s">
        <v>107</v>
      </c>
      <c r="B47" s="1" t="n">
        <v>718</v>
      </c>
      <c r="C47" s="1" t="s">
        <v>99</v>
      </c>
      <c r="D47" s="1" t="s">
        <v>73</v>
      </c>
      <c r="E47" s="1" t="s">
        <v>100</v>
      </c>
      <c r="G47" s="1" t="n">
        <v>1</v>
      </c>
      <c r="H47" s="1" t="n">
        <v>8</v>
      </c>
      <c r="I47" s="8" t="n">
        <v>1658771</v>
      </c>
      <c r="J47" s="1" t="n">
        <v>1</v>
      </c>
      <c r="K47" s="1" t="s">
        <v>51</v>
      </c>
      <c r="L47" s="1" t="n">
        <v>1</v>
      </c>
      <c r="P47" s="1" t="n">
        <f aca="false">SUM(M47:O47)</f>
        <v>0</v>
      </c>
      <c r="S47" s="1" t="n">
        <v>3</v>
      </c>
      <c r="W47" s="1" t="n">
        <f aca="false">SUM(Q47:V47)</f>
        <v>3</v>
      </c>
      <c r="AB47" s="9" t="n">
        <f aca="false">(S47)*(1+(J47)*0.2)</f>
        <v>3.6</v>
      </c>
      <c r="AD47" s="9"/>
      <c r="AF47" s="9" t="n">
        <f aca="false">SUM(Z47:AE47)</f>
        <v>3.6</v>
      </c>
      <c r="AG47" s="10" t="s">
        <v>53</v>
      </c>
      <c r="AH47" s="11"/>
      <c r="AI47" s="11"/>
      <c r="AJ47" s="11" t="n">
        <f aca="false">IF(AG47="yes",AB47*1.2,AB47)</f>
        <v>3.6</v>
      </c>
      <c r="AK47" s="11"/>
      <c r="AL47" s="11"/>
      <c r="AM47" s="11"/>
      <c r="AN47" s="11" t="n">
        <f aca="false">SUM(AH47:AM47)</f>
        <v>3.6</v>
      </c>
      <c r="AO47" s="1"/>
      <c r="AP47" s="1"/>
      <c r="AQ47" s="1"/>
      <c r="AR47" s="1"/>
    </row>
    <row r="48" customFormat="false" ht="13.8" hidden="false" customHeight="false" outlineLevel="0" collapsed="false">
      <c r="A48" s="1" t="s">
        <v>108</v>
      </c>
      <c r="B48" s="1" t="n">
        <v>6</v>
      </c>
      <c r="C48" s="1" t="s">
        <v>99</v>
      </c>
      <c r="D48" s="1" t="s">
        <v>42</v>
      </c>
      <c r="E48" s="1" t="s">
        <v>100</v>
      </c>
      <c r="F48" s="1" t="n">
        <v>67</v>
      </c>
      <c r="G48" s="1" t="n">
        <v>1</v>
      </c>
      <c r="H48" s="1" t="n">
        <v>8</v>
      </c>
      <c r="I48" s="8" t="n">
        <v>4753496</v>
      </c>
      <c r="J48" s="1" t="n">
        <v>3</v>
      </c>
      <c r="K48" s="1" t="s">
        <v>109</v>
      </c>
      <c r="L48" s="1" t="n">
        <v>10</v>
      </c>
      <c r="M48" s="1" t="n">
        <v>5</v>
      </c>
      <c r="O48" s="1" t="n">
        <v>7</v>
      </c>
      <c r="P48" s="1" t="n">
        <f aca="false">SUM(M48:O48)</f>
        <v>12</v>
      </c>
      <c r="U48" s="1" t="n">
        <v>25</v>
      </c>
      <c r="W48" s="1" t="n">
        <f aca="false">SUM(Q48:V48)</f>
        <v>25</v>
      </c>
      <c r="X48" s="1" t="n">
        <v>3</v>
      </c>
      <c r="Y48" s="1" t="n">
        <v>11</v>
      </c>
      <c r="AA48" s="9"/>
      <c r="AD48" s="9" t="n">
        <f aca="false">(U48)*(1+(J48)*0.2)</f>
        <v>40</v>
      </c>
      <c r="AF48" s="9" t="n">
        <f aca="false">SUM(Z48:AE48)</f>
        <v>40</v>
      </c>
      <c r="AG48" s="10" t="s">
        <v>47</v>
      </c>
      <c r="AH48" s="11"/>
      <c r="AI48" s="11"/>
      <c r="AJ48" s="11"/>
      <c r="AK48" s="11"/>
      <c r="AL48" s="11" t="n">
        <f aca="false">IF(AG48="yes",AD48*1.2,AD48)</f>
        <v>48</v>
      </c>
      <c r="AM48" s="11"/>
      <c r="AN48" s="11" t="n">
        <f aca="false">SUM(AH48:AM48)</f>
        <v>48</v>
      </c>
      <c r="AO48" s="1"/>
      <c r="AP48" s="1"/>
      <c r="AQ48" s="1"/>
      <c r="AR48" s="1"/>
    </row>
    <row r="49" customFormat="false" ht="13.8" hidden="false" customHeight="false" outlineLevel="0" collapsed="false">
      <c r="A49" s="1" t="s">
        <v>110</v>
      </c>
      <c r="B49" s="1" t="n">
        <v>34</v>
      </c>
      <c r="C49" s="1" t="s">
        <v>99</v>
      </c>
      <c r="D49" s="1" t="s">
        <v>42</v>
      </c>
      <c r="E49" s="1" t="s">
        <v>100</v>
      </c>
      <c r="F49" s="1" t="n">
        <v>18</v>
      </c>
      <c r="G49" s="1" t="n">
        <v>1</v>
      </c>
      <c r="H49" s="1" t="n">
        <v>9</v>
      </c>
      <c r="I49" s="8" t="n">
        <v>3385428</v>
      </c>
      <c r="J49" s="1" t="n">
        <v>3</v>
      </c>
      <c r="K49" s="1" t="s">
        <v>57</v>
      </c>
      <c r="L49" s="1" t="n">
        <v>8</v>
      </c>
      <c r="M49" s="1" t="n">
        <v>1</v>
      </c>
      <c r="O49" s="1" t="n">
        <v>4</v>
      </c>
      <c r="P49" s="1" t="n">
        <f aca="false">SUM(M49:O49)</f>
        <v>5</v>
      </c>
      <c r="W49" s="1" t="n">
        <f aca="false">SUM(Q49:V49)</f>
        <v>0</v>
      </c>
      <c r="X49" s="1" t="n">
        <v>1</v>
      </c>
      <c r="AF49" s="9" t="n">
        <f aca="false">SUM(Z49:AE49)</f>
        <v>0</v>
      </c>
      <c r="AG49" s="10"/>
      <c r="AH49" s="11"/>
      <c r="AI49" s="11"/>
      <c r="AJ49" s="11"/>
      <c r="AK49" s="11"/>
      <c r="AL49" s="11"/>
      <c r="AM49" s="11"/>
      <c r="AN49" s="11" t="n">
        <f aca="false">SUM(AH49:AM49)</f>
        <v>0</v>
      </c>
      <c r="AO49" s="1"/>
      <c r="AP49" s="1"/>
      <c r="AQ49" s="1"/>
      <c r="AR49" s="1"/>
    </row>
    <row r="50" customFormat="false" ht="13.8" hidden="false" customHeight="false" outlineLevel="0" collapsed="false">
      <c r="A50" s="1" t="s">
        <v>111</v>
      </c>
      <c r="B50" s="1" t="n">
        <v>324</v>
      </c>
      <c r="C50" s="1" t="s">
        <v>112</v>
      </c>
      <c r="D50" s="1" t="s">
        <v>42</v>
      </c>
      <c r="E50" s="1" t="s">
        <v>111</v>
      </c>
      <c r="F50" s="1" t="n">
        <v>3</v>
      </c>
      <c r="G50" s="1" t="n">
        <v>1</v>
      </c>
      <c r="H50" s="1" t="n">
        <v>2</v>
      </c>
      <c r="I50" s="8" t="n">
        <v>450549</v>
      </c>
      <c r="J50" s="1" t="n">
        <v>1</v>
      </c>
      <c r="K50" s="1" t="s">
        <v>46</v>
      </c>
      <c r="L50" s="1" t="n">
        <v>4</v>
      </c>
      <c r="M50" s="1" t="n">
        <v>1</v>
      </c>
      <c r="O50" s="1" t="n">
        <v>2</v>
      </c>
      <c r="P50" s="1" t="n">
        <f aca="false">SUM(M50:O50)</f>
        <v>3</v>
      </c>
      <c r="T50" s="1" t="n">
        <v>2</v>
      </c>
      <c r="W50" s="1" t="n">
        <f aca="false">SUM(Q50:V50)</f>
        <v>2</v>
      </c>
      <c r="AA50" s="9"/>
      <c r="AC50" s="9" t="n">
        <f aca="false">(T50)*(1+(J50)*0.2)</f>
        <v>2.4</v>
      </c>
      <c r="AF50" s="9" t="n">
        <f aca="false">SUM(Z50:AE50)</f>
        <v>2.4</v>
      </c>
      <c r="AG50" s="10" t="s">
        <v>47</v>
      </c>
      <c r="AH50" s="11"/>
      <c r="AI50" s="11"/>
      <c r="AJ50" s="11"/>
      <c r="AK50" s="11" t="n">
        <f aca="false">IF(AG50="yes",AC50*1.2,AC50)</f>
        <v>2.88</v>
      </c>
      <c r="AL50" s="11"/>
      <c r="AM50" s="11"/>
      <c r="AN50" s="11" t="n">
        <f aca="false">SUM(AH50:AM50)</f>
        <v>2.88</v>
      </c>
      <c r="AO50" s="1"/>
      <c r="AP50" s="1"/>
      <c r="AQ50" s="1"/>
      <c r="AR50" s="1"/>
    </row>
    <row r="51" customFormat="false" ht="13.8" hidden="false" customHeight="false" outlineLevel="0" collapsed="false">
      <c r="A51" s="1" t="s">
        <v>113</v>
      </c>
      <c r="B51" s="1" t="n">
        <v>302</v>
      </c>
      <c r="C51" s="1" t="s">
        <v>114</v>
      </c>
      <c r="D51" s="1" t="s">
        <v>42</v>
      </c>
      <c r="E51" s="13" t="s">
        <v>115</v>
      </c>
      <c r="F51" s="13" t="n">
        <v>22</v>
      </c>
      <c r="G51" s="1" t="n">
        <v>1</v>
      </c>
      <c r="H51" s="1" t="n">
        <v>14</v>
      </c>
      <c r="I51" s="8" t="n">
        <v>2046996</v>
      </c>
      <c r="J51" s="1" t="n">
        <v>2</v>
      </c>
      <c r="K51" s="1" t="s">
        <v>96</v>
      </c>
      <c r="L51" s="1" t="n">
        <v>6</v>
      </c>
      <c r="M51" s="1" t="n">
        <v>1</v>
      </c>
      <c r="O51" s="1" t="n">
        <v>5</v>
      </c>
      <c r="P51" s="1" t="n">
        <f aca="false">SUM(M51:O51)</f>
        <v>6</v>
      </c>
      <c r="T51" s="1" t="n">
        <v>60</v>
      </c>
      <c r="U51" s="1" t="n">
        <v>2</v>
      </c>
      <c r="W51" s="1" t="n">
        <f aca="false">SUM(Q51:V51)</f>
        <v>62</v>
      </c>
      <c r="X51" s="1" t="n">
        <v>2</v>
      </c>
      <c r="AA51" s="9"/>
      <c r="AC51" s="9" t="n">
        <f aca="false">(T51)*(1+(J51)*0.2)</f>
        <v>84</v>
      </c>
      <c r="AD51" s="9" t="n">
        <f aca="false">(U51)*(1+(J51)*0.2)</f>
        <v>2.8</v>
      </c>
      <c r="AF51" s="9" t="n">
        <f aca="false">SUM(Z51:AE51)</f>
        <v>86.8</v>
      </c>
      <c r="AG51" s="10" t="s">
        <v>47</v>
      </c>
      <c r="AH51" s="11"/>
      <c r="AI51" s="11"/>
      <c r="AJ51" s="11"/>
      <c r="AK51" s="11" t="n">
        <f aca="false">IF(AG51="yes",AC51*1.2,AC51)</f>
        <v>100.8</v>
      </c>
      <c r="AL51" s="11" t="n">
        <f aca="false">IF(AG51="yes",AD51*1.2,AD51)</f>
        <v>3.36</v>
      </c>
      <c r="AM51" s="11"/>
      <c r="AN51" s="11" t="n">
        <f aca="false">SUM(AH51:AM51)</f>
        <v>104.16</v>
      </c>
      <c r="AO51" s="1"/>
      <c r="AP51" s="1"/>
      <c r="AQ51" s="1"/>
      <c r="AR51" s="1"/>
    </row>
    <row r="52" customFormat="false" ht="13.8" hidden="false" customHeight="false" outlineLevel="0" collapsed="false">
      <c r="A52" s="1" t="s">
        <v>67</v>
      </c>
      <c r="B52" s="1" t="n">
        <v>487</v>
      </c>
      <c r="C52" s="1" t="s">
        <v>114</v>
      </c>
      <c r="D52" s="1" t="s">
        <v>42</v>
      </c>
      <c r="E52" s="13" t="s">
        <v>115</v>
      </c>
      <c r="F52" s="13" t="n">
        <v>5</v>
      </c>
      <c r="G52" s="1" t="n">
        <v>1</v>
      </c>
      <c r="H52" s="1" t="n">
        <v>11</v>
      </c>
      <c r="I52" s="8" t="n">
        <v>334908</v>
      </c>
      <c r="J52" s="1" t="n">
        <v>1</v>
      </c>
      <c r="K52" s="1" t="s">
        <v>51</v>
      </c>
      <c r="L52" s="1" t="n">
        <v>1</v>
      </c>
      <c r="O52" s="1" t="n">
        <v>1</v>
      </c>
      <c r="P52" s="1" t="n">
        <f aca="false">SUM(M52:O52)</f>
        <v>1</v>
      </c>
      <c r="W52" s="1" t="n">
        <f aca="false">SUM(Q52:V52)</f>
        <v>0</v>
      </c>
      <c r="AA52" s="9"/>
      <c r="AD52" s="9"/>
      <c r="AF52" s="9" t="n">
        <f aca="false">SUM(Z52:AE52)</f>
        <v>0</v>
      </c>
      <c r="AG52" s="10"/>
      <c r="AH52" s="11"/>
      <c r="AI52" s="11"/>
      <c r="AJ52" s="11"/>
      <c r="AK52" s="11"/>
      <c r="AL52" s="11"/>
      <c r="AM52" s="11"/>
      <c r="AN52" s="11" t="n">
        <f aca="false">SUM(AH52:AM52)</f>
        <v>0</v>
      </c>
      <c r="AO52" s="1"/>
      <c r="AP52" s="1"/>
      <c r="AQ52" s="1"/>
      <c r="AR52" s="1"/>
    </row>
    <row r="53" customFormat="false" ht="13.8" hidden="false" customHeight="false" outlineLevel="0" collapsed="false">
      <c r="A53" s="1" t="s">
        <v>116</v>
      </c>
      <c r="B53" s="1" t="n">
        <v>333</v>
      </c>
      <c r="C53" s="1" t="s">
        <v>117</v>
      </c>
      <c r="D53" s="1" t="s">
        <v>42</v>
      </c>
      <c r="E53" s="1" t="s">
        <v>118</v>
      </c>
      <c r="F53" s="1" t="n">
        <v>2</v>
      </c>
      <c r="G53" s="1" t="n">
        <v>1</v>
      </c>
      <c r="H53" s="1" t="n">
        <v>24</v>
      </c>
      <c r="I53" s="8" t="n">
        <v>890886</v>
      </c>
      <c r="J53" s="1" t="n">
        <v>2</v>
      </c>
      <c r="K53" s="1" t="s">
        <v>44</v>
      </c>
      <c r="L53" s="1" t="n">
        <v>2</v>
      </c>
      <c r="P53" s="1" t="n">
        <f aca="false">SUM(M53:O53)</f>
        <v>0</v>
      </c>
      <c r="Q53" s="1" t="n">
        <v>12</v>
      </c>
      <c r="S53" s="1" t="n">
        <v>40</v>
      </c>
      <c r="W53" s="1" t="n">
        <f aca="false">SUM(Q53:V53)</f>
        <v>52</v>
      </c>
      <c r="Y53" s="1" t="n">
        <v>3</v>
      </c>
      <c r="Z53" s="9" t="n">
        <f aca="false">(Q53)*(1+(J53)*0.2)</f>
        <v>16.8</v>
      </c>
      <c r="AB53" s="9" t="n">
        <f aca="false">(S53)*(1+(J53)*0.2)</f>
        <v>56</v>
      </c>
      <c r="AF53" s="9" t="n">
        <f aca="false">SUM(Z53:AE53)</f>
        <v>72.8</v>
      </c>
      <c r="AG53" s="10" t="s">
        <v>47</v>
      </c>
      <c r="AH53" s="11" t="n">
        <f aca="false">IF(AG53="yes",Z53*1.2,Z53)</f>
        <v>20.16</v>
      </c>
      <c r="AI53" s="11"/>
      <c r="AJ53" s="11" t="n">
        <f aca="false">IF(AG53="yes",AB53*1.2,AB53)</f>
        <v>67.2</v>
      </c>
      <c r="AK53" s="11"/>
      <c r="AL53" s="11"/>
      <c r="AM53" s="11"/>
      <c r="AN53" s="11" t="n">
        <f aca="false">SUM(AH53:AM53)</f>
        <v>87.36</v>
      </c>
      <c r="AO53" s="1"/>
      <c r="AP53" s="1"/>
      <c r="AQ53" s="1"/>
      <c r="AR53" s="1"/>
    </row>
    <row r="54" customFormat="false" ht="13.8" hidden="false" customHeight="false" outlineLevel="0" collapsed="false">
      <c r="A54" s="1" t="s">
        <v>119</v>
      </c>
      <c r="B54" s="1" t="n">
        <v>336</v>
      </c>
      <c r="C54" s="1" t="s">
        <v>117</v>
      </c>
      <c r="D54" s="1" t="s">
        <v>42</v>
      </c>
      <c r="E54" s="1" t="s">
        <v>118</v>
      </c>
      <c r="F54" s="1" t="n">
        <v>12</v>
      </c>
      <c r="G54" s="1" t="n">
        <v>1</v>
      </c>
      <c r="H54" s="13" t="n">
        <v>24</v>
      </c>
      <c r="I54" s="8" t="n">
        <v>2896732</v>
      </c>
      <c r="J54" s="1" t="n">
        <v>2</v>
      </c>
      <c r="K54" s="1" t="s">
        <v>120</v>
      </c>
      <c r="L54" s="1" t="n">
        <v>5</v>
      </c>
      <c r="O54" s="1" t="n">
        <v>1</v>
      </c>
      <c r="P54" s="1" t="n">
        <f aca="false">SUM(M54:O54)</f>
        <v>1</v>
      </c>
      <c r="R54" s="1" t="n">
        <v>15</v>
      </c>
      <c r="S54" s="1" t="n">
        <v>342</v>
      </c>
      <c r="T54" s="1" t="n">
        <v>189</v>
      </c>
      <c r="U54" s="1" t="n">
        <v>20</v>
      </c>
      <c r="W54" s="1" t="n">
        <f aca="false">SUM(Q54:V54)</f>
        <v>566</v>
      </c>
      <c r="X54" s="1" t="n">
        <v>6</v>
      </c>
      <c r="Y54" s="1" t="n">
        <v>14</v>
      </c>
      <c r="AA54" s="9" t="n">
        <f aca="false">(R54)*(1+(J54)*0.2)</f>
        <v>21</v>
      </c>
      <c r="AB54" s="9" t="n">
        <f aca="false">(S54)*(1+(J54)*0.2)</f>
        <v>478.8</v>
      </c>
      <c r="AC54" s="9" t="n">
        <f aca="false">(T54)*(1+(J54)*0.2)</f>
        <v>264.6</v>
      </c>
      <c r="AD54" s="9" t="n">
        <f aca="false">(U54)*(1+(J54)*0.2)</f>
        <v>28</v>
      </c>
      <c r="AF54" s="9" t="n">
        <f aca="false">SUM(Z54:AE54)</f>
        <v>792.4</v>
      </c>
      <c r="AG54" s="10" t="s">
        <v>47</v>
      </c>
      <c r="AH54" s="11"/>
      <c r="AI54" s="11" t="n">
        <f aca="false">IF(AG54="yes",AA54*1.2,AA54)</f>
        <v>25.2</v>
      </c>
      <c r="AJ54" s="11" t="n">
        <f aca="false">IF(AG54="yes",AB54*1.2,AB54)</f>
        <v>574.56</v>
      </c>
      <c r="AK54" s="11" t="n">
        <f aca="false">IF(AG54="yes",AC54*1.2,AC54)</f>
        <v>317.52</v>
      </c>
      <c r="AL54" s="11" t="n">
        <f aca="false">IF(AG54="yes",AD54*1.2,AD54)</f>
        <v>33.6</v>
      </c>
      <c r="AM54" s="11"/>
      <c r="AN54" s="11" t="n">
        <f aca="false">SUM(AH54:AM54)</f>
        <v>950.88</v>
      </c>
      <c r="AO54" s="1"/>
      <c r="AP54" s="1"/>
      <c r="AQ54" s="1"/>
      <c r="AR54" s="1"/>
    </row>
    <row r="55" customFormat="false" ht="13.8" hidden="false" customHeight="false" outlineLevel="0" collapsed="false">
      <c r="A55" s="1" t="s">
        <v>121</v>
      </c>
      <c r="B55" s="1" t="n">
        <v>434</v>
      </c>
      <c r="C55" s="1" t="s">
        <v>122</v>
      </c>
      <c r="D55" s="1" t="s">
        <v>42</v>
      </c>
      <c r="E55" s="1" t="s">
        <v>123</v>
      </c>
      <c r="G55" s="1" t="n">
        <v>1</v>
      </c>
      <c r="H55" s="1" t="n">
        <v>5</v>
      </c>
      <c r="I55" s="8" t="n">
        <v>200244</v>
      </c>
      <c r="J55" s="1" t="n">
        <v>1</v>
      </c>
      <c r="K55" s="1" t="s">
        <v>76</v>
      </c>
      <c r="L55" s="1" t="n">
        <v>0</v>
      </c>
      <c r="P55" s="1" t="n">
        <f aca="false">SUM(M55:O55)</f>
        <v>0</v>
      </c>
      <c r="W55" s="1" t="n">
        <f aca="false">SUM(Q55:V55)</f>
        <v>0</v>
      </c>
      <c r="Z55" s="12"/>
      <c r="AF55" s="9" t="n">
        <f aca="false">SUM(Z55:AE55)</f>
        <v>0</v>
      </c>
      <c r="AG55" s="10"/>
      <c r="AH55" s="11"/>
      <c r="AI55" s="11"/>
      <c r="AJ55" s="11"/>
      <c r="AK55" s="11"/>
      <c r="AL55" s="11"/>
      <c r="AM55" s="11"/>
      <c r="AN55" s="11" t="n">
        <f aca="false">SUM(AH55:AM55)</f>
        <v>0</v>
      </c>
      <c r="AO55" s="1"/>
      <c r="AP55" s="1"/>
      <c r="AQ55" s="1"/>
      <c r="AR55" s="1"/>
    </row>
    <row r="56" customFormat="false" ht="13.8" hidden="false" customHeight="false" outlineLevel="0" collapsed="false">
      <c r="A56" s="1" t="s">
        <v>124</v>
      </c>
      <c r="B56" s="1" t="n">
        <v>432</v>
      </c>
      <c r="C56" s="1" t="s">
        <v>122</v>
      </c>
      <c r="D56" s="1" t="s">
        <v>42</v>
      </c>
      <c r="E56" s="1" t="s">
        <v>123</v>
      </c>
      <c r="G56" s="1" t="n">
        <v>1</v>
      </c>
      <c r="H56" s="1" t="n">
        <v>13</v>
      </c>
      <c r="I56" s="8" t="n">
        <v>8988058</v>
      </c>
      <c r="J56" s="1" t="n">
        <v>2</v>
      </c>
      <c r="K56" s="1" t="s">
        <v>46</v>
      </c>
      <c r="L56" s="1" t="n">
        <v>4</v>
      </c>
      <c r="P56" s="1" t="n">
        <f aca="false">SUM(M56:O56)</f>
        <v>0</v>
      </c>
      <c r="Q56" s="1" t="n">
        <v>5</v>
      </c>
      <c r="W56" s="1" t="n">
        <f aca="false">SUM(Q56:V56)</f>
        <v>5</v>
      </c>
      <c r="Z56" s="9" t="n">
        <f aca="false">(Q56)*(1+(J56)*0.2)</f>
        <v>7</v>
      </c>
      <c r="AF56" s="9" t="n">
        <f aca="false">SUM(Z56:AE56)</f>
        <v>7</v>
      </c>
      <c r="AG56" s="10" t="s">
        <v>47</v>
      </c>
      <c r="AH56" s="11" t="n">
        <f aca="false">IF(AG56="yes",Z56*1.2,Z56)</f>
        <v>8.4</v>
      </c>
      <c r="AI56" s="11"/>
      <c r="AJ56" s="11"/>
      <c r="AK56" s="11"/>
      <c r="AL56" s="11"/>
      <c r="AM56" s="11"/>
      <c r="AN56" s="11" t="n">
        <f aca="false">SUM(AH56:AM56)</f>
        <v>8.4</v>
      </c>
      <c r="AO56" s="1"/>
      <c r="AP56" s="1"/>
      <c r="AQ56" s="1"/>
      <c r="AR56" s="1"/>
    </row>
    <row r="57" customFormat="false" ht="13.8" hidden="false" customHeight="false" outlineLevel="0" collapsed="false">
      <c r="A57" s="1" t="s">
        <v>125</v>
      </c>
      <c r="B57" s="1" t="n">
        <v>444</v>
      </c>
      <c r="C57" s="1" t="s">
        <v>122</v>
      </c>
      <c r="D57" s="1" t="s">
        <v>73</v>
      </c>
      <c r="E57" s="1" t="s">
        <v>123</v>
      </c>
      <c r="F57" s="1" t="n">
        <v>1</v>
      </c>
      <c r="G57" s="1" t="n">
        <v>1</v>
      </c>
      <c r="H57" s="1" t="n">
        <v>8</v>
      </c>
      <c r="I57" s="8" t="n">
        <v>464066</v>
      </c>
      <c r="J57" s="1" t="n">
        <v>1</v>
      </c>
      <c r="K57" s="1" t="s">
        <v>76</v>
      </c>
      <c r="L57" s="1" t="n">
        <v>0</v>
      </c>
      <c r="P57" s="1" t="n">
        <f aca="false">SUM(M57:O57)</f>
        <v>0</v>
      </c>
      <c r="W57" s="1" t="n">
        <f aca="false">SUM(Q57:V57)</f>
        <v>0</v>
      </c>
      <c r="AF57" s="9" t="n">
        <f aca="false">SUM(Z57:AE57)</f>
        <v>0</v>
      </c>
      <c r="AG57" s="10"/>
      <c r="AH57" s="11"/>
      <c r="AI57" s="11"/>
      <c r="AJ57" s="11"/>
      <c r="AK57" s="11"/>
      <c r="AL57" s="11"/>
      <c r="AM57" s="11"/>
      <c r="AN57" s="11" t="n">
        <f aca="false">SUM(AH57:AM57)</f>
        <v>0</v>
      </c>
      <c r="AO57" s="1"/>
      <c r="AP57" s="1"/>
      <c r="AQ57" s="1"/>
      <c r="AR57" s="1"/>
    </row>
    <row r="58" customFormat="false" ht="13.8" hidden="false" customHeight="false" outlineLevel="0" collapsed="false">
      <c r="A58" s="1" t="s">
        <v>126</v>
      </c>
      <c r="B58" s="1" t="n">
        <v>435</v>
      </c>
      <c r="C58" s="1" t="s">
        <v>122</v>
      </c>
      <c r="D58" s="1" t="s">
        <v>42</v>
      </c>
      <c r="E58" s="1" t="s">
        <v>123</v>
      </c>
      <c r="F58" s="1" t="n">
        <v>1</v>
      </c>
      <c r="G58" s="1" t="n">
        <v>1</v>
      </c>
      <c r="H58" s="1" t="n">
        <v>17</v>
      </c>
      <c r="I58" s="8" t="n">
        <v>36619147</v>
      </c>
      <c r="J58" s="1" t="n">
        <v>3</v>
      </c>
      <c r="K58" s="1" t="s">
        <v>44</v>
      </c>
      <c r="L58" s="1" t="n">
        <v>2</v>
      </c>
      <c r="P58" s="1" t="n">
        <f aca="false">SUM(M58:O58)</f>
        <v>0</v>
      </c>
      <c r="W58" s="1" t="n">
        <f aca="false">SUM(Q58:V58)</f>
        <v>0</v>
      </c>
      <c r="AF58" s="9" t="n">
        <f aca="false">SUM(Z58:AE58)</f>
        <v>0</v>
      </c>
      <c r="AG58" s="10"/>
      <c r="AH58" s="11"/>
      <c r="AI58" s="11"/>
      <c r="AJ58" s="11"/>
      <c r="AK58" s="11"/>
      <c r="AL58" s="11"/>
      <c r="AM58" s="11"/>
      <c r="AN58" s="11" t="n">
        <f aca="false">SUM(AH58:AM58)</f>
        <v>0</v>
      </c>
      <c r="AO58" s="1"/>
      <c r="AP58" s="1"/>
      <c r="AQ58" s="1"/>
      <c r="AR58" s="1"/>
    </row>
    <row r="59" customFormat="false" ht="13.8" hidden="false" customHeight="false" outlineLevel="0" collapsed="false">
      <c r="A59" s="1" t="s">
        <v>127</v>
      </c>
      <c r="B59" s="1" t="n">
        <v>429</v>
      </c>
      <c r="C59" s="1" t="s">
        <v>122</v>
      </c>
      <c r="D59" s="1" t="s">
        <v>42</v>
      </c>
      <c r="E59" s="1" t="s">
        <v>123</v>
      </c>
      <c r="F59" s="1" t="n">
        <v>10</v>
      </c>
      <c r="G59" s="1" t="n">
        <v>1</v>
      </c>
      <c r="H59" s="1" t="n">
        <v>15</v>
      </c>
      <c r="I59" s="8" t="n">
        <v>17376786</v>
      </c>
      <c r="J59" s="1" t="n">
        <v>2</v>
      </c>
      <c r="K59" s="1" t="s">
        <v>46</v>
      </c>
      <c r="L59" s="1" t="n">
        <v>4</v>
      </c>
      <c r="O59" s="1" t="n">
        <v>1</v>
      </c>
      <c r="P59" s="1" t="n">
        <f aca="false">SUM(M59:O59)</f>
        <v>1</v>
      </c>
      <c r="W59" s="1" t="n">
        <f aca="false">SUM(Q59:V59)</f>
        <v>0</v>
      </c>
      <c r="X59" s="1" t="n">
        <v>2</v>
      </c>
      <c r="Y59" s="1" t="n">
        <v>6</v>
      </c>
      <c r="AF59" s="9" t="n">
        <f aca="false">SUM(Z59:AE59)</f>
        <v>0</v>
      </c>
      <c r="AG59" s="10"/>
      <c r="AH59" s="11"/>
      <c r="AI59" s="11"/>
      <c r="AJ59" s="11"/>
      <c r="AK59" s="11"/>
      <c r="AL59" s="11"/>
      <c r="AM59" s="11"/>
      <c r="AN59" s="11" t="n">
        <f aca="false">SUM(AH59:AM59)</f>
        <v>0</v>
      </c>
      <c r="AO59" s="1"/>
      <c r="AP59" s="1"/>
      <c r="AQ59" s="1"/>
      <c r="AR59" s="1"/>
    </row>
    <row r="60" customFormat="false" ht="13.8" hidden="false" customHeight="false" outlineLevel="0" collapsed="false">
      <c r="A60" s="1" t="s">
        <v>128</v>
      </c>
      <c r="B60" s="1" t="n">
        <v>288</v>
      </c>
      <c r="C60" s="1" t="s">
        <v>122</v>
      </c>
      <c r="D60" s="1" t="s">
        <v>73</v>
      </c>
      <c r="E60" s="1" t="s">
        <v>123</v>
      </c>
      <c r="F60" s="1" t="n">
        <v>5</v>
      </c>
      <c r="G60" s="1" t="n">
        <v>1</v>
      </c>
      <c r="H60" s="1" t="n">
        <v>51</v>
      </c>
      <c r="I60" s="8" t="n">
        <v>10735589</v>
      </c>
      <c r="J60" s="1" t="n">
        <v>2</v>
      </c>
      <c r="K60" s="1" t="s">
        <v>46</v>
      </c>
      <c r="L60" s="1" t="n">
        <v>4</v>
      </c>
      <c r="O60" s="1" t="n">
        <v>1</v>
      </c>
      <c r="P60" s="1" t="n">
        <f aca="false">SUM(M60:O60)</f>
        <v>1</v>
      </c>
      <c r="S60" s="1" t="n">
        <v>3</v>
      </c>
      <c r="T60" s="1" t="n">
        <v>92</v>
      </c>
      <c r="W60" s="1" t="n">
        <f aca="false">SUM(Q60:V60)</f>
        <v>95</v>
      </c>
      <c r="X60" s="1" t="n">
        <v>1</v>
      </c>
      <c r="Y60" s="1" t="n">
        <v>4</v>
      </c>
      <c r="AB60" s="9" t="n">
        <f aca="false">(S60)*(1+(J60)*0.2)</f>
        <v>4.2</v>
      </c>
      <c r="AC60" s="9" t="n">
        <f aca="false">(T60)*(1+(J60)*0.2)</f>
        <v>128.8</v>
      </c>
      <c r="AF60" s="9" t="n">
        <f aca="false">SUM(Z60:AE60)</f>
        <v>133</v>
      </c>
      <c r="AG60" s="10" t="s">
        <v>47</v>
      </c>
      <c r="AH60" s="11"/>
      <c r="AI60" s="11"/>
      <c r="AJ60" s="11" t="n">
        <f aca="false">IF(AG60="yes",AB60*1.2,AB60)</f>
        <v>5.04</v>
      </c>
      <c r="AK60" s="11" t="n">
        <f aca="false">IF(AG60="yes",AC60*1.2,AC60)</f>
        <v>154.56</v>
      </c>
      <c r="AL60" s="11"/>
      <c r="AM60" s="11"/>
      <c r="AN60" s="11" t="n">
        <f aca="false">SUM(AH60:AM60)</f>
        <v>159.6</v>
      </c>
      <c r="AO60" s="1"/>
      <c r="AP60" s="1"/>
      <c r="AQ60" s="1"/>
      <c r="AR60" s="1"/>
    </row>
    <row r="61" customFormat="false" ht="13.8" hidden="false" customHeight="false" outlineLevel="0" collapsed="false">
      <c r="A61" s="1" t="s">
        <v>129</v>
      </c>
      <c r="B61" s="1" t="n">
        <v>439</v>
      </c>
      <c r="C61" s="1" t="s">
        <v>122</v>
      </c>
      <c r="D61" s="1" t="s">
        <v>42</v>
      </c>
      <c r="E61" s="1" t="s">
        <v>123</v>
      </c>
      <c r="F61" s="1" t="n">
        <v>15</v>
      </c>
      <c r="G61" s="1" t="n">
        <v>1</v>
      </c>
      <c r="H61" s="1" t="n">
        <v>15</v>
      </c>
      <c r="I61" s="8" t="n">
        <v>31174809</v>
      </c>
      <c r="J61" s="1" t="n">
        <v>3</v>
      </c>
      <c r="K61" s="1" t="s">
        <v>96</v>
      </c>
      <c r="L61" s="1" t="n">
        <v>6</v>
      </c>
      <c r="O61" s="1" t="n">
        <v>1</v>
      </c>
      <c r="P61" s="1" t="n">
        <f aca="false">SUM(M61:O61)</f>
        <v>1</v>
      </c>
      <c r="W61" s="1" t="n">
        <f aca="false">SUM(Q61:V61)</f>
        <v>0</v>
      </c>
      <c r="X61" s="1" t="n">
        <v>4</v>
      </c>
      <c r="AF61" s="9" t="n">
        <f aca="false">SUM(Z61:AE61)</f>
        <v>0</v>
      </c>
      <c r="AG61" s="10"/>
      <c r="AH61" s="11"/>
      <c r="AI61" s="11"/>
      <c r="AJ61" s="11"/>
      <c r="AK61" s="11"/>
      <c r="AL61" s="11"/>
      <c r="AM61" s="11"/>
      <c r="AN61" s="11" t="n">
        <f aca="false">SUM(AH61:AM61)</f>
        <v>0</v>
      </c>
      <c r="AO61" s="1"/>
      <c r="AP61" s="1"/>
      <c r="AQ61" s="1"/>
      <c r="AR61" s="1"/>
    </row>
    <row r="62" customFormat="false" ht="13.8" hidden="false" customHeight="false" outlineLevel="0" collapsed="false">
      <c r="A62" s="1" t="s">
        <v>130</v>
      </c>
      <c r="B62" s="1" t="n">
        <v>430</v>
      </c>
      <c r="C62" s="1" t="s">
        <v>122</v>
      </c>
      <c r="D62" s="1" t="s">
        <v>42</v>
      </c>
      <c r="E62" s="1" t="s">
        <v>123</v>
      </c>
      <c r="F62" s="1" t="n">
        <v>1</v>
      </c>
      <c r="G62" s="1" t="n">
        <v>1</v>
      </c>
      <c r="H62" s="1" t="n">
        <v>20</v>
      </c>
      <c r="I62" s="8" t="n">
        <v>32012330</v>
      </c>
      <c r="J62" s="1" t="n">
        <v>3</v>
      </c>
      <c r="K62" s="1" t="s">
        <v>46</v>
      </c>
      <c r="L62" s="1" t="n">
        <v>4</v>
      </c>
      <c r="O62" s="1" t="n">
        <v>2</v>
      </c>
      <c r="P62" s="1" t="n">
        <f aca="false">SUM(M62:O62)</f>
        <v>2</v>
      </c>
      <c r="W62" s="1" t="n">
        <f aca="false">SUM(Q62:V62)</f>
        <v>0</v>
      </c>
      <c r="Y62" s="1" t="n">
        <v>3</v>
      </c>
      <c r="AF62" s="9" t="n">
        <f aca="false">SUM(Z62:AE62)</f>
        <v>0</v>
      </c>
      <c r="AG62" s="10"/>
      <c r="AH62" s="11"/>
      <c r="AI62" s="11"/>
      <c r="AJ62" s="11"/>
      <c r="AK62" s="11"/>
      <c r="AL62" s="11"/>
      <c r="AM62" s="11"/>
      <c r="AN62" s="11" t="n">
        <f aca="false">SUM(AH62:AM62)</f>
        <v>0</v>
      </c>
      <c r="AO62" s="1"/>
      <c r="AP62" s="1"/>
      <c r="AQ62" s="1"/>
      <c r="AR62" s="1"/>
    </row>
    <row r="63" customFormat="false" ht="13.8" hidden="false" customHeight="false" outlineLevel="0" collapsed="false">
      <c r="A63" s="1" t="s">
        <v>131</v>
      </c>
      <c r="B63" s="1" t="n">
        <v>428</v>
      </c>
      <c r="C63" s="1" t="s">
        <v>122</v>
      </c>
      <c r="D63" s="1" t="s">
        <v>42</v>
      </c>
      <c r="E63" s="1" t="s">
        <v>123</v>
      </c>
      <c r="F63" s="1" t="n">
        <v>1</v>
      </c>
      <c r="G63" s="1" t="n">
        <v>1</v>
      </c>
      <c r="H63" s="1" t="n">
        <v>17</v>
      </c>
      <c r="I63" s="8" t="n">
        <v>10603127</v>
      </c>
      <c r="J63" s="1" t="n">
        <v>2</v>
      </c>
      <c r="K63" s="1" t="s">
        <v>46</v>
      </c>
      <c r="L63" s="1" t="n">
        <v>4</v>
      </c>
      <c r="M63" s="1" t="n">
        <v>1</v>
      </c>
      <c r="P63" s="1" t="n">
        <f aca="false">SUM(M63:O63)</f>
        <v>1</v>
      </c>
      <c r="Q63" s="1" t="n">
        <v>3</v>
      </c>
      <c r="W63" s="1" t="n">
        <f aca="false">SUM(Q63:V63)</f>
        <v>3</v>
      </c>
      <c r="Y63" s="1" t="n">
        <v>2</v>
      </c>
      <c r="Z63" s="9" t="n">
        <f aca="false">(Q63)*(1+(J63)*0.2)</f>
        <v>4.2</v>
      </c>
      <c r="AF63" s="9" t="n">
        <f aca="false">SUM(Z63:AE63)</f>
        <v>4.2</v>
      </c>
      <c r="AG63" s="10" t="s">
        <v>47</v>
      </c>
      <c r="AH63" s="11" t="n">
        <f aca="false">IF(AG63="yes",Z63*1.2,Z63)</f>
        <v>5.04</v>
      </c>
      <c r="AI63" s="11"/>
      <c r="AJ63" s="11"/>
      <c r="AK63" s="11"/>
      <c r="AL63" s="11"/>
      <c r="AM63" s="11"/>
      <c r="AN63" s="11" t="n">
        <f aca="false">SUM(AH63:AM63)</f>
        <v>5.04</v>
      </c>
      <c r="AO63" s="1"/>
      <c r="AP63" s="1"/>
      <c r="AQ63" s="1"/>
      <c r="AR63" s="1"/>
    </row>
    <row r="64" customFormat="false" ht="13.8" hidden="false" customHeight="false" outlineLevel="0" collapsed="false">
      <c r="A64" s="1" t="s">
        <v>132</v>
      </c>
      <c r="B64" s="1" t="n">
        <v>427</v>
      </c>
      <c r="C64" s="1" t="s">
        <v>122</v>
      </c>
      <c r="D64" s="1" t="s">
        <v>42</v>
      </c>
      <c r="E64" s="1" t="s">
        <v>123</v>
      </c>
      <c r="F64" s="1" t="n">
        <v>1</v>
      </c>
      <c r="G64" s="1" t="n">
        <v>1</v>
      </c>
      <c r="H64" s="1" t="n">
        <v>15</v>
      </c>
      <c r="I64" s="8" t="n">
        <v>14030506</v>
      </c>
      <c r="J64" s="1" t="n">
        <v>2</v>
      </c>
      <c r="K64" s="1" t="s">
        <v>46</v>
      </c>
      <c r="L64" s="1" t="n">
        <v>4</v>
      </c>
      <c r="O64" s="1" t="n">
        <v>1</v>
      </c>
      <c r="P64" s="1" t="n">
        <f aca="false">SUM(M64:O64)</f>
        <v>1</v>
      </c>
      <c r="V64" s="1" t="n">
        <v>6</v>
      </c>
      <c r="W64" s="1" t="n">
        <f aca="false">SUM(Q64:V64)</f>
        <v>6</v>
      </c>
      <c r="X64" s="1" t="n">
        <v>3</v>
      </c>
      <c r="AE64" s="9" t="n">
        <f aca="false">(V64)*(1+(J64)*0.2)</f>
        <v>8.4</v>
      </c>
      <c r="AF64" s="9" t="n">
        <f aca="false">SUM(Z64:AE64)</f>
        <v>8.4</v>
      </c>
      <c r="AG64" s="10" t="s">
        <v>47</v>
      </c>
      <c r="AH64" s="11"/>
      <c r="AI64" s="11"/>
      <c r="AJ64" s="11"/>
      <c r="AK64" s="11"/>
      <c r="AL64" s="11"/>
      <c r="AM64" s="11" t="n">
        <f aca="false">IF(AG64="yes",AE64*1.2,AE64)</f>
        <v>10.08</v>
      </c>
      <c r="AN64" s="11" t="n">
        <f aca="false">SUM(AH64:AM64)</f>
        <v>10.08</v>
      </c>
      <c r="AO64" s="1"/>
      <c r="AP64" s="1"/>
      <c r="AQ64" s="1"/>
      <c r="AR64" s="1"/>
    </row>
    <row r="65" customFormat="false" ht="13.8" hidden="false" customHeight="false" outlineLevel="0" collapsed="false">
      <c r="A65" s="1" t="s">
        <v>133</v>
      </c>
      <c r="B65" s="1" t="n">
        <v>437</v>
      </c>
      <c r="C65" s="1" t="s">
        <v>122</v>
      </c>
      <c r="D65" s="1" t="s">
        <v>42</v>
      </c>
      <c r="E65" s="1" t="s">
        <v>123</v>
      </c>
      <c r="G65" s="1" t="n">
        <v>1</v>
      </c>
      <c r="H65" s="1" t="n">
        <v>13</v>
      </c>
      <c r="I65" s="8" t="n">
        <v>8412757</v>
      </c>
      <c r="J65" s="1" t="n">
        <v>2</v>
      </c>
      <c r="K65" s="1" t="s">
        <v>44</v>
      </c>
      <c r="L65" s="1" t="n">
        <v>2</v>
      </c>
      <c r="O65" s="1" t="n">
        <v>1</v>
      </c>
      <c r="P65" s="1" t="n">
        <f aca="false">SUM(M65:O65)</f>
        <v>1</v>
      </c>
      <c r="W65" s="1" t="n">
        <f aca="false">SUM(Q65:V65)</f>
        <v>0</v>
      </c>
      <c r="AD65" s="9"/>
      <c r="AF65" s="9" t="n">
        <f aca="false">SUM(Z65:AE65)</f>
        <v>0</v>
      </c>
      <c r="AG65" s="10"/>
      <c r="AH65" s="11"/>
      <c r="AI65" s="11"/>
      <c r="AJ65" s="11"/>
      <c r="AK65" s="11"/>
      <c r="AL65" s="11"/>
      <c r="AM65" s="11"/>
      <c r="AN65" s="11" t="n">
        <f aca="false">SUM(AH65:AM65)</f>
        <v>0</v>
      </c>
      <c r="AO65" s="1"/>
      <c r="AP65" s="1"/>
      <c r="AQ65" s="1"/>
      <c r="AR65" s="1"/>
    </row>
    <row r="66" customFormat="false" ht="13.8" hidden="false" customHeight="false" outlineLevel="0" collapsed="false">
      <c r="A66" s="1" t="s">
        <v>134</v>
      </c>
      <c r="B66" s="1" t="n">
        <v>436</v>
      </c>
      <c r="C66" s="1" t="s">
        <v>122</v>
      </c>
      <c r="D66" s="1" t="s">
        <v>42</v>
      </c>
      <c r="E66" s="1" t="s">
        <v>123</v>
      </c>
      <c r="G66" s="1" t="n">
        <v>1</v>
      </c>
      <c r="H66" s="1" t="n">
        <v>20</v>
      </c>
      <c r="I66" s="8" t="n">
        <v>14140340</v>
      </c>
      <c r="J66" s="1" t="n">
        <v>2</v>
      </c>
      <c r="K66" s="1" t="s">
        <v>44</v>
      </c>
      <c r="L66" s="1" t="n">
        <v>2</v>
      </c>
      <c r="P66" s="1" t="n">
        <f aca="false">SUM(M66:O66)</f>
        <v>0</v>
      </c>
      <c r="V66" s="1" t="n">
        <v>4</v>
      </c>
      <c r="W66" s="1" t="n">
        <f aca="false">SUM(Q66:V66)</f>
        <v>4</v>
      </c>
      <c r="AE66" s="9" t="n">
        <f aca="false">(V66)*(1+(J66)*0.2)</f>
        <v>5.6</v>
      </c>
      <c r="AF66" s="9" t="n">
        <f aca="false">SUM(Z66:AE66)</f>
        <v>5.6</v>
      </c>
      <c r="AG66" s="10" t="s">
        <v>47</v>
      </c>
      <c r="AH66" s="11"/>
      <c r="AI66" s="11"/>
      <c r="AJ66" s="11"/>
      <c r="AK66" s="11"/>
      <c r="AL66" s="11"/>
      <c r="AM66" s="11" t="n">
        <f aca="false">IF(AG66="yes",AE66*1.2,AE66)</f>
        <v>6.72</v>
      </c>
      <c r="AN66" s="11" t="n">
        <f aca="false">SUM(AH66:AM66)</f>
        <v>6.72</v>
      </c>
      <c r="AO66" s="1"/>
      <c r="AP66" s="1"/>
      <c r="AQ66" s="1"/>
      <c r="AR66" s="1"/>
    </row>
    <row r="67" customFormat="false" ht="13.8" hidden="false" customHeight="false" outlineLevel="0" collapsed="false">
      <c r="A67" s="1" t="s">
        <v>135</v>
      </c>
      <c r="B67" s="1" t="n">
        <v>441</v>
      </c>
      <c r="C67" s="1" t="s">
        <v>122</v>
      </c>
      <c r="D67" s="1" t="s">
        <v>42</v>
      </c>
      <c r="E67" s="1" t="s">
        <v>123</v>
      </c>
      <c r="G67" s="1" t="n">
        <v>1</v>
      </c>
      <c r="H67" s="1" t="n">
        <v>7</v>
      </c>
      <c r="I67" s="8" t="n">
        <v>2126292</v>
      </c>
      <c r="J67" s="1" t="n">
        <v>1</v>
      </c>
      <c r="K67" s="1" t="s">
        <v>44</v>
      </c>
      <c r="L67" s="1" t="n">
        <v>2</v>
      </c>
      <c r="P67" s="1" t="n">
        <f aca="false">SUM(M67:O67)</f>
        <v>0</v>
      </c>
      <c r="W67" s="1" t="n">
        <f aca="false">SUM(Q67:V67)</f>
        <v>0</v>
      </c>
      <c r="AF67" s="9" t="n">
        <f aca="false">SUM(Z67:AE67)</f>
        <v>0</v>
      </c>
      <c r="AG67" s="10"/>
      <c r="AH67" s="11"/>
      <c r="AI67" s="11"/>
      <c r="AJ67" s="11"/>
      <c r="AK67" s="11"/>
      <c r="AL67" s="11"/>
      <c r="AM67" s="11"/>
      <c r="AN67" s="11" t="n">
        <f aca="false">SUM(AH67:AM67)</f>
        <v>0</v>
      </c>
      <c r="AO67" s="1"/>
      <c r="AP67" s="1"/>
      <c r="AQ67" s="1"/>
      <c r="AR67" s="1"/>
    </row>
    <row r="68" customFormat="false" ht="13.8" hidden="false" customHeight="false" outlineLevel="0" collapsed="false">
      <c r="A68" s="1" t="s">
        <v>136</v>
      </c>
      <c r="B68" s="1" t="n">
        <v>438</v>
      </c>
      <c r="C68" s="1" t="s">
        <v>122</v>
      </c>
      <c r="D68" s="1" t="s">
        <v>42</v>
      </c>
      <c r="E68" s="1" t="s">
        <v>123</v>
      </c>
      <c r="F68" s="1" t="n">
        <v>1</v>
      </c>
      <c r="G68" s="1" t="n">
        <v>1</v>
      </c>
      <c r="H68" s="1" t="n">
        <v>21</v>
      </c>
      <c r="I68" s="8" t="n">
        <v>33531883</v>
      </c>
      <c r="J68" s="1" t="n">
        <v>3</v>
      </c>
      <c r="K68" s="1" t="s">
        <v>44</v>
      </c>
      <c r="L68" s="1" t="n">
        <v>2</v>
      </c>
      <c r="O68" s="1" t="n">
        <v>1</v>
      </c>
      <c r="P68" s="1" t="n">
        <f aca="false">SUM(M68:O68)</f>
        <v>1</v>
      </c>
      <c r="W68" s="1" t="n">
        <f aca="false">SUM(Q68:V68)</f>
        <v>0</v>
      </c>
      <c r="AD68" s="9"/>
      <c r="AE68" s="20"/>
      <c r="AF68" s="9" t="n">
        <f aca="false">SUM(Z68:AE68)</f>
        <v>0</v>
      </c>
      <c r="AG68" s="10"/>
      <c r="AH68" s="11"/>
      <c r="AI68" s="11"/>
      <c r="AJ68" s="11"/>
      <c r="AK68" s="11"/>
      <c r="AL68" s="11"/>
      <c r="AM68" s="11"/>
      <c r="AN68" s="11" t="n">
        <f aca="false">SUM(AH68:AM68)</f>
        <v>0</v>
      </c>
      <c r="AO68" s="1"/>
      <c r="AP68" s="1"/>
      <c r="AQ68" s="1"/>
      <c r="AR68" s="1"/>
    </row>
    <row r="69" customFormat="false" ht="13.8" hidden="false" customHeight="false" outlineLevel="0" collapsed="false">
      <c r="A69" s="1" t="s">
        <v>137</v>
      </c>
      <c r="B69" s="1" t="n">
        <v>424</v>
      </c>
      <c r="C69" s="1" t="s">
        <v>122</v>
      </c>
      <c r="D69" s="1" t="s">
        <v>42</v>
      </c>
      <c r="E69" s="1" t="s">
        <v>123</v>
      </c>
      <c r="G69" s="1" t="n">
        <v>1</v>
      </c>
      <c r="H69" s="1" t="n">
        <v>15</v>
      </c>
      <c r="I69" s="8" t="n">
        <v>15810977</v>
      </c>
      <c r="J69" s="1" t="n">
        <v>2</v>
      </c>
      <c r="K69" s="1" t="s">
        <v>44</v>
      </c>
      <c r="L69" s="1" t="n">
        <v>2</v>
      </c>
      <c r="O69" s="1" t="n">
        <v>1</v>
      </c>
      <c r="P69" s="1" t="n">
        <f aca="false">SUM(M69:O69)</f>
        <v>1</v>
      </c>
      <c r="W69" s="1" t="n">
        <f aca="false">SUM(Q69:V69)</f>
        <v>0</v>
      </c>
      <c r="AF69" s="9" t="n">
        <f aca="false">SUM(Z69:AE69)</f>
        <v>0</v>
      </c>
      <c r="AG69" s="10"/>
      <c r="AH69" s="11"/>
      <c r="AI69" s="11"/>
      <c r="AJ69" s="11"/>
      <c r="AK69" s="11"/>
      <c r="AL69" s="11"/>
      <c r="AM69" s="11"/>
      <c r="AN69" s="11" t="n">
        <f aca="false">SUM(AH69:AM69)</f>
        <v>0</v>
      </c>
      <c r="AO69" s="1"/>
      <c r="AP69" s="1"/>
      <c r="AQ69" s="1"/>
      <c r="AR69" s="1"/>
    </row>
    <row r="70" customFormat="false" ht="13.8" hidden="false" customHeight="false" outlineLevel="0" collapsed="false">
      <c r="A70" s="1" t="s">
        <v>138</v>
      </c>
      <c r="B70" s="1" t="n">
        <v>423</v>
      </c>
      <c r="C70" s="1" t="s">
        <v>122</v>
      </c>
      <c r="D70" s="1" t="s">
        <v>42</v>
      </c>
      <c r="E70" s="1" t="s">
        <v>123</v>
      </c>
      <c r="F70" s="1" t="n">
        <v>1</v>
      </c>
      <c r="G70" s="1" t="n">
        <v>1</v>
      </c>
      <c r="H70" s="1" t="n">
        <v>23</v>
      </c>
      <c r="I70" s="8" t="n">
        <v>29183080</v>
      </c>
      <c r="J70" s="1" t="n">
        <v>3</v>
      </c>
      <c r="K70" s="1" t="s">
        <v>44</v>
      </c>
      <c r="L70" s="1" t="n">
        <v>2</v>
      </c>
      <c r="O70" s="1" t="n">
        <v>1</v>
      </c>
      <c r="P70" s="1" t="n">
        <f aca="false">SUM(M70:O70)</f>
        <v>1</v>
      </c>
      <c r="S70" s="1" t="n">
        <v>19</v>
      </c>
      <c r="W70" s="1" t="n">
        <f aca="false">SUM(Q70:V70)</f>
        <v>19</v>
      </c>
      <c r="X70" s="1" t="n">
        <v>1</v>
      </c>
      <c r="Y70" s="1" t="n">
        <v>4</v>
      </c>
      <c r="AB70" s="9" t="n">
        <f aca="false">(S70)*(1+(J70)*0.2)</f>
        <v>30.4</v>
      </c>
      <c r="AD70" s="9"/>
      <c r="AF70" s="9" t="n">
        <f aca="false">SUM(Z70:AE70)</f>
        <v>30.4</v>
      </c>
      <c r="AG70" s="10" t="s">
        <v>47</v>
      </c>
      <c r="AH70" s="11"/>
      <c r="AI70" s="11"/>
      <c r="AJ70" s="11" t="n">
        <f aca="false">IF(AG70="yes",AB70*1.2,AB70)</f>
        <v>36.48</v>
      </c>
      <c r="AK70" s="11"/>
      <c r="AL70" s="11"/>
      <c r="AM70" s="11"/>
      <c r="AN70" s="11" t="n">
        <f aca="false">SUM(AH70:AM70)</f>
        <v>36.48</v>
      </c>
      <c r="AO70" s="1"/>
      <c r="AP70" s="1"/>
      <c r="AQ70" s="1"/>
      <c r="AR70" s="1"/>
    </row>
    <row r="71" customFormat="false" ht="13.8" hidden="false" customHeight="false" outlineLevel="0" collapsed="false">
      <c r="A71" s="1" t="s">
        <v>139</v>
      </c>
      <c r="B71" s="1" t="n">
        <v>640</v>
      </c>
      <c r="C71" s="1" t="s">
        <v>122</v>
      </c>
      <c r="D71" s="1" t="s">
        <v>73</v>
      </c>
      <c r="E71" s="1" t="s">
        <v>123</v>
      </c>
      <c r="F71" s="1" t="n">
        <v>2</v>
      </c>
      <c r="G71" s="1" t="n">
        <v>1</v>
      </c>
      <c r="H71" s="1" t="n">
        <v>34</v>
      </c>
      <c r="I71" s="8" t="n">
        <v>3949415</v>
      </c>
      <c r="J71" s="1" t="n">
        <v>2</v>
      </c>
      <c r="K71" s="1" t="s">
        <v>46</v>
      </c>
      <c r="L71" s="1" t="n">
        <v>4</v>
      </c>
      <c r="P71" s="1" t="n">
        <f aca="false">SUM(M71:O71)</f>
        <v>0</v>
      </c>
      <c r="T71" s="1" t="n">
        <v>120</v>
      </c>
      <c r="W71" s="1" t="n">
        <f aca="false">SUM(Q71:V71)</f>
        <v>120</v>
      </c>
      <c r="X71" s="1" t="n">
        <v>1</v>
      </c>
      <c r="AC71" s="9" t="n">
        <f aca="false">(T71)*(1+(J71)*0.2)</f>
        <v>168</v>
      </c>
      <c r="AF71" s="9" t="n">
        <f aca="false">SUM(Z71:AE71)</f>
        <v>168</v>
      </c>
      <c r="AG71" s="10" t="s">
        <v>47</v>
      </c>
      <c r="AH71" s="11"/>
      <c r="AI71" s="11"/>
      <c r="AJ71" s="11"/>
      <c r="AK71" s="11" t="n">
        <f aca="false">IF(AG71="yes",AC71*1.2,AC71)</f>
        <v>201.6</v>
      </c>
      <c r="AL71" s="11"/>
      <c r="AM71" s="11"/>
      <c r="AN71" s="11" t="n">
        <f aca="false">SUM(AH71:AM71)</f>
        <v>201.6</v>
      </c>
      <c r="AO71" s="1"/>
      <c r="AP71" s="1"/>
      <c r="AQ71" s="1"/>
      <c r="AR71" s="1"/>
    </row>
    <row r="72" customFormat="false" ht="13.8" hidden="false" customHeight="false" outlineLevel="0" collapsed="false">
      <c r="A72" s="1" t="s">
        <v>140</v>
      </c>
      <c r="B72" s="1" t="n">
        <v>425</v>
      </c>
      <c r="C72" s="1" t="s">
        <v>122</v>
      </c>
      <c r="D72" s="1" t="s">
        <v>42</v>
      </c>
      <c r="E72" s="1" t="s">
        <v>123</v>
      </c>
      <c r="F72" s="1" t="n">
        <v>1</v>
      </c>
      <c r="G72" s="1" t="n">
        <v>1</v>
      </c>
      <c r="H72" s="1" t="n">
        <v>23</v>
      </c>
      <c r="I72" s="8" t="n">
        <v>12363273</v>
      </c>
      <c r="J72" s="1" t="n">
        <v>2</v>
      </c>
      <c r="K72" s="1" t="s">
        <v>44</v>
      </c>
      <c r="L72" s="1" t="n">
        <v>2</v>
      </c>
      <c r="O72" s="1" t="n">
        <v>1</v>
      </c>
      <c r="P72" s="1" t="n">
        <f aca="false">SUM(M72:O72)</f>
        <v>1</v>
      </c>
      <c r="V72" s="1" t="n">
        <v>10</v>
      </c>
      <c r="W72" s="1" t="n">
        <f aca="false">SUM(Q72:V72)</f>
        <v>10</v>
      </c>
      <c r="AD72" s="9"/>
      <c r="AE72" s="9" t="n">
        <f aca="false">(V72)*(1+(J72)*0.2)</f>
        <v>14</v>
      </c>
      <c r="AF72" s="9" t="n">
        <f aca="false">SUM(Z72:AE72)</f>
        <v>14</v>
      </c>
      <c r="AG72" s="10" t="s">
        <v>47</v>
      </c>
      <c r="AH72" s="11"/>
      <c r="AI72" s="11"/>
      <c r="AJ72" s="11"/>
      <c r="AK72" s="11"/>
      <c r="AL72" s="11"/>
      <c r="AM72" s="11" t="n">
        <f aca="false">IF(AG72="yes",AE72*1.2,AE72)</f>
        <v>16.8</v>
      </c>
      <c r="AN72" s="11" t="n">
        <f aca="false">SUM(AH72:AM72)</f>
        <v>16.8</v>
      </c>
      <c r="AO72" s="1"/>
      <c r="AP72" s="1"/>
      <c r="AQ72" s="1"/>
      <c r="AR72" s="1"/>
    </row>
    <row r="73" customFormat="false" ht="13.8" hidden="false" customHeight="false" outlineLevel="0" collapsed="false">
      <c r="A73" s="1" t="s">
        <v>141</v>
      </c>
      <c r="B73" s="1" t="n">
        <v>787</v>
      </c>
      <c r="C73" s="1" t="s">
        <v>122</v>
      </c>
      <c r="D73" s="1" t="s">
        <v>42</v>
      </c>
      <c r="E73" s="1" t="s">
        <v>123</v>
      </c>
      <c r="F73" s="1" t="n">
        <v>1</v>
      </c>
      <c r="G73" s="1" t="n">
        <v>1</v>
      </c>
      <c r="H73" s="1" t="n">
        <v>4</v>
      </c>
      <c r="I73" s="8" t="n">
        <v>1417528</v>
      </c>
      <c r="J73" s="1" t="n">
        <v>1</v>
      </c>
      <c r="K73" s="1" t="s">
        <v>44</v>
      </c>
      <c r="L73" s="1" t="n">
        <v>2</v>
      </c>
      <c r="P73" s="1" t="n">
        <f aca="false">SUM(M73:O73)</f>
        <v>0</v>
      </c>
      <c r="W73" s="1" t="n">
        <f aca="false">SUM(Q73:V73)</f>
        <v>0</v>
      </c>
      <c r="AF73" s="9" t="n">
        <f aca="false">SUM(Z73:AE73)</f>
        <v>0</v>
      </c>
      <c r="AG73" s="10"/>
      <c r="AH73" s="11"/>
      <c r="AI73" s="11"/>
      <c r="AJ73" s="11"/>
      <c r="AK73" s="11"/>
      <c r="AL73" s="11"/>
      <c r="AM73" s="11"/>
      <c r="AN73" s="11" t="n">
        <f aca="false">SUM(AH73:AM73)</f>
        <v>0</v>
      </c>
      <c r="AO73" s="1"/>
      <c r="AP73" s="1"/>
      <c r="AQ73" s="1"/>
      <c r="AR73" s="1"/>
    </row>
    <row r="74" customFormat="false" ht="13.8" hidden="false" customHeight="false" outlineLevel="0" collapsed="false">
      <c r="A74" s="1" t="s">
        <v>142</v>
      </c>
      <c r="B74" s="1" t="n">
        <v>426</v>
      </c>
      <c r="C74" s="1" t="s">
        <v>122</v>
      </c>
      <c r="D74" s="1" t="s">
        <v>42</v>
      </c>
      <c r="E74" s="1" t="s">
        <v>123</v>
      </c>
      <c r="G74" s="1" t="n">
        <v>1</v>
      </c>
      <c r="H74" s="1" t="n">
        <v>27</v>
      </c>
      <c r="I74" s="8" t="n">
        <v>14537825</v>
      </c>
      <c r="J74" s="1" t="n">
        <v>2</v>
      </c>
      <c r="K74" s="1" t="s">
        <v>44</v>
      </c>
      <c r="L74" s="1" t="n">
        <v>2</v>
      </c>
      <c r="M74" s="1" t="n">
        <v>1</v>
      </c>
      <c r="P74" s="1" t="n">
        <f aca="false">SUM(M74:O74)</f>
        <v>1</v>
      </c>
      <c r="R74" s="1" t="n">
        <v>1</v>
      </c>
      <c r="U74" s="1" t="n">
        <v>25</v>
      </c>
      <c r="V74" s="1" t="n">
        <v>20</v>
      </c>
      <c r="W74" s="1" t="n">
        <f aca="false">SUM(Q74:V74)</f>
        <v>46</v>
      </c>
      <c r="AA74" s="9" t="n">
        <f aca="false">(R74)*(1+(J74)*0.2)</f>
        <v>1.4</v>
      </c>
      <c r="AD74" s="9" t="n">
        <f aca="false">(U74)*(1+(J74)*0.2)</f>
        <v>35</v>
      </c>
      <c r="AE74" s="9" t="n">
        <f aca="false">(V74)*(1+(J74)*0.2)</f>
        <v>28</v>
      </c>
      <c r="AF74" s="9" t="n">
        <f aca="false">SUM(Z74:AE74)</f>
        <v>64.4</v>
      </c>
      <c r="AG74" s="10" t="s">
        <v>47</v>
      </c>
      <c r="AH74" s="11"/>
      <c r="AI74" s="11" t="n">
        <f aca="false">IF(AG74="yes",AA74*1.2,AA74)</f>
        <v>1.68</v>
      </c>
      <c r="AJ74" s="11"/>
      <c r="AK74" s="11"/>
      <c r="AL74" s="11" t="n">
        <f aca="false">IF(AG74="yes",AD74*1.2,AD74)</f>
        <v>42</v>
      </c>
      <c r="AM74" s="11" t="n">
        <f aca="false">IF(AG74="yes",AE74*1.2,AE74)</f>
        <v>33.6</v>
      </c>
      <c r="AN74" s="11" t="n">
        <f aca="false">SUM(AH74:AM74)</f>
        <v>77.28</v>
      </c>
      <c r="AO74" s="1"/>
      <c r="AP74" s="1"/>
      <c r="AQ74" s="1"/>
      <c r="AR74" s="1"/>
    </row>
    <row r="75" customFormat="false" ht="13.8" hidden="false" customHeight="false" outlineLevel="0" collapsed="false">
      <c r="A75" s="1" t="s">
        <v>143</v>
      </c>
      <c r="B75" s="1" t="n">
        <v>442</v>
      </c>
      <c r="C75" s="1" t="s">
        <v>122</v>
      </c>
      <c r="D75" s="1" t="s">
        <v>73</v>
      </c>
      <c r="E75" s="1" t="s">
        <v>123</v>
      </c>
      <c r="F75" s="1" t="n">
        <v>3</v>
      </c>
      <c r="G75" s="1" t="n">
        <v>1</v>
      </c>
      <c r="H75" s="1" t="n">
        <v>5</v>
      </c>
      <c r="I75" s="8" t="n">
        <v>4690118</v>
      </c>
      <c r="J75" s="1" t="n">
        <v>2</v>
      </c>
      <c r="K75" s="1" t="s">
        <v>44</v>
      </c>
      <c r="L75" s="1" t="n">
        <v>2</v>
      </c>
      <c r="P75" s="1" t="n">
        <f aca="false">SUM(M75:O75)</f>
        <v>0</v>
      </c>
      <c r="W75" s="1" t="n">
        <f aca="false">SUM(Q75:V75)</f>
        <v>0</v>
      </c>
      <c r="X75" s="1" t="n">
        <v>3</v>
      </c>
      <c r="AA75" s="9"/>
      <c r="AF75" s="9" t="n">
        <f aca="false">SUM(Z75:AE75)</f>
        <v>0</v>
      </c>
      <c r="AG75" s="10"/>
      <c r="AH75" s="11"/>
      <c r="AI75" s="11"/>
      <c r="AJ75" s="11"/>
      <c r="AK75" s="11"/>
      <c r="AL75" s="11"/>
      <c r="AM75" s="11"/>
      <c r="AN75" s="11" t="n">
        <f aca="false">SUM(AH75:AM75)</f>
        <v>0</v>
      </c>
      <c r="AO75" s="1"/>
      <c r="AP75" s="1"/>
      <c r="AQ75" s="1"/>
      <c r="AR75" s="1"/>
    </row>
    <row r="76" customFormat="false" ht="13.8" hidden="false" customHeight="false" outlineLevel="0" collapsed="false">
      <c r="A76" s="1" t="s">
        <v>144</v>
      </c>
      <c r="B76" s="1" t="n">
        <v>440</v>
      </c>
      <c r="C76" s="1" t="s">
        <v>122</v>
      </c>
      <c r="D76" s="1" t="s">
        <v>73</v>
      </c>
      <c r="E76" s="1" t="s">
        <v>123</v>
      </c>
      <c r="F76" s="1" t="n">
        <v>5</v>
      </c>
      <c r="G76" s="1" t="n">
        <v>1</v>
      </c>
      <c r="H76" s="1" t="n">
        <v>15</v>
      </c>
      <c r="I76" s="8" t="n">
        <v>13681681</v>
      </c>
      <c r="J76" s="1" t="n">
        <v>3</v>
      </c>
      <c r="K76" s="1" t="s">
        <v>46</v>
      </c>
      <c r="L76" s="1" t="n">
        <v>4</v>
      </c>
      <c r="P76" s="1" t="n">
        <f aca="false">SUM(M76:O76)</f>
        <v>0</v>
      </c>
      <c r="W76" s="1" t="n">
        <f aca="false">SUM(Q76:V76)</f>
        <v>0</v>
      </c>
      <c r="AC76" s="9"/>
      <c r="AF76" s="9" t="n">
        <f aca="false">SUM(Z76:AE76)</f>
        <v>0</v>
      </c>
      <c r="AG76" s="10"/>
      <c r="AH76" s="11"/>
      <c r="AI76" s="11"/>
      <c r="AJ76" s="11"/>
      <c r="AK76" s="11"/>
      <c r="AL76" s="11"/>
      <c r="AM76" s="11"/>
      <c r="AN76" s="11" t="n">
        <f aca="false">SUM(AH76:AM76)</f>
        <v>0</v>
      </c>
      <c r="AO76" s="1"/>
      <c r="AP76" s="1"/>
      <c r="AQ76" s="1"/>
      <c r="AR76" s="1"/>
    </row>
    <row r="77" customFormat="false" ht="13.8" hidden="false" customHeight="false" outlineLevel="0" collapsed="false">
      <c r="A77" s="1" t="s">
        <v>145</v>
      </c>
      <c r="B77" s="1" t="n">
        <v>445</v>
      </c>
      <c r="C77" s="1" t="s">
        <v>122</v>
      </c>
      <c r="D77" s="1" t="s">
        <v>73</v>
      </c>
      <c r="E77" s="1" t="s">
        <v>123</v>
      </c>
      <c r="F77" s="1" t="n">
        <v>1</v>
      </c>
      <c r="G77" s="1" t="n">
        <v>1</v>
      </c>
      <c r="H77" s="1" t="n">
        <v>9</v>
      </c>
      <c r="I77" s="8" t="n">
        <v>405595</v>
      </c>
      <c r="J77" s="1" t="n">
        <v>2</v>
      </c>
      <c r="K77" s="1" t="s">
        <v>76</v>
      </c>
      <c r="L77" s="1" t="n">
        <v>0</v>
      </c>
      <c r="P77" s="1" t="n">
        <f aca="false">SUM(M77:O77)</f>
        <v>0</v>
      </c>
      <c r="W77" s="1" t="n">
        <f aca="false">SUM(Q77:V77)</f>
        <v>0</v>
      </c>
      <c r="X77" s="1" t="n">
        <v>4</v>
      </c>
      <c r="AF77" s="9" t="n">
        <f aca="false">SUM(Z77:AE77)</f>
        <v>0</v>
      </c>
      <c r="AG77" s="10"/>
      <c r="AH77" s="11"/>
      <c r="AI77" s="11"/>
      <c r="AJ77" s="11"/>
      <c r="AK77" s="11"/>
      <c r="AL77" s="11"/>
      <c r="AM77" s="11"/>
      <c r="AN77" s="11" t="n">
        <f aca="false">SUM(AH77:AM77)</f>
        <v>0</v>
      </c>
      <c r="AO77" s="1"/>
      <c r="AP77" s="1"/>
      <c r="AQ77" s="1"/>
      <c r="AR77" s="1"/>
    </row>
    <row r="78" customFormat="false" ht="13.8" hidden="false" customHeight="false" outlineLevel="0" collapsed="false">
      <c r="A78" s="1" t="s">
        <v>146</v>
      </c>
      <c r="B78" s="1" t="n">
        <v>433</v>
      </c>
      <c r="C78" s="1" t="s">
        <v>122</v>
      </c>
      <c r="D78" s="1" t="s">
        <v>42</v>
      </c>
      <c r="E78" s="1" t="s">
        <v>123</v>
      </c>
      <c r="F78" s="1" t="n">
        <v>1</v>
      </c>
      <c r="G78" s="1" t="n">
        <v>1</v>
      </c>
      <c r="H78" s="1" t="n">
        <v>18</v>
      </c>
      <c r="I78" s="8" t="n">
        <v>11800387</v>
      </c>
      <c r="J78" s="1" t="n">
        <v>2</v>
      </c>
      <c r="K78" s="1" t="s">
        <v>46</v>
      </c>
      <c r="L78" s="1" t="n">
        <v>4</v>
      </c>
      <c r="O78" s="1" t="n">
        <v>1</v>
      </c>
      <c r="P78" s="1" t="n">
        <f aca="false">SUM(M78:O78)</f>
        <v>1</v>
      </c>
      <c r="W78" s="1" t="n">
        <f aca="false">SUM(Q78:V78)</f>
        <v>0</v>
      </c>
      <c r="AF78" s="9" t="n">
        <f aca="false">SUM(Z78:AE78)</f>
        <v>0</v>
      </c>
      <c r="AG78" s="10"/>
      <c r="AH78" s="11"/>
      <c r="AI78" s="11"/>
      <c r="AJ78" s="11"/>
      <c r="AK78" s="11"/>
      <c r="AL78" s="11"/>
      <c r="AM78" s="11"/>
      <c r="AN78" s="11" t="n">
        <f aca="false">SUM(AH78:AM78)</f>
        <v>0</v>
      </c>
      <c r="AO78" s="1"/>
      <c r="AP78" s="1"/>
      <c r="AQ78" s="1"/>
      <c r="AR78" s="1"/>
    </row>
    <row r="79" customFormat="false" ht="13.8" hidden="false" customHeight="false" outlineLevel="0" collapsed="false">
      <c r="A79" s="1" t="s">
        <v>147</v>
      </c>
      <c r="B79" s="1" t="n">
        <v>443</v>
      </c>
      <c r="C79" s="1" t="s">
        <v>122</v>
      </c>
      <c r="D79" s="1" t="s">
        <v>73</v>
      </c>
      <c r="E79" s="1" t="s">
        <v>123</v>
      </c>
      <c r="F79" s="1" t="n">
        <v>3</v>
      </c>
      <c r="G79" s="1" t="n">
        <v>1</v>
      </c>
      <c r="H79" s="1" t="n">
        <v>11</v>
      </c>
      <c r="I79" s="8" t="n">
        <v>3891745</v>
      </c>
      <c r="J79" s="1" t="n">
        <v>3</v>
      </c>
      <c r="K79" s="1" t="s">
        <v>44</v>
      </c>
      <c r="L79" s="1" t="n">
        <v>2</v>
      </c>
      <c r="O79" s="1" t="n">
        <v>1</v>
      </c>
      <c r="P79" s="1" t="n">
        <f aca="false">SUM(M79:O79)</f>
        <v>1</v>
      </c>
      <c r="W79" s="1" t="n">
        <f aca="false">SUM(Q79:V79)</f>
        <v>0</v>
      </c>
      <c r="Y79" s="1" t="n">
        <v>4</v>
      </c>
      <c r="AB79" s="9"/>
      <c r="AF79" s="9" t="n">
        <f aca="false">SUM(Z79:AE79)</f>
        <v>0</v>
      </c>
      <c r="AG79" s="10"/>
      <c r="AH79" s="11"/>
      <c r="AI79" s="11"/>
      <c r="AJ79" s="11"/>
      <c r="AK79" s="11"/>
      <c r="AL79" s="11"/>
      <c r="AM79" s="11"/>
      <c r="AN79" s="11" t="n">
        <f aca="false">SUM(AH79:AM79)</f>
        <v>0</v>
      </c>
      <c r="AO79" s="1"/>
      <c r="AP79" s="1"/>
      <c r="AQ79" s="1"/>
      <c r="AR79" s="1"/>
    </row>
    <row r="80" customFormat="false" ht="13.8" hidden="false" customHeight="false" outlineLevel="0" collapsed="false">
      <c r="A80" s="1" t="s">
        <v>148</v>
      </c>
      <c r="B80" s="1" t="n">
        <v>431</v>
      </c>
      <c r="C80" s="1" t="s">
        <v>122</v>
      </c>
      <c r="D80" s="1" t="s">
        <v>42</v>
      </c>
      <c r="E80" s="1" t="s">
        <v>123</v>
      </c>
      <c r="F80" s="1" t="n">
        <v>5</v>
      </c>
      <c r="G80" s="1" t="n">
        <v>1</v>
      </c>
      <c r="H80" s="1" t="n">
        <v>16</v>
      </c>
      <c r="I80" s="8" t="n">
        <v>18801022</v>
      </c>
      <c r="J80" s="1" t="n">
        <v>3</v>
      </c>
      <c r="K80" s="1" t="s">
        <v>96</v>
      </c>
      <c r="L80" s="1" t="n">
        <v>6</v>
      </c>
      <c r="N80" s="1" t="n">
        <v>1</v>
      </c>
      <c r="O80" s="1" t="n">
        <v>1</v>
      </c>
      <c r="P80" s="1" t="n">
        <f aca="false">SUM(M80:O80)</f>
        <v>2</v>
      </c>
      <c r="U80" s="1" t="n">
        <v>13</v>
      </c>
      <c r="W80" s="1" t="n">
        <f aca="false">SUM(Q80:V80)</f>
        <v>13</v>
      </c>
      <c r="X80" s="1" t="n">
        <v>2</v>
      </c>
      <c r="Y80" s="1" t="n">
        <v>6</v>
      </c>
      <c r="AD80" s="9" t="n">
        <f aca="false">(U80)*(1+(J80)*0.2)</f>
        <v>20.8</v>
      </c>
      <c r="AF80" s="9" t="n">
        <f aca="false">SUM(Z80:AE80)</f>
        <v>20.8</v>
      </c>
      <c r="AG80" s="10" t="s">
        <v>47</v>
      </c>
      <c r="AH80" s="11"/>
      <c r="AI80" s="11"/>
      <c r="AJ80" s="11"/>
      <c r="AK80" s="11"/>
      <c r="AL80" s="11" t="n">
        <f aca="false">IF(AG80="yes",AD80*1.2,AD80)</f>
        <v>24.96</v>
      </c>
      <c r="AM80" s="11"/>
      <c r="AN80" s="11" t="n">
        <f aca="false">SUM(AH80:AM80)</f>
        <v>24.96</v>
      </c>
      <c r="AO80" s="1"/>
      <c r="AP80" s="1"/>
      <c r="AQ80" s="1"/>
      <c r="AR80" s="1"/>
    </row>
    <row r="81" customFormat="false" ht="13.8" hidden="false" customHeight="false" outlineLevel="0" collapsed="false">
      <c r="A81" s="1" t="s">
        <v>149</v>
      </c>
      <c r="B81" s="1" t="n">
        <v>211</v>
      </c>
      <c r="C81" s="1" t="s">
        <v>150</v>
      </c>
      <c r="D81" s="1" t="s">
        <v>42</v>
      </c>
      <c r="E81" s="1" t="s">
        <v>151</v>
      </c>
      <c r="F81" s="1" t="n">
        <v>13</v>
      </c>
      <c r="G81" s="1" t="n">
        <v>1</v>
      </c>
      <c r="H81" s="1" t="n">
        <v>7</v>
      </c>
      <c r="I81" s="8" t="n">
        <v>1360052</v>
      </c>
      <c r="J81" s="1" t="n">
        <v>2</v>
      </c>
      <c r="K81" s="1" t="s">
        <v>46</v>
      </c>
      <c r="L81" s="1" t="n">
        <v>4</v>
      </c>
      <c r="O81" s="1" t="n">
        <v>2</v>
      </c>
      <c r="P81" s="1" t="n">
        <f aca="false">SUM(M81:O81)</f>
        <v>2</v>
      </c>
      <c r="W81" s="1" t="n">
        <f aca="false">SUM(Q81:V81)</f>
        <v>0</v>
      </c>
      <c r="Y81" s="1" t="n">
        <v>4</v>
      </c>
      <c r="AF81" s="9" t="n">
        <f aca="false">SUM(Z81:AE81)</f>
        <v>0</v>
      </c>
      <c r="AG81" s="10"/>
      <c r="AH81" s="11"/>
      <c r="AI81" s="11"/>
      <c r="AJ81" s="11"/>
      <c r="AK81" s="11"/>
      <c r="AL81" s="11"/>
      <c r="AM81" s="11"/>
      <c r="AN81" s="11" t="n">
        <f aca="false">SUM(AH81:AM81)</f>
        <v>0</v>
      </c>
      <c r="AO81" s="1"/>
      <c r="AP81" s="1"/>
      <c r="AQ81" s="1"/>
      <c r="AR81" s="1"/>
    </row>
    <row r="82" customFormat="false" ht="13.8" hidden="false" customHeight="false" outlineLevel="0" collapsed="false">
      <c r="A82" s="1" t="s">
        <v>152</v>
      </c>
      <c r="B82" s="1" t="n">
        <v>801</v>
      </c>
      <c r="C82" s="1" t="s">
        <v>150</v>
      </c>
      <c r="D82" s="1" t="s">
        <v>42</v>
      </c>
      <c r="E82" s="1" t="s">
        <v>151</v>
      </c>
      <c r="F82" s="1" t="n">
        <v>6</v>
      </c>
      <c r="G82" s="1" t="n">
        <v>1</v>
      </c>
      <c r="H82" s="1" t="n">
        <v>6</v>
      </c>
      <c r="I82" s="8" t="n">
        <v>1220268</v>
      </c>
      <c r="J82" s="1" t="n">
        <v>2</v>
      </c>
      <c r="K82" s="1" t="s">
        <v>44</v>
      </c>
      <c r="L82" s="1" t="n">
        <v>2</v>
      </c>
      <c r="O82" s="1" t="n">
        <v>1</v>
      </c>
      <c r="P82" s="1" t="n">
        <f aca="false">SUM(M82:O82)</f>
        <v>1</v>
      </c>
      <c r="W82" s="1" t="n">
        <f aca="false">SUM(Q82:V82)</f>
        <v>0</v>
      </c>
      <c r="AF82" s="9" t="n">
        <f aca="false">SUM(Z82:AE82)</f>
        <v>0</v>
      </c>
      <c r="AG82" s="10"/>
      <c r="AH82" s="11"/>
      <c r="AI82" s="11"/>
      <c r="AJ82" s="11"/>
      <c r="AK82" s="11"/>
      <c r="AL82" s="11"/>
      <c r="AM82" s="11"/>
      <c r="AN82" s="11" t="n">
        <f aca="false">SUM(AH82:AM82)</f>
        <v>0</v>
      </c>
      <c r="AO82" s="1"/>
      <c r="AP82" s="1"/>
      <c r="AQ82" s="1"/>
      <c r="AR82" s="1"/>
    </row>
    <row r="83" customFormat="false" ht="13.8" hidden="false" customHeight="false" outlineLevel="0" collapsed="false">
      <c r="A83" s="1" t="s">
        <v>153</v>
      </c>
      <c r="B83" s="1" t="n">
        <v>212</v>
      </c>
      <c r="C83" s="1" t="s">
        <v>150</v>
      </c>
      <c r="D83" s="1" t="s">
        <v>42</v>
      </c>
      <c r="E83" s="1" t="s">
        <v>151</v>
      </c>
      <c r="F83" s="1" t="n">
        <v>14</v>
      </c>
      <c r="G83" s="1" t="n">
        <v>1</v>
      </c>
      <c r="H83" s="1" t="n">
        <v>11</v>
      </c>
      <c r="I83" s="8" t="n">
        <v>1817151</v>
      </c>
      <c r="J83" s="1" t="n">
        <v>2</v>
      </c>
      <c r="K83" s="1" t="s">
        <v>120</v>
      </c>
      <c r="L83" s="1" t="n">
        <v>5</v>
      </c>
      <c r="M83" s="1" t="n">
        <v>3</v>
      </c>
      <c r="O83" s="1" t="n">
        <v>2</v>
      </c>
      <c r="P83" s="1" t="n">
        <f aca="false">SUM(M83:O83)</f>
        <v>5</v>
      </c>
      <c r="V83" s="1" t="n">
        <v>1</v>
      </c>
      <c r="W83" s="1" t="n">
        <f aca="false">SUM(Q83:V83)</f>
        <v>1</v>
      </c>
      <c r="X83" s="1" t="n">
        <v>2</v>
      </c>
      <c r="AE83" s="9" t="n">
        <f aca="false">(V83)*(1+(J83)*0.2)</f>
        <v>1.4</v>
      </c>
      <c r="AF83" s="9" t="n">
        <f aca="false">SUM(Z83:AE83)</f>
        <v>1.4</v>
      </c>
      <c r="AG83" s="10" t="s">
        <v>47</v>
      </c>
      <c r="AH83" s="11"/>
      <c r="AI83" s="11"/>
      <c r="AJ83" s="11"/>
      <c r="AK83" s="11"/>
      <c r="AL83" s="11"/>
      <c r="AM83" s="11" t="n">
        <f aca="false">IF(AG83="yes",AE83*1.2,AE83)</f>
        <v>1.68</v>
      </c>
      <c r="AN83" s="11" t="n">
        <f aca="false">SUM(AH83:AM83)</f>
        <v>1.68</v>
      </c>
      <c r="AO83" s="1"/>
      <c r="AP83" s="1"/>
      <c r="AQ83" s="1"/>
      <c r="AR83" s="1"/>
    </row>
    <row r="84" customFormat="false" ht="13.8" hidden="false" customHeight="false" outlineLevel="0" collapsed="false">
      <c r="A84" s="1" t="s">
        <v>154</v>
      </c>
      <c r="B84" s="1" t="n">
        <v>48</v>
      </c>
      <c r="C84" s="1" t="s">
        <v>150</v>
      </c>
      <c r="D84" s="1" t="s">
        <v>42</v>
      </c>
      <c r="E84" s="1" t="s">
        <v>151</v>
      </c>
      <c r="F84" s="1" t="n">
        <v>16</v>
      </c>
      <c r="G84" s="1" t="n">
        <v>1</v>
      </c>
      <c r="H84" s="1" t="n">
        <v>8</v>
      </c>
      <c r="I84" s="8" t="n">
        <v>1688047</v>
      </c>
      <c r="J84" s="1" t="n">
        <v>3</v>
      </c>
      <c r="K84" s="1" t="s">
        <v>96</v>
      </c>
      <c r="L84" s="1" t="n">
        <v>6</v>
      </c>
      <c r="O84" s="1" t="n">
        <v>6</v>
      </c>
      <c r="P84" s="1" t="n">
        <f aca="false">SUM(M84:O84)</f>
        <v>6</v>
      </c>
      <c r="R84" s="1" t="n">
        <v>2</v>
      </c>
      <c r="W84" s="1" t="n">
        <f aca="false">SUM(Q84:V84)</f>
        <v>2</v>
      </c>
      <c r="X84" s="1" t="n">
        <v>3</v>
      </c>
      <c r="Z84" s="12"/>
      <c r="AA84" s="9" t="n">
        <f aca="false">(R84)*(1+(J84)*0.2)</f>
        <v>3.2</v>
      </c>
      <c r="AF84" s="9" t="n">
        <f aca="false">SUM(Z84:AE84)</f>
        <v>3.2</v>
      </c>
      <c r="AG84" s="10" t="s">
        <v>47</v>
      </c>
      <c r="AH84" s="11"/>
      <c r="AI84" s="11" t="n">
        <f aca="false">IF(AG84="yes",AA84*1.2,AA84)</f>
        <v>3.84</v>
      </c>
      <c r="AJ84" s="11"/>
      <c r="AK84" s="11"/>
      <c r="AL84" s="11"/>
      <c r="AM84" s="11"/>
      <c r="AN84" s="11" t="n">
        <f aca="false">SUM(AH84:AM84)</f>
        <v>3.84</v>
      </c>
      <c r="AO84" s="1"/>
      <c r="AP84" s="1"/>
      <c r="AQ84" s="1"/>
      <c r="AR84" s="1"/>
    </row>
    <row r="85" customFormat="false" ht="13.8" hidden="false" customHeight="false" outlineLevel="0" collapsed="false">
      <c r="A85" s="1" t="s">
        <v>155</v>
      </c>
      <c r="B85" s="1" t="n">
        <v>506</v>
      </c>
      <c r="C85" s="1" t="s">
        <v>156</v>
      </c>
      <c r="D85" s="1" t="s">
        <v>42</v>
      </c>
      <c r="E85" s="1" t="s">
        <v>157</v>
      </c>
      <c r="F85" s="13" t="n">
        <v>10</v>
      </c>
      <c r="G85" s="1" t="n">
        <v>1</v>
      </c>
      <c r="H85" s="13" t="n">
        <v>6</v>
      </c>
      <c r="I85" s="16" t="n">
        <v>424122</v>
      </c>
      <c r="J85" s="13" t="n">
        <v>3</v>
      </c>
      <c r="K85" s="13" t="s">
        <v>46</v>
      </c>
      <c r="L85" s="13" t="n">
        <v>4</v>
      </c>
      <c r="N85" s="13" t="n">
        <v>1</v>
      </c>
      <c r="O85" s="1" t="n">
        <v>2</v>
      </c>
      <c r="P85" s="13" t="n">
        <f aca="false">SUM(M85:O85)</f>
        <v>3</v>
      </c>
      <c r="T85" s="13" t="n">
        <v>42</v>
      </c>
      <c r="W85" s="13" t="n">
        <f aca="false">SUM(Q85:V85)</f>
        <v>42</v>
      </c>
      <c r="X85" s="1" t="n">
        <v>1</v>
      </c>
      <c r="Y85" s="13" t="n">
        <v>1</v>
      </c>
      <c r="AC85" s="14" t="n">
        <f aca="false">(T85)*(1+(J85)*0.2)</f>
        <v>67.2</v>
      </c>
      <c r="AF85" s="14" t="n">
        <f aca="false">SUM(Z85:AE85)</f>
        <v>67.2</v>
      </c>
      <c r="AG85" s="17" t="s">
        <v>47</v>
      </c>
      <c r="AH85" s="11"/>
      <c r="AI85" s="11"/>
      <c r="AJ85" s="11"/>
      <c r="AK85" s="15" t="n">
        <f aca="false">IF(AG85="yes",AC85*1.2,AC85)</f>
        <v>80.64</v>
      </c>
      <c r="AL85" s="11"/>
      <c r="AM85" s="11"/>
      <c r="AN85" s="15" t="n">
        <f aca="false">SUM(AH85:AM85)</f>
        <v>80.64</v>
      </c>
      <c r="AO85" s="1"/>
      <c r="AP85" s="1"/>
      <c r="AQ85" s="1"/>
      <c r="AR85" s="1"/>
    </row>
    <row r="86" customFormat="false" ht="13.8" hidden="false" customHeight="false" outlineLevel="0" collapsed="false">
      <c r="A86" s="13" t="s">
        <v>158</v>
      </c>
      <c r="B86" s="13" t="n">
        <v>950</v>
      </c>
      <c r="C86" s="1" t="s">
        <v>156</v>
      </c>
      <c r="D86" s="13" t="s">
        <v>42</v>
      </c>
      <c r="E86" s="1" t="s">
        <v>157</v>
      </c>
      <c r="F86" s="13" t="n">
        <v>3</v>
      </c>
      <c r="G86" s="1" t="n">
        <v>1</v>
      </c>
      <c r="H86" s="13" t="n">
        <v>5</v>
      </c>
      <c r="I86" s="16" t="n">
        <v>1301587</v>
      </c>
      <c r="J86" s="13" t="n">
        <v>2</v>
      </c>
      <c r="K86" s="13" t="s">
        <v>46</v>
      </c>
      <c r="L86" s="13" t="n">
        <v>4</v>
      </c>
      <c r="O86" s="13" t="n">
        <v>2</v>
      </c>
      <c r="P86" s="13" t="n">
        <f aca="false">SUM(M86:O86)</f>
        <v>2</v>
      </c>
      <c r="U86" s="13" t="n">
        <v>24</v>
      </c>
      <c r="W86" s="13" t="n">
        <f aca="false">SUM(Q86:V86)</f>
        <v>24</v>
      </c>
      <c r="Y86" s="13" t="n">
        <v>2</v>
      </c>
      <c r="AA86" s="9"/>
      <c r="AD86" s="14" t="n">
        <f aca="false">(U86)*(1+(J86)*0.2)</f>
        <v>33.6</v>
      </c>
      <c r="AE86" s="9"/>
      <c r="AF86" s="14" t="n">
        <f aca="false">SUM(Z86:AE86)</f>
        <v>33.6</v>
      </c>
      <c r="AG86" s="17" t="s">
        <v>47</v>
      </c>
      <c r="AH86" s="11"/>
      <c r="AI86" s="11"/>
      <c r="AJ86" s="11"/>
      <c r="AK86" s="11"/>
      <c r="AL86" s="15" t="n">
        <f aca="false">IF(AG86="yes",AD86*1.2,AD86)</f>
        <v>40.32</v>
      </c>
      <c r="AM86" s="11"/>
      <c r="AN86" s="15" t="n">
        <f aca="false">SUM(AH86:AM86)</f>
        <v>40.32</v>
      </c>
      <c r="AO86" s="1"/>
      <c r="AP86" s="1"/>
      <c r="AQ86" s="1"/>
      <c r="AR86" s="1"/>
    </row>
    <row r="87" customFormat="false" ht="13.8" hidden="false" customHeight="false" outlineLevel="0" collapsed="false">
      <c r="A87" s="13" t="s">
        <v>159</v>
      </c>
      <c r="B87" s="13" t="n">
        <v>951</v>
      </c>
      <c r="C87" s="1" t="s">
        <v>156</v>
      </c>
      <c r="D87" s="13" t="s">
        <v>42</v>
      </c>
      <c r="E87" s="1" t="s">
        <v>157</v>
      </c>
      <c r="F87" s="13" t="n">
        <v>3</v>
      </c>
      <c r="G87" s="1" t="n">
        <v>1</v>
      </c>
      <c r="H87" s="13" t="n">
        <v>4</v>
      </c>
      <c r="I87" s="16" t="n">
        <v>340415</v>
      </c>
      <c r="J87" s="13" t="n">
        <v>1</v>
      </c>
      <c r="K87" s="13" t="s">
        <v>44</v>
      </c>
      <c r="L87" s="13" t="n">
        <v>2</v>
      </c>
      <c r="M87" s="13" t="n">
        <v>1</v>
      </c>
      <c r="P87" s="13" t="n">
        <f aca="false">SUM(M87:O87)</f>
        <v>1</v>
      </c>
      <c r="T87" s="13" t="n">
        <v>14</v>
      </c>
      <c r="W87" s="13" t="n">
        <f aca="false">SUM(Q87:V87)</f>
        <v>14</v>
      </c>
      <c r="X87" s="13" t="n">
        <v>1</v>
      </c>
      <c r="AA87" s="9"/>
      <c r="AC87" s="14" t="n">
        <f aca="false">(T87)*(1+(J87)*0.2)</f>
        <v>16.8</v>
      </c>
      <c r="AE87" s="9"/>
      <c r="AF87" s="14" t="n">
        <f aca="false">SUM(Z87:AE87)</f>
        <v>16.8</v>
      </c>
      <c r="AG87" s="17" t="s">
        <v>47</v>
      </c>
      <c r="AH87" s="11"/>
      <c r="AI87" s="11"/>
      <c r="AJ87" s="11"/>
      <c r="AK87" s="15" t="n">
        <f aca="false">IF(AG87="yes",AC87*1.2,AC87)</f>
        <v>20.16</v>
      </c>
      <c r="AL87" s="11"/>
      <c r="AM87" s="11"/>
      <c r="AN87" s="15" t="n">
        <f aca="false">SUM(AH87:AM87)</f>
        <v>20.16</v>
      </c>
      <c r="AO87" s="1"/>
      <c r="AP87" s="1"/>
      <c r="AQ87" s="1"/>
      <c r="AR87" s="1"/>
    </row>
    <row r="88" customFormat="false" ht="13.8" hidden="false" customHeight="false" outlineLevel="0" collapsed="false">
      <c r="A88" s="13" t="s">
        <v>160</v>
      </c>
      <c r="B88" s="13" t="n">
        <v>952</v>
      </c>
      <c r="C88" s="1" t="s">
        <v>156</v>
      </c>
      <c r="D88" s="13" t="s">
        <v>42</v>
      </c>
      <c r="E88" s="1" t="s">
        <v>157</v>
      </c>
      <c r="F88" s="13" t="n">
        <v>2</v>
      </c>
      <c r="G88" s="1" t="n">
        <v>1</v>
      </c>
      <c r="H88" s="13" t="n">
        <v>4</v>
      </c>
      <c r="I88" s="16" t="n">
        <v>283951</v>
      </c>
      <c r="J88" s="13" t="n">
        <v>2</v>
      </c>
      <c r="K88" s="13" t="s">
        <v>46</v>
      </c>
      <c r="L88" s="13" t="n">
        <v>4</v>
      </c>
      <c r="O88" s="13" t="n">
        <v>1</v>
      </c>
      <c r="P88" s="13" t="n">
        <f aca="false">SUM(M88:O88)</f>
        <v>1</v>
      </c>
      <c r="W88" s="1" t="n">
        <f aca="false">SUM(Q88:V88)</f>
        <v>0</v>
      </c>
      <c r="Y88" s="13" t="n">
        <v>2</v>
      </c>
      <c r="AA88" s="9"/>
      <c r="AE88" s="9"/>
      <c r="AF88" s="9"/>
      <c r="AG88" s="10"/>
      <c r="AH88" s="11"/>
      <c r="AI88" s="11"/>
      <c r="AJ88" s="11"/>
      <c r="AK88" s="11"/>
      <c r="AL88" s="11"/>
      <c r="AM88" s="11"/>
      <c r="AN88" s="11"/>
      <c r="AO88" s="1"/>
      <c r="AP88" s="1"/>
      <c r="AQ88" s="1"/>
      <c r="AR88" s="1"/>
    </row>
    <row r="89" customFormat="false" ht="13.8" hidden="false" customHeight="false" outlineLevel="0" collapsed="false">
      <c r="A89" s="13" t="s">
        <v>161</v>
      </c>
      <c r="B89" s="13" t="n">
        <v>949</v>
      </c>
      <c r="C89" s="1" t="s">
        <v>156</v>
      </c>
      <c r="D89" s="13" t="s">
        <v>42</v>
      </c>
      <c r="E89" s="1" t="s">
        <v>157</v>
      </c>
      <c r="F89" s="13" t="n">
        <v>2</v>
      </c>
      <c r="G89" s="1" t="n">
        <v>1</v>
      </c>
      <c r="H89" s="13" t="n">
        <v>6</v>
      </c>
      <c r="I89" s="16" t="n">
        <v>34389</v>
      </c>
      <c r="J89" s="13" t="n">
        <v>1</v>
      </c>
      <c r="K89" s="13" t="s">
        <v>51</v>
      </c>
      <c r="L89" s="13" t="n">
        <v>1</v>
      </c>
      <c r="P89" s="1" t="n">
        <f aca="false">SUM(M89:O89)</f>
        <v>0</v>
      </c>
      <c r="Q89" s="13" t="n">
        <v>1</v>
      </c>
      <c r="R89" s="13" t="n">
        <v>1</v>
      </c>
      <c r="W89" s="13" t="n">
        <f aca="false">SUM(Q89:V89)</f>
        <v>2</v>
      </c>
      <c r="Z89" s="14" t="n">
        <f aca="false">(Q89)*(1+(J89)*0.2)</f>
        <v>1.2</v>
      </c>
      <c r="AA89" s="14" t="n">
        <f aca="false">(R89)*(1+(J89)*0.2)</f>
        <v>1.2</v>
      </c>
      <c r="AE89" s="9"/>
      <c r="AF89" s="14" t="n">
        <f aca="false">SUM(Z89:AE89)</f>
        <v>2.4</v>
      </c>
      <c r="AG89" s="17" t="s">
        <v>53</v>
      </c>
      <c r="AH89" s="15" t="n">
        <f aca="false">IF(AG89="yes",Z89*1.2,Z89)</f>
        <v>1.2</v>
      </c>
      <c r="AI89" s="15" t="n">
        <f aca="false">IF(AG89="yes",AA89*1.2,AA89)</f>
        <v>1.2</v>
      </c>
      <c r="AJ89" s="11"/>
      <c r="AK89" s="11"/>
      <c r="AL89" s="11"/>
      <c r="AM89" s="11"/>
      <c r="AN89" s="15" t="n">
        <f aca="false">SUM(AH89:AM89)</f>
        <v>2.4</v>
      </c>
      <c r="AO89" s="1"/>
      <c r="AP89" s="1"/>
      <c r="AQ89" s="1"/>
      <c r="AR89" s="1"/>
    </row>
    <row r="90" customFormat="false" ht="13.8" hidden="false" customHeight="false" outlineLevel="0" collapsed="false">
      <c r="A90" s="13" t="s">
        <v>162</v>
      </c>
      <c r="B90" s="13" t="n">
        <v>948</v>
      </c>
      <c r="C90" s="1" t="s">
        <v>156</v>
      </c>
      <c r="D90" s="13" t="s">
        <v>42</v>
      </c>
      <c r="E90" s="1" t="s">
        <v>157</v>
      </c>
      <c r="F90" s="13" t="n">
        <v>1</v>
      </c>
      <c r="G90" s="1" t="n">
        <v>1</v>
      </c>
      <c r="H90" s="13" t="n">
        <v>1</v>
      </c>
      <c r="I90" s="16" t="n">
        <v>6608</v>
      </c>
      <c r="J90" s="13" t="n">
        <v>1</v>
      </c>
      <c r="K90" s="13" t="s">
        <v>84</v>
      </c>
      <c r="L90" s="13" t="n">
        <v>1</v>
      </c>
      <c r="P90" s="1" t="n">
        <f aca="false">SUM(M90:O90)</f>
        <v>0</v>
      </c>
      <c r="W90" s="1" t="n">
        <f aca="false">SUM(Q90:V90)</f>
        <v>0</v>
      </c>
      <c r="Y90" s="13" t="n">
        <v>1</v>
      </c>
      <c r="AA90" s="9"/>
      <c r="AE90" s="9"/>
      <c r="AF90" s="9"/>
      <c r="AG90" s="10"/>
      <c r="AH90" s="11"/>
      <c r="AI90" s="11"/>
      <c r="AJ90" s="11"/>
      <c r="AK90" s="11"/>
      <c r="AL90" s="11"/>
      <c r="AM90" s="11"/>
      <c r="AN90" s="11"/>
      <c r="AO90" s="1"/>
      <c r="AP90" s="1"/>
      <c r="AQ90" s="1"/>
      <c r="AR90" s="1"/>
    </row>
    <row r="91" customFormat="false" ht="13.8" hidden="false" customHeight="false" outlineLevel="0" collapsed="false">
      <c r="A91" s="1" t="s">
        <v>163</v>
      </c>
      <c r="B91" s="1" t="n">
        <v>507</v>
      </c>
      <c r="C91" s="1" t="s">
        <v>156</v>
      </c>
      <c r="D91" s="1" t="s">
        <v>42</v>
      </c>
      <c r="E91" s="1" t="s">
        <v>157</v>
      </c>
      <c r="F91" s="13" t="n">
        <v>3</v>
      </c>
      <c r="G91" s="1" t="n">
        <v>1</v>
      </c>
      <c r="H91" s="13" t="n">
        <v>5</v>
      </c>
      <c r="I91" s="16" t="n">
        <v>34388</v>
      </c>
      <c r="J91" s="1" t="n">
        <v>1</v>
      </c>
      <c r="K91" s="1" t="s">
        <v>51</v>
      </c>
      <c r="L91" s="1" t="n">
        <v>1</v>
      </c>
      <c r="N91" s="13" t="n">
        <v>1</v>
      </c>
      <c r="P91" s="13" t="n">
        <f aca="false">SUM(M91:O91)</f>
        <v>1</v>
      </c>
      <c r="Q91" s="13" t="n">
        <v>2</v>
      </c>
      <c r="W91" s="13" t="n">
        <f aca="false">SUM(Q91:V91)</f>
        <v>2</v>
      </c>
      <c r="Y91" s="13" t="n">
        <v>2</v>
      </c>
      <c r="Z91" s="14" t="n">
        <f aca="false">(Q91)*(1+(J91)*0.2)</f>
        <v>2.4</v>
      </c>
      <c r="AD91" s="9"/>
      <c r="AF91" s="14" t="n">
        <f aca="false">SUM(Z91:AE91)</f>
        <v>2.4</v>
      </c>
      <c r="AG91" s="17" t="s">
        <v>47</v>
      </c>
      <c r="AH91" s="15" t="n">
        <f aca="false">IF(AG91="yes",Z91*1.2,Z91)</f>
        <v>2.88</v>
      </c>
      <c r="AI91" s="11"/>
      <c r="AJ91" s="11"/>
      <c r="AK91" s="11"/>
      <c r="AL91" s="11"/>
      <c r="AM91" s="11"/>
      <c r="AN91" s="15" t="n">
        <f aca="false">SUM(AH91:AM91)</f>
        <v>2.88</v>
      </c>
      <c r="AO91" s="1"/>
      <c r="AP91" s="1"/>
      <c r="AQ91" s="1"/>
      <c r="AR91" s="1"/>
    </row>
    <row r="92" customFormat="false" ht="13.8" hidden="false" customHeight="false" outlineLevel="0" collapsed="false">
      <c r="A92" s="1" t="s">
        <v>164</v>
      </c>
      <c r="B92" s="1" t="n">
        <v>279</v>
      </c>
      <c r="C92" s="1" t="s">
        <v>156</v>
      </c>
      <c r="D92" s="1" t="s">
        <v>42</v>
      </c>
      <c r="E92" s="1" t="s">
        <v>157</v>
      </c>
      <c r="F92" s="13" t="n">
        <v>26</v>
      </c>
      <c r="G92" s="1" t="n">
        <v>1</v>
      </c>
      <c r="H92" s="13" t="n">
        <v>7</v>
      </c>
      <c r="I92" s="16" t="n">
        <v>2638363</v>
      </c>
      <c r="J92" s="1" t="n">
        <v>3</v>
      </c>
      <c r="K92" s="1" t="s">
        <v>57</v>
      </c>
      <c r="L92" s="1" t="n">
        <v>8</v>
      </c>
      <c r="M92" s="1" t="n">
        <v>1</v>
      </c>
      <c r="N92" s="13" t="n">
        <v>2</v>
      </c>
      <c r="O92" s="13" t="n">
        <v>3</v>
      </c>
      <c r="P92" s="13" t="n">
        <f aca="false">SUM(M92:O92)</f>
        <v>6</v>
      </c>
      <c r="T92" s="13" t="n">
        <v>8</v>
      </c>
      <c r="U92" s="13" t="n">
        <v>14</v>
      </c>
      <c r="V92" s="13" t="n">
        <v>4</v>
      </c>
      <c r="W92" s="13" t="n">
        <f aca="false">SUM(Q92:V92)</f>
        <v>26</v>
      </c>
      <c r="X92" s="1" t="n">
        <v>3</v>
      </c>
      <c r="Y92" s="13" t="n">
        <v>5</v>
      </c>
      <c r="AC92" s="14" t="n">
        <f aca="false">(T92)*(1+(J92)*0.2)</f>
        <v>12.8</v>
      </c>
      <c r="AD92" s="14" t="n">
        <f aca="false">(U92)*(1+(J92)*0.2)</f>
        <v>22.4</v>
      </c>
      <c r="AE92" s="14" t="n">
        <f aca="false">(V92)*(1+(J92)*0.2)</f>
        <v>6.4</v>
      </c>
      <c r="AF92" s="14" t="n">
        <f aca="false">SUM(Z92:AE92)</f>
        <v>41.6</v>
      </c>
      <c r="AG92" s="10" t="s">
        <v>47</v>
      </c>
      <c r="AH92" s="11"/>
      <c r="AI92" s="11"/>
      <c r="AJ92" s="11"/>
      <c r="AK92" s="15" t="n">
        <f aca="false">IF(AG92="yes",AC92*1.2,AC92)</f>
        <v>15.36</v>
      </c>
      <c r="AL92" s="15" t="n">
        <f aca="false">IF(AG92="yes",AD92*1.2,AD92)</f>
        <v>26.88</v>
      </c>
      <c r="AM92" s="15" t="n">
        <f aca="false">IF(AG92="yes",AE92*1.2,AE92)</f>
        <v>7.68</v>
      </c>
      <c r="AN92" s="15" t="n">
        <f aca="false">SUM(AH92:AM92)</f>
        <v>49.92</v>
      </c>
      <c r="AO92" s="1"/>
      <c r="AP92" s="1"/>
      <c r="AQ92" s="1"/>
      <c r="AR92" s="1"/>
    </row>
    <row r="93" customFormat="false" ht="13.8" hidden="false" customHeight="false" outlineLevel="0" collapsed="false">
      <c r="A93" s="1" t="s">
        <v>165</v>
      </c>
      <c r="B93" s="1" t="n">
        <v>606</v>
      </c>
      <c r="C93" s="1" t="s">
        <v>166</v>
      </c>
      <c r="D93" s="1" t="s">
        <v>42</v>
      </c>
      <c r="E93" s="1" t="s">
        <v>167</v>
      </c>
      <c r="F93" s="1" t="n">
        <v>1</v>
      </c>
      <c r="G93" s="1" t="n">
        <v>1</v>
      </c>
      <c r="H93" s="1" t="n">
        <v>18</v>
      </c>
      <c r="I93" s="8" t="n">
        <v>18287697</v>
      </c>
      <c r="J93" s="1" t="n">
        <v>4</v>
      </c>
      <c r="K93" s="1" t="s">
        <v>46</v>
      </c>
      <c r="L93" s="1" t="n">
        <v>4</v>
      </c>
      <c r="O93" s="1" t="n">
        <v>1</v>
      </c>
      <c r="P93" s="1" t="n">
        <f aca="false">SUM(M93:O93)</f>
        <v>1</v>
      </c>
      <c r="U93" s="1" t="n">
        <v>11</v>
      </c>
      <c r="W93" s="1" t="n">
        <f aca="false">SUM(Q93:V93)</f>
        <v>11</v>
      </c>
      <c r="AD93" s="9" t="n">
        <f aca="false">(U93)*(1+(J93)*0.2)</f>
        <v>19.8</v>
      </c>
      <c r="AF93" s="9" t="n">
        <f aca="false">SUM(Z93:AE93)</f>
        <v>19.8</v>
      </c>
      <c r="AG93" s="10" t="s">
        <v>53</v>
      </c>
      <c r="AH93" s="11"/>
      <c r="AI93" s="11"/>
      <c r="AJ93" s="11"/>
      <c r="AK93" s="11"/>
      <c r="AL93" s="11" t="n">
        <f aca="false">IF(AG93="yes",AD93*1.2,AD93)</f>
        <v>19.8</v>
      </c>
      <c r="AM93" s="11"/>
      <c r="AN93" s="11" t="n">
        <f aca="false">SUM(AH93:AM93)</f>
        <v>19.8</v>
      </c>
      <c r="AO93" s="1"/>
      <c r="AP93" s="1"/>
      <c r="AQ93" s="1"/>
      <c r="AR93" s="1"/>
    </row>
    <row r="94" customFormat="false" ht="13.8" hidden="false" customHeight="false" outlineLevel="0" collapsed="false">
      <c r="A94" s="1" t="s">
        <v>168</v>
      </c>
      <c r="B94" s="1" t="n">
        <v>608</v>
      </c>
      <c r="C94" s="1" t="s">
        <v>166</v>
      </c>
      <c r="D94" s="1" t="s">
        <v>42</v>
      </c>
      <c r="E94" s="1" t="s">
        <v>167</v>
      </c>
      <c r="F94" s="1" t="n">
        <v>21</v>
      </c>
      <c r="G94" s="1" t="n">
        <v>1</v>
      </c>
      <c r="H94" s="1" t="n">
        <v>9</v>
      </c>
      <c r="I94" s="8" t="n">
        <v>9660178</v>
      </c>
      <c r="J94" s="1" t="n">
        <v>3</v>
      </c>
      <c r="K94" s="1" t="s">
        <v>57</v>
      </c>
      <c r="L94" s="1" t="n">
        <v>8</v>
      </c>
      <c r="O94" s="1" t="n">
        <v>2</v>
      </c>
      <c r="P94" s="1" t="n">
        <f aca="false">SUM(M94:O94)</f>
        <v>2</v>
      </c>
      <c r="W94" s="1" t="n">
        <f aca="false">SUM(Q94:V94)</f>
        <v>0</v>
      </c>
      <c r="X94" s="1" t="n">
        <v>3</v>
      </c>
      <c r="Y94" s="1" t="n">
        <v>2</v>
      </c>
      <c r="AF94" s="9" t="n">
        <f aca="false">SUM(Z94:AE94)</f>
        <v>0</v>
      </c>
      <c r="AG94" s="10"/>
      <c r="AH94" s="11"/>
      <c r="AI94" s="11"/>
      <c r="AJ94" s="11"/>
      <c r="AK94" s="11"/>
      <c r="AL94" s="11"/>
      <c r="AM94" s="11"/>
      <c r="AN94" s="11" t="n">
        <f aca="false">SUM(AH94:AM94)</f>
        <v>0</v>
      </c>
      <c r="AO94" s="1"/>
      <c r="AP94" s="1"/>
      <c r="AQ94" s="1"/>
      <c r="AR94" s="1"/>
    </row>
    <row r="95" customFormat="false" ht="13.8" hidden="false" customHeight="false" outlineLevel="0" collapsed="false">
      <c r="A95" s="1" t="s">
        <v>169</v>
      </c>
      <c r="B95" s="1" t="n">
        <v>750</v>
      </c>
      <c r="C95" s="1" t="s">
        <v>166</v>
      </c>
      <c r="D95" s="1" t="s">
        <v>42</v>
      </c>
      <c r="E95" s="1" t="s">
        <v>167</v>
      </c>
      <c r="F95" s="1" t="n">
        <v>10</v>
      </c>
      <c r="G95" s="1" t="n">
        <v>1</v>
      </c>
      <c r="H95" s="1" t="n">
        <v>13</v>
      </c>
      <c r="I95" s="8" t="n">
        <v>8009766</v>
      </c>
      <c r="J95" s="1" t="n">
        <v>2</v>
      </c>
      <c r="K95" s="1" t="s">
        <v>46</v>
      </c>
      <c r="L95" s="1" t="n">
        <v>4</v>
      </c>
      <c r="M95" s="1" t="n">
        <v>1</v>
      </c>
      <c r="O95" s="1" t="n">
        <v>2</v>
      </c>
      <c r="P95" s="1" t="n">
        <f aca="false">SUM(M95:O95)</f>
        <v>3</v>
      </c>
      <c r="W95" s="1" t="n">
        <f aca="false">SUM(Q95:V95)</f>
        <v>0</v>
      </c>
      <c r="X95" s="1" t="n">
        <v>2</v>
      </c>
      <c r="Z95" s="12"/>
      <c r="AD95" s="9"/>
      <c r="AF95" s="9" t="n">
        <f aca="false">SUM(Z95:AE95)</f>
        <v>0</v>
      </c>
      <c r="AG95" s="10"/>
      <c r="AH95" s="11"/>
      <c r="AI95" s="11"/>
      <c r="AJ95" s="11"/>
      <c r="AK95" s="11"/>
      <c r="AL95" s="11"/>
      <c r="AM95" s="11"/>
      <c r="AN95" s="11" t="n">
        <f aca="false">SUM(AH95:AM95)</f>
        <v>0</v>
      </c>
      <c r="AO95" s="1"/>
      <c r="AP95" s="1"/>
      <c r="AQ95" s="1"/>
      <c r="AR95" s="1"/>
    </row>
    <row r="96" customFormat="false" ht="13.8" hidden="false" customHeight="false" outlineLevel="0" collapsed="false">
      <c r="A96" s="1" t="s">
        <v>170</v>
      </c>
      <c r="B96" s="1" t="n">
        <v>595</v>
      </c>
      <c r="C96" s="1" t="s">
        <v>166</v>
      </c>
      <c r="D96" s="1" t="s">
        <v>42</v>
      </c>
      <c r="E96" s="1" t="s">
        <v>167</v>
      </c>
      <c r="F96" s="1" t="n">
        <v>4</v>
      </c>
      <c r="G96" s="1" t="n">
        <v>1</v>
      </c>
      <c r="H96" s="1" t="n">
        <v>24</v>
      </c>
      <c r="I96" s="8" t="n">
        <v>11769950</v>
      </c>
      <c r="J96" s="1" t="n">
        <v>2</v>
      </c>
      <c r="K96" s="1" t="s">
        <v>96</v>
      </c>
      <c r="L96" s="1" t="n">
        <v>6</v>
      </c>
      <c r="O96" s="1" t="n">
        <v>1</v>
      </c>
      <c r="P96" s="1" t="n">
        <f aca="false">SUM(M96:O96)</f>
        <v>1</v>
      </c>
      <c r="W96" s="1" t="n">
        <f aca="false">SUM(Q96:V96)</f>
        <v>0</v>
      </c>
      <c r="Y96" s="1" t="n">
        <v>4</v>
      </c>
      <c r="AF96" s="9" t="n">
        <f aca="false">SUM(Z96:AE96)</f>
        <v>0</v>
      </c>
      <c r="AG96" s="10"/>
      <c r="AH96" s="11"/>
      <c r="AI96" s="11"/>
      <c r="AJ96" s="11"/>
      <c r="AK96" s="11"/>
      <c r="AL96" s="11"/>
      <c r="AM96" s="11"/>
      <c r="AN96" s="11" t="n">
        <f aca="false">SUM(AH96:AM96)</f>
        <v>0</v>
      </c>
      <c r="AO96" s="1"/>
      <c r="AP96" s="1"/>
      <c r="AQ96" s="1"/>
      <c r="AR96" s="1"/>
    </row>
    <row r="97" customFormat="false" ht="13.8" hidden="false" customHeight="false" outlineLevel="0" collapsed="false">
      <c r="A97" s="1" t="s">
        <v>171</v>
      </c>
      <c r="B97" s="1" t="n">
        <v>752</v>
      </c>
      <c r="C97" s="1" t="s">
        <v>166</v>
      </c>
      <c r="D97" s="1" t="s">
        <v>42</v>
      </c>
      <c r="E97" s="1" t="s">
        <v>167</v>
      </c>
      <c r="F97" s="1" t="n">
        <v>1</v>
      </c>
      <c r="G97" s="1" t="n">
        <v>1</v>
      </c>
      <c r="H97" s="1" t="n">
        <v>6</v>
      </c>
      <c r="I97" s="8" t="n">
        <v>300366</v>
      </c>
      <c r="J97" s="1" t="n">
        <v>1</v>
      </c>
      <c r="K97" s="1" t="s">
        <v>51</v>
      </c>
      <c r="L97" s="1" t="n">
        <v>1</v>
      </c>
      <c r="P97" s="1" t="n">
        <f aca="false">SUM(M97:O97)</f>
        <v>0</v>
      </c>
      <c r="W97" s="1" t="n">
        <f aca="false">SUM(Q97:V97)</f>
        <v>0</v>
      </c>
      <c r="AD97" s="9"/>
      <c r="AF97" s="9" t="n">
        <f aca="false">SUM(Z97:AE97)</f>
        <v>0</v>
      </c>
      <c r="AG97" s="10"/>
      <c r="AH97" s="11"/>
      <c r="AI97" s="11"/>
      <c r="AJ97" s="11"/>
      <c r="AK97" s="11"/>
      <c r="AL97" s="11"/>
      <c r="AM97" s="11"/>
      <c r="AN97" s="11" t="n">
        <f aca="false">SUM(AH97:AM97)</f>
        <v>0</v>
      </c>
      <c r="AO97" s="1"/>
      <c r="AP97" s="1"/>
      <c r="AQ97" s="1"/>
      <c r="AR97" s="1"/>
    </row>
    <row r="98" customFormat="false" ht="13.8" hidden="false" customHeight="false" outlineLevel="0" collapsed="false">
      <c r="A98" s="1" t="s">
        <v>172</v>
      </c>
      <c r="B98" s="1" t="n">
        <v>603</v>
      </c>
      <c r="C98" s="1" t="s">
        <v>166</v>
      </c>
      <c r="D98" s="1" t="s">
        <v>42</v>
      </c>
      <c r="E98" s="1" t="s">
        <v>167</v>
      </c>
      <c r="F98" s="1" t="n">
        <v>3</v>
      </c>
      <c r="G98" s="1" t="n">
        <v>1</v>
      </c>
      <c r="H98" s="1" t="n">
        <v>13</v>
      </c>
      <c r="I98" s="8" t="n">
        <v>7552408</v>
      </c>
      <c r="J98" s="1" t="n">
        <v>1</v>
      </c>
      <c r="K98" s="1" t="s">
        <v>46</v>
      </c>
      <c r="L98" s="1" t="n">
        <v>4</v>
      </c>
      <c r="M98" s="1" t="n">
        <v>2</v>
      </c>
      <c r="O98" s="1" t="n">
        <v>1</v>
      </c>
      <c r="P98" s="1" t="n">
        <f aca="false">SUM(M98:O98)</f>
        <v>3</v>
      </c>
      <c r="W98" s="1" t="n">
        <f aca="false">SUM(Q98:V98)</f>
        <v>0</v>
      </c>
      <c r="AF98" s="9" t="n">
        <f aca="false">SUM(Z98:AE98)</f>
        <v>0</v>
      </c>
      <c r="AG98" s="10"/>
      <c r="AH98" s="11"/>
      <c r="AI98" s="11"/>
      <c r="AJ98" s="11"/>
      <c r="AK98" s="11"/>
      <c r="AL98" s="11"/>
      <c r="AM98" s="11"/>
      <c r="AN98" s="11" t="n">
        <f aca="false">SUM(AH98:AM98)</f>
        <v>0</v>
      </c>
      <c r="AO98" s="1"/>
      <c r="AP98" s="1"/>
      <c r="AQ98" s="1"/>
      <c r="AR98" s="1"/>
    </row>
    <row r="99" customFormat="false" ht="13.8" hidden="false" customHeight="false" outlineLevel="0" collapsed="false">
      <c r="A99" s="1" t="s">
        <v>173</v>
      </c>
      <c r="B99" s="1" t="n">
        <v>614</v>
      </c>
      <c r="C99" s="1" t="s">
        <v>166</v>
      </c>
      <c r="D99" s="1" t="s">
        <v>42</v>
      </c>
      <c r="E99" s="1" t="s">
        <v>167</v>
      </c>
      <c r="G99" s="1" t="n">
        <v>1</v>
      </c>
      <c r="H99" s="1" t="n">
        <v>18</v>
      </c>
      <c r="I99" s="8" t="n">
        <v>18457404</v>
      </c>
      <c r="J99" s="1" t="n">
        <v>2</v>
      </c>
      <c r="K99" s="1" t="s">
        <v>46</v>
      </c>
      <c r="L99" s="1" t="n">
        <v>4</v>
      </c>
      <c r="P99" s="1" t="n">
        <f aca="false">SUM(M99:O99)</f>
        <v>0</v>
      </c>
      <c r="W99" s="1" t="n">
        <f aca="false">SUM(Q99:V99)</f>
        <v>0</v>
      </c>
      <c r="AF99" s="9" t="n">
        <f aca="false">SUM(Z99:AE99)</f>
        <v>0</v>
      </c>
      <c r="AG99" s="10"/>
      <c r="AH99" s="11"/>
      <c r="AI99" s="11"/>
      <c r="AJ99" s="11"/>
      <c r="AK99" s="11"/>
      <c r="AL99" s="11"/>
      <c r="AM99" s="11"/>
      <c r="AN99" s="11" t="n">
        <f aca="false">SUM(AH99:AM99)</f>
        <v>0</v>
      </c>
      <c r="AO99" s="1"/>
      <c r="AP99" s="1"/>
      <c r="AQ99" s="1"/>
      <c r="AR99" s="1"/>
    </row>
    <row r="100" customFormat="false" ht="13.8" hidden="false" customHeight="false" outlineLevel="0" collapsed="false">
      <c r="A100" s="1" t="s">
        <v>174</v>
      </c>
      <c r="B100" s="1" t="n">
        <v>607</v>
      </c>
      <c r="C100" s="1" t="s">
        <v>166</v>
      </c>
      <c r="D100" s="1" t="s">
        <v>42</v>
      </c>
      <c r="E100" s="1" t="s">
        <v>167</v>
      </c>
      <c r="F100" s="1" t="n">
        <v>1</v>
      </c>
      <c r="G100" s="1" t="n">
        <v>1</v>
      </c>
      <c r="H100" s="1" t="n">
        <v>29</v>
      </c>
      <c r="I100" s="8" t="n">
        <v>34331658</v>
      </c>
      <c r="J100" s="1" t="n">
        <v>3</v>
      </c>
      <c r="K100" s="1" t="s">
        <v>46</v>
      </c>
      <c r="L100" s="1" t="n">
        <v>4</v>
      </c>
      <c r="O100" s="1" t="n">
        <v>2</v>
      </c>
      <c r="P100" s="1" t="n">
        <f aca="false">SUM(M100:O100)</f>
        <v>2</v>
      </c>
      <c r="W100" s="1" t="n">
        <f aca="false">SUM(Q100:V100)</f>
        <v>0</v>
      </c>
      <c r="AF100" s="9" t="n">
        <f aca="false">SUM(Z100:AE100)</f>
        <v>0</v>
      </c>
      <c r="AG100" s="10"/>
      <c r="AH100" s="11"/>
      <c r="AI100" s="11"/>
      <c r="AJ100" s="11"/>
      <c r="AK100" s="11"/>
      <c r="AL100" s="11"/>
      <c r="AM100" s="11"/>
      <c r="AN100" s="11" t="n">
        <f aca="false">SUM(AH100:AM100)</f>
        <v>0</v>
      </c>
      <c r="AO100" s="1"/>
      <c r="AP100" s="1"/>
      <c r="AQ100" s="1"/>
      <c r="AR100" s="1"/>
    </row>
    <row r="101" customFormat="false" ht="13.8" hidden="false" customHeight="false" outlineLevel="0" collapsed="false">
      <c r="A101" s="1" t="s">
        <v>175</v>
      </c>
      <c r="B101" s="1" t="n">
        <v>749</v>
      </c>
      <c r="C101" s="1" t="s">
        <v>166</v>
      </c>
      <c r="D101" s="1" t="s">
        <v>42</v>
      </c>
      <c r="E101" s="1" t="s">
        <v>167</v>
      </c>
      <c r="F101" s="1" t="n">
        <v>1</v>
      </c>
      <c r="G101" s="1" t="n">
        <v>1</v>
      </c>
      <c r="H101" s="1" t="n">
        <v>11</v>
      </c>
      <c r="I101" s="8" t="n">
        <v>5006104</v>
      </c>
      <c r="J101" s="1" t="n">
        <v>2</v>
      </c>
      <c r="K101" s="1" t="s">
        <v>46</v>
      </c>
      <c r="L101" s="1" t="n">
        <v>4</v>
      </c>
      <c r="P101" s="1" t="n">
        <f aca="false">SUM(M101:O101)</f>
        <v>0</v>
      </c>
      <c r="W101" s="1" t="n">
        <f aca="false">SUM(Q101:V101)</f>
        <v>0</v>
      </c>
      <c r="AF101" s="9" t="n">
        <f aca="false">SUM(Z101:AE101)</f>
        <v>0</v>
      </c>
      <c r="AG101" s="10"/>
      <c r="AH101" s="11"/>
      <c r="AI101" s="11"/>
      <c r="AJ101" s="11"/>
      <c r="AK101" s="11"/>
      <c r="AL101" s="11"/>
      <c r="AM101" s="11"/>
      <c r="AN101" s="11" t="n">
        <f aca="false">SUM(AH101:AM101)</f>
        <v>0</v>
      </c>
      <c r="AO101" s="1"/>
      <c r="AP101" s="1"/>
      <c r="AQ101" s="1"/>
      <c r="AR101" s="1"/>
    </row>
    <row r="102" customFormat="false" ht="13.8" hidden="false" customHeight="false" outlineLevel="0" collapsed="false">
      <c r="A102" s="1" t="s">
        <v>176</v>
      </c>
      <c r="B102" s="1" t="n">
        <v>620</v>
      </c>
      <c r="C102" s="1" t="s">
        <v>166</v>
      </c>
      <c r="D102" s="1" t="s">
        <v>42</v>
      </c>
      <c r="E102" s="1" t="s">
        <v>167</v>
      </c>
      <c r="F102" s="1" t="n">
        <v>5</v>
      </c>
      <c r="G102" s="1" t="n">
        <v>1</v>
      </c>
      <c r="H102" s="1" t="n">
        <v>21</v>
      </c>
      <c r="I102" s="8" t="n">
        <v>25572779</v>
      </c>
      <c r="J102" s="1" t="n">
        <v>3</v>
      </c>
      <c r="K102" s="1" t="s">
        <v>96</v>
      </c>
      <c r="L102" s="1" t="n">
        <v>6</v>
      </c>
      <c r="M102" s="1" t="n">
        <v>3</v>
      </c>
      <c r="O102" s="1" t="n">
        <v>2</v>
      </c>
      <c r="P102" s="1" t="n">
        <f aca="false">SUM(M102:O102)</f>
        <v>5</v>
      </c>
      <c r="W102" s="1" t="n">
        <f aca="false">SUM(Q102:V102)</f>
        <v>0</v>
      </c>
      <c r="AF102" s="9" t="n">
        <f aca="false">SUM(Z102:AE102)</f>
        <v>0</v>
      </c>
      <c r="AG102" s="10"/>
      <c r="AH102" s="11"/>
      <c r="AI102" s="11"/>
      <c r="AJ102" s="11"/>
      <c r="AK102" s="11"/>
      <c r="AL102" s="11"/>
      <c r="AM102" s="11"/>
      <c r="AN102" s="11" t="n">
        <f aca="false">SUM(AH102:AM102)</f>
        <v>0</v>
      </c>
      <c r="AO102" s="1"/>
      <c r="AP102" s="1"/>
      <c r="AQ102" s="1"/>
      <c r="AR102" s="1"/>
    </row>
    <row r="103" customFormat="false" ht="13.8" hidden="false" customHeight="false" outlineLevel="0" collapsed="false">
      <c r="A103" s="1" t="s">
        <v>177</v>
      </c>
      <c r="B103" s="1" t="n">
        <v>602</v>
      </c>
      <c r="C103" s="1" t="s">
        <v>166</v>
      </c>
      <c r="D103" s="1" t="s">
        <v>42</v>
      </c>
      <c r="E103" s="1" t="s">
        <v>167</v>
      </c>
      <c r="F103" s="1" t="n">
        <v>5</v>
      </c>
      <c r="G103" s="1" t="n">
        <v>1</v>
      </c>
      <c r="H103" s="1" t="n">
        <v>22</v>
      </c>
      <c r="I103" s="8" t="n">
        <v>20318473</v>
      </c>
      <c r="J103" s="1" t="n">
        <v>3</v>
      </c>
      <c r="K103" s="1" t="s">
        <v>46</v>
      </c>
      <c r="L103" s="1" t="n">
        <v>4</v>
      </c>
      <c r="M103" s="1" t="n">
        <v>2</v>
      </c>
      <c r="O103" s="1" t="n">
        <v>2</v>
      </c>
      <c r="P103" s="1" t="n">
        <f aca="false">SUM(M103:O103)</f>
        <v>4</v>
      </c>
      <c r="T103" s="1" t="n">
        <v>6</v>
      </c>
      <c r="W103" s="1" t="n">
        <f aca="false">SUM(Q103:V103)</f>
        <v>6</v>
      </c>
      <c r="AC103" s="9" t="n">
        <f aca="false">(T103)*(1+(J103)*0.2)</f>
        <v>9.6</v>
      </c>
      <c r="AF103" s="9" t="n">
        <f aca="false">SUM(Z103:AE103)</f>
        <v>9.6</v>
      </c>
      <c r="AG103" s="10" t="s">
        <v>47</v>
      </c>
      <c r="AH103" s="11"/>
      <c r="AI103" s="11"/>
      <c r="AJ103" s="11"/>
      <c r="AK103" s="11" t="n">
        <f aca="false">IF(AG103="yes",AC103*1.2,AC103)</f>
        <v>11.52</v>
      </c>
      <c r="AL103" s="11"/>
      <c r="AM103" s="11"/>
      <c r="AN103" s="11" t="n">
        <f aca="false">SUM(AH103:AM103)</f>
        <v>11.52</v>
      </c>
      <c r="AO103" s="1"/>
      <c r="AP103" s="1"/>
      <c r="AQ103" s="1"/>
      <c r="AR103" s="1"/>
    </row>
    <row r="104" customFormat="false" ht="13.8" hidden="false" customHeight="false" outlineLevel="0" collapsed="false">
      <c r="A104" s="1" t="s">
        <v>178</v>
      </c>
      <c r="B104" s="1" t="n">
        <v>598</v>
      </c>
      <c r="C104" s="1" t="s">
        <v>166</v>
      </c>
      <c r="D104" s="1" t="s">
        <v>42</v>
      </c>
      <c r="E104" s="1" t="s">
        <v>167</v>
      </c>
      <c r="G104" s="1" t="n">
        <v>1</v>
      </c>
      <c r="H104" s="1" t="n">
        <v>22</v>
      </c>
      <c r="I104" s="8" t="n">
        <v>23698193</v>
      </c>
      <c r="J104" s="1" t="n">
        <v>2</v>
      </c>
      <c r="K104" s="1" t="s">
        <v>46</v>
      </c>
      <c r="L104" s="1" t="n">
        <v>4</v>
      </c>
      <c r="P104" s="1" t="n">
        <f aca="false">SUM(M104:O104)</f>
        <v>0</v>
      </c>
      <c r="W104" s="1" t="n">
        <f aca="false">SUM(Q104:V104)</f>
        <v>0</v>
      </c>
      <c r="AF104" s="9" t="n">
        <f aca="false">SUM(Z104:AE104)</f>
        <v>0</v>
      </c>
      <c r="AG104" s="10"/>
      <c r="AH104" s="11"/>
      <c r="AI104" s="11"/>
      <c r="AJ104" s="11"/>
      <c r="AK104" s="11"/>
      <c r="AL104" s="11"/>
      <c r="AM104" s="11"/>
      <c r="AN104" s="11" t="n">
        <f aca="false">SUM(AH104:AM104)</f>
        <v>0</v>
      </c>
      <c r="AO104" s="1"/>
      <c r="AP104" s="1"/>
      <c r="AQ104" s="1"/>
      <c r="AR104" s="1"/>
    </row>
    <row r="105" customFormat="false" ht="13.8" hidden="false" customHeight="false" outlineLevel="0" collapsed="false">
      <c r="A105" s="1" t="s">
        <v>179</v>
      </c>
      <c r="B105" s="1" t="n">
        <v>600</v>
      </c>
      <c r="C105" s="1" t="s">
        <v>166</v>
      </c>
      <c r="D105" s="1" t="s">
        <v>42</v>
      </c>
      <c r="E105" s="1" t="s">
        <v>167</v>
      </c>
      <c r="F105" s="1" t="n">
        <v>3</v>
      </c>
      <c r="G105" s="1" t="n">
        <v>1</v>
      </c>
      <c r="H105" s="1" t="n">
        <v>28</v>
      </c>
      <c r="I105" s="8" t="n">
        <v>15839712</v>
      </c>
      <c r="J105" s="1" t="n">
        <v>2</v>
      </c>
      <c r="K105" s="1" t="s">
        <v>46</v>
      </c>
      <c r="L105" s="1" t="n">
        <v>4</v>
      </c>
      <c r="O105" s="1" t="n">
        <v>2</v>
      </c>
      <c r="P105" s="1" t="n">
        <f aca="false">SUM(M105:O105)</f>
        <v>2</v>
      </c>
      <c r="W105" s="1" t="n">
        <f aca="false">SUM(Q105:V105)</f>
        <v>0</v>
      </c>
      <c r="AF105" s="9" t="n">
        <f aca="false">SUM(Z105:AE105)</f>
        <v>0</v>
      </c>
      <c r="AG105" s="10"/>
      <c r="AH105" s="11"/>
      <c r="AI105" s="11"/>
      <c r="AJ105" s="11"/>
      <c r="AK105" s="11"/>
      <c r="AL105" s="11"/>
      <c r="AM105" s="11"/>
      <c r="AN105" s="11" t="n">
        <f aca="false">SUM(AH105:AM105)</f>
        <v>0</v>
      </c>
      <c r="AO105" s="1"/>
      <c r="AP105" s="1"/>
      <c r="AQ105" s="1"/>
      <c r="AR105" s="1"/>
    </row>
    <row r="106" customFormat="false" ht="13.8" hidden="false" customHeight="false" outlineLevel="0" collapsed="false">
      <c r="A106" s="1" t="s">
        <v>180</v>
      </c>
      <c r="B106" s="1" t="n">
        <v>751</v>
      </c>
      <c r="C106" s="1" t="s">
        <v>166</v>
      </c>
      <c r="D106" s="1" t="s">
        <v>42</v>
      </c>
      <c r="E106" s="1" t="s">
        <v>167</v>
      </c>
      <c r="F106" s="1" t="n">
        <v>4</v>
      </c>
      <c r="G106" s="1" t="n">
        <v>1</v>
      </c>
      <c r="H106" s="1" t="n">
        <v>7</v>
      </c>
      <c r="I106" s="8" t="n">
        <v>300366</v>
      </c>
      <c r="J106" s="1" t="n">
        <v>1</v>
      </c>
      <c r="K106" s="1" t="s">
        <v>51</v>
      </c>
      <c r="L106" s="1" t="n">
        <v>1</v>
      </c>
      <c r="P106" s="1" t="n">
        <f aca="false">SUM(M106:O106)</f>
        <v>0</v>
      </c>
      <c r="W106" s="1" t="n">
        <f aca="false">SUM(Q106:V106)</f>
        <v>0</v>
      </c>
      <c r="AA106" s="9"/>
      <c r="AF106" s="9" t="n">
        <f aca="false">SUM(Z106:AE106)</f>
        <v>0</v>
      </c>
      <c r="AG106" s="10"/>
      <c r="AH106" s="11"/>
      <c r="AI106" s="11"/>
      <c r="AJ106" s="11"/>
      <c r="AK106" s="11"/>
      <c r="AL106" s="11"/>
      <c r="AM106" s="11"/>
      <c r="AN106" s="11" t="n">
        <f aca="false">SUM(AH106:AM106)</f>
        <v>0</v>
      </c>
      <c r="AO106" s="1"/>
      <c r="AP106" s="1"/>
      <c r="AQ106" s="1"/>
      <c r="AR106" s="1"/>
    </row>
    <row r="107" customFormat="false" ht="13.8" hidden="false" customHeight="false" outlineLevel="0" collapsed="false">
      <c r="A107" s="1" t="s">
        <v>181</v>
      </c>
      <c r="B107" s="1" t="n">
        <v>743</v>
      </c>
      <c r="C107" s="1" t="s">
        <v>166</v>
      </c>
      <c r="D107" s="1" t="s">
        <v>42</v>
      </c>
      <c r="E107" s="1" t="s">
        <v>167</v>
      </c>
      <c r="F107" s="1" t="n">
        <v>5</v>
      </c>
      <c r="G107" s="1" t="n">
        <v>1</v>
      </c>
      <c r="H107" s="1" t="n">
        <v>1</v>
      </c>
      <c r="I107" s="8" t="n">
        <v>385470</v>
      </c>
      <c r="J107" s="1" t="n">
        <v>3</v>
      </c>
      <c r="K107" s="1" t="s">
        <v>120</v>
      </c>
      <c r="L107" s="1" t="n">
        <v>5</v>
      </c>
      <c r="O107" s="1" t="n">
        <v>1</v>
      </c>
      <c r="P107" s="1" t="n">
        <f aca="false">SUM(M107:O107)</f>
        <v>1</v>
      </c>
      <c r="W107" s="1" t="n">
        <f aca="false">SUM(Q107:V107)</f>
        <v>0</v>
      </c>
      <c r="X107" s="1" t="n">
        <v>1</v>
      </c>
      <c r="Y107" s="1" t="n">
        <v>5</v>
      </c>
      <c r="AF107" s="9" t="n">
        <f aca="false">SUM(Z107:AE107)</f>
        <v>0</v>
      </c>
      <c r="AG107" s="10"/>
      <c r="AH107" s="11"/>
      <c r="AI107" s="11"/>
      <c r="AJ107" s="11"/>
      <c r="AK107" s="11"/>
      <c r="AL107" s="11"/>
      <c r="AM107" s="11"/>
      <c r="AN107" s="11" t="n">
        <f aca="false">SUM(AH107:AM107)</f>
        <v>0</v>
      </c>
      <c r="AO107" s="1"/>
      <c r="AP107" s="1"/>
      <c r="AQ107" s="1"/>
      <c r="AR107" s="1"/>
    </row>
    <row r="108" customFormat="false" ht="13.8" hidden="false" customHeight="false" outlineLevel="0" collapsed="false">
      <c r="A108" s="1" t="s">
        <v>182</v>
      </c>
      <c r="B108" s="1" t="n">
        <v>597</v>
      </c>
      <c r="C108" s="1" t="s">
        <v>166</v>
      </c>
      <c r="D108" s="1" t="s">
        <v>42</v>
      </c>
      <c r="E108" s="1" t="s">
        <v>167</v>
      </c>
      <c r="F108" s="1" t="n">
        <v>3</v>
      </c>
      <c r="G108" s="1" t="n">
        <v>1</v>
      </c>
      <c r="H108" s="1" t="n">
        <v>32</v>
      </c>
      <c r="I108" s="8" t="n">
        <v>38420042</v>
      </c>
      <c r="J108" s="1" t="n">
        <v>2</v>
      </c>
      <c r="K108" s="1" t="s">
        <v>46</v>
      </c>
      <c r="L108" s="1" t="n">
        <v>4</v>
      </c>
      <c r="O108" s="1" t="n">
        <v>1</v>
      </c>
      <c r="P108" s="1" t="n">
        <f aca="false">SUM(M108:O108)</f>
        <v>1</v>
      </c>
      <c r="W108" s="1" t="n">
        <f aca="false">SUM(Q108:V108)</f>
        <v>0</v>
      </c>
      <c r="X108" s="1" t="n">
        <v>3</v>
      </c>
      <c r="Y108" s="1" t="n">
        <v>2</v>
      </c>
      <c r="AF108" s="9" t="n">
        <f aca="false">SUM(Z108:AE108)</f>
        <v>0</v>
      </c>
      <c r="AG108" s="10"/>
      <c r="AH108" s="11"/>
      <c r="AI108" s="11"/>
      <c r="AJ108" s="11"/>
      <c r="AK108" s="11"/>
      <c r="AL108" s="11"/>
      <c r="AM108" s="11"/>
      <c r="AN108" s="11" t="n">
        <f aca="false">SUM(AH108:AM108)</f>
        <v>0</v>
      </c>
      <c r="AO108" s="1"/>
      <c r="AP108" s="1"/>
      <c r="AQ108" s="1"/>
      <c r="AR108" s="1"/>
    </row>
    <row r="109" customFormat="false" ht="13.8" hidden="false" customHeight="false" outlineLevel="0" collapsed="false">
      <c r="A109" s="1" t="s">
        <v>183</v>
      </c>
      <c r="B109" s="1" t="n">
        <v>613</v>
      </c>
      <c r="C109" s="1" t="s">
        <v>166</v>
      </c>
      <c r="D109" s="1" t="s">
        <v>42</v>
      </c>
      <c r="E109" s="1" t="s">
        <v>167</v>
      </c>
      <c r="F109" s="1" t="n">
        <v>28</v>
      </c>
      <c r="G109" s="1" t="n">
        <v>1</v>
      </c>
      <c r="H109" s="1" t="n">
        <v>13</v>
      </c>
      <c r="I109" s="8" t="n">
        <v>17326224</v>
      </c>
      <c r="J109" s="1" t="n">
        <v>3</v>
      </c>
      <c r="K109" s="1" t="s">
        <v>57</v>
      </c>
      <c r="L109" s="1" t="n">
        <v>8</v>
      </c>
      <c r="N109" s="1" t="n">
        <v>1</v>
      </c>
      <c r="O109" s="1" t="n">
        <v>1</v>
      </c>
      <c r="P109" s="1" t="n">
        <f aca="false">SUM(M109:O109)</f>
        <v>2</v>
      </c>
      <c r="W109" s="1" t="n">
        <f aca="false">SUM(Q109:V109)</f>
        <v>0</v>
      </c>
      <c r="X109" s="1" t="n">
        <v>6</v>
      </c>
      <c r="Y109" s="1" t="n">
        <v>6</v>
      </c>
      <c r="AF109" s="9" t="n">
        <f aca="false">SUM(Z109:AE109)</f>
        <v>0</v>
      </c>
      <c r="AG109" s="10"/>
      <c r="AH109" s="11"/>
      <c r="AI109" s="11"/>
      <c r="AJ109" s="11"/>
      <c r="AK109" s="11"/>
      <c r="AL109" s="11"/>
      <c r="AM109" s="11"/>
      <c r="AN109" s="11" t="n">
        <f aca="false">SUM(AH109:AM109)</f>
        <v>0</v>
      </c>
      <c r="AO109" s="1"/>
      <c r="AP109" s="1"/>
      <c r="AQ109" s="1"/>
      <c r="AR109" s="1"/>
    </row>
    <row r="110" customFormat="false" ht="13.8" hidden="false" customHeight="false" outlineLevel="0" collapsed="false">
      <c r="A110" s="1" t="s">
        <v>184</v>
      </c>
      <c r="B110" s="1" t="n">
        <v>605</v>
      </c>
      <c r="C110" s="1" t="s">
        <v>166</v>
      </c>
      <c r="D110" s="1" t="s">
        <v>42</v>
      </c>
      <c r="E110" s="1" t="s">
        <v>167</v>
      </c>
      <c r="F110" s="1" t="n">
        <v>25</v>
      </c>
      <c r="G110" s="1" t="n">
        <v>1</v>
      </c>
      <c r="H110" s="1" t="n">
        <v>17</v>
      </c>
      <c r="I110" s="8" t="n">
        <v>53027952</v>
      </c>
      <c r="J110" s="1" t="n">
        <v>4</v>
      </c>
      <c r="K110" s="1" t="s">
        <v>96</v>
      </c>
      <c r="L110" s="1" t="n">
        <v>6</v>
      </c>
      <c r="M110" s="1" t="n">
        <v>3</v>
      </c>
      <c r="O110" s="1" t="n">
        <v>3</v>
      </c>
      <c r="P110" s="1" t="n">
        <f aca="false">SUM(M110:O110)</f>
        <v>6</v>
      </c>
      <c r="U110" s="1" t="n">
        <v>14</v>
      </c>
      <c r="W110" s="1" t="n">
        <f aca="false">SUM(Q110:V110)</f>
        <v>14</v>
      </c>
      <c r="X110" s="1" t="n">
        <v>2</v>
      </c>
      <c r="AD110" s="9" t="n">
        <f aca="false">(U110)*(1+(J110)*0.2)</f>
        <v>25.2</v>
      </c>
      <c r="AF110" s="9" t="n">
        <f aca="false">SUM(Z110:AE110)</f>
        <v>25.2</v>
      </c>
      <c r="AG110" s="10" t="s">
        <v>53</v>
      </c>
      <c r="AH110" s="11"/>
      <c r="AI110" s="11"/>
      <c r="AJ110" s="11"/>
      <c r="AK110" s="11"/>
      <c r="AL110" s="11" t="n">
        <f aca="false">IF(AG110="yes",AD110*1.2,AD110)</f>
        <v>25.2</v>
      </c>
      <c r="AM110" s="11"/>
      <c r="AN110" s="11" t="n">
        <f aca="false">SUM(AH110:AM110)</f>
        <v>25.2</v>
      </c>
      <c r="AO110" s="1"/>
      <c r="AP110" s="1"/>
      <c r="AQ110" s="1"/>
      <c r="AR110" s="1"/>
    </row>
    <row r="111" customFormat="false" ht="13.8" hidden="false" customHeight="false" outlineLevel="0" collapsed="false">
      <c r="A111" s="1" t="s">
        <v>185</v>
      </c>
      <c r="B111" s="1" t="n">
        <v>744</v>
      </c>
      <c r="C111" s="1" t="s">
        <v>166</v>
      </c>
      <c r="D111" s="1" t="s">
        <v>42</v>
      </c>
      <c r="E111" s="1" t="s">
        <v>167</v>
      </c>
      <c r="F111" s="1" t="n">
        <v>1</v>
      </c>
      <c r="G111" s="1" t="n">
        <v>1</v>
      </c>
      <c r="H111" s="1" t="n">
        <v>11</v>
      </c>
      <c r="I111" s="8" t="n">
        <v>9010986</v>
      </c>
      <c r="J111" s="1" t="n">
        <v>2</v>
      </c>
      <c r="K111" s="1" t="s">
        <v>46</v>
      </c>
      <c r="L111" s="1" t="n">
        <v>4</v>
      </c>
      <c r="P111" s="1" t="n">
        <f aca="false">SUM(M111:O111)</f>
        <v>0</v>
      </c>
      <c r="W111" s="1" t="n">
        <f aca="false">SUM(Q111:V111)</f>
        <v>0</v>
      </c>
      <c r="AA111" s="9"/>
      <c r="AF111" s="9" t="n">
        <f aca="false">SUM(Z111:AE111)</f>
        <v>0</v>
      </c>
      <c r="AG111" s="10"/>
      <c r="AH111" s="11"/>
      <c r="AI111" s="11"/>
      <c r="AJ111" s="11"/>
      <c r="AK111" s="11"/>
      <c r="AL111" s="11"/>
      <c r="AM111" s="11"/>
      <c r="AN111" s="11" t="n">
        <f aca="false">SUM(AH111:AM111)</f>
        <v>0</v>
      </c>
      <c r="AO111" s="1"/>
      <c r="AP111" s="1"/>
      <c r="AQ111" s="1"/>
      <c r="AR111" s="1"/>
    </row>
    <row r="112" customFormat="false" ht="13.8" hidden="false" customHeight="false" outlineLevel="0" collapsed="false">
      <c r="A112" s="1" t="s">
        <v>186</v>
      </c>
      <c r="B112" s="1" t="n">
        <v>601</v>
      </c>
      <c r="C112" s="1" t="s">
        <v>166</v>
      </c>
      <c r="D112" s="1" t="s">
        <v>42</v>
      </c>
      <c r="E112" s="1" t="s">
        <v>167</v>
      </c>
      <c r="F112" s="1" t="n">
        <v>1</v>
      </c>
      <c r="G112" s="1" t="n">
        <v>1</v>
      </c>
      <c r="H112" s="1" t="n">
        <v>8</v>
      </c>
      <c r="I112" s="8" t="n">
        <v>368649</v>
      </c>
      <c r="J112" s="1" t="n">
        <v>1</v>
      </c>
      <c r="K112" s="1" t="s">
        <v>76</v>
      </c>
      <c r="L112" s="1" t="n">
        <v>0</v>
      </c>
      <c r="P112" s="1" t="n">
        <f aca="false">SUM(M112:O112)</f>
        <v>0</v>
      </c>
      <c r="Q112" s="1" t="n">
        <v>2</v>
      </c>
      <c r="W112" s="1" t="n">
        <f aca="false">SUM(Q112:V112)</f>
        <v>2</v>
      </c>
      <c r="Z112" s="1" t="n">
        <f aca="false">(Q112)*(1+(J112)*0.2)</f>
        <v>2.4</v>
      </c>
      <c r="AA112" s="9"/>
      <c r="AE112" s="20"/>
      <c r="AF112" s="9" t="n">
        <f aca="false">SUM(Z112:AE112)</f>
        <v>2.4</v>
      </c>
      <c r="AG112" s="10" t="s">
        <v>53</v>
      </c>
      <c r="AH112" s="11" t="n">
        <f aca="false">IF(AG112="yes",Z112*1.2,Z112)</f>
        <v>2.4</v>
      </c>
      <c r="AI112" s="11"/>
      <c r="AJ112" s="11"/>
      <c r="AK112" s="11"/>
      <c r="AL112" s="11"/>
      <c r="AM112" s="11"/>
      <c r="AN112" s="11" t="n">
        <f aca="false">SUM(AH112:AM112)</f>
        <v>2.4</v>
      </c>
      <c r="AO112" s="1"/>
      <c r="AP112" s="1"/>
      <c r="AQ112" s="1"/>
      <c r="AR112" s="1"/>
    </row>
    <row r="113" customFormat="false" ht="13.8" hidden="false" customHeight="false" outlineLevel="0" collapsed="false">
      <c r="A113" s="1" t="s">
        <v>187</v>
      </c>
      <c r="B113" s="1" t="n">
        <v>596</v>
      </c>
      <c r="C113" s="1" t="s">
        <v>166</v>
      </c>
      <c r="D113" s="1" t="s">
        <v>42</v>
      </c>
      <c r="E113" s="1" t="s">
        <v>167</v>
      </c>
      <c r="F113" s="1" t="n">
        <v>2</v>
      </c>
      <c r="G113" s="1" t="n">
        <v>1</v>
      </c>
      <c r="H113" s="1" t="n">
        <v>23</v>
      </c>
      <c r="I113" s="8" t="n">
        <v>21256616</v>
      </c>
      <c r="J113" s="1" t="n">
        <v>2</v>
      </c>
      <c r="K113" s="1" t="s">
        <v>96</v>
      </c>
      <c r="L113" s="1" t="n">
        <v>6</v>
      </c>
      <c r="P113" s="1" t="n">
        <f aca="false">SUM(M113:O113)</f>
        <v>0</v>
      </c>
      <c r="W113" s="1" t="n">
        <f aca="false">SUM(Q113:V113)</f>
        <v>0</v>
      </c>
      <c r="Y113" s="1" t="n">
        <v>7</v>
      </c>
      <c r="AA113" s="9"/>
      <c r="AE113" s="20"/>
      <c r="AF113" s="9" t="n">
        <f aca="false">SUM(Z113:AE113)</f>
        <v>0</v>
      </c>
      <c r="AG113" s="10"/>
      <c r="AH113" s="11"/>
      <c r="AI113" s="11"/>
      <c r="AJ113" s="11"/>
      <c r="AK113" s="11"/>
      <c r="AL113" s="11"/>
      <c r="AM113" s="11"/>
      <c r="AN113" s="11" t="n">
        <f aca="false">SUM(AH113:AM113)</f>
        <v>0</v>
      </c>
      <c r="AO113" s="1"/>
      <c r="AP113" s="1"/>
      <c r="AQ113" s="1"/>
      <c r="AR113" s="1"/>
    </row>
    <row r="114" customFormat="false" ht="13.8" hidden="false" customHeight="false" outlineLevel="0" collapsed="false">
      <c r="A114" s="1" t="s">
        <v>188</v>
      </c>
      <c r="B114" s="1" t="n">
        <v>748</v>
      </c>
      <c r="C114" s="1" t="s">
        <v>166</v>
      </c>
      <c r="D114" s="1" t="s">
        <v>42</v>
      </c>
      <c r="E114" s="1" t="s">
        <v>167</v>
      </c>
      <c r="F114" s="1" t="n">
        <v>3</v>
      </c>
      <c r="G114" s="1" t="n">
        <v>1</v>
      </c>
      <c r="H114" s="1" t="n">
        <v>7</v>
      </c>
      <c r="I114" s="8" t="n">
        <v>1501831</v>
      </c>
      <c r="J114" s="1" t="n">
        <v>1</v>
      </c>
      <c r="K114" s="1" t="s">
        <v>51</v>
      </c>
      <c r="L114" s="1" t="n">
        <v>1</v>
      </c>
      <c r="P114" s="1" t="n">
        <f aca="false">SUM(M114:O114)</f>
        <v>0</v>
      </c>
      <c r="W114" s="1" t="n">
        <f aca="false">SUM(Q114:V114)</f>
        <v>0</v>
      </c>
      <c r="AF114" s="9" t="n">
        <f aca="false">SUM(Z114:AE114)</f>
        <v>0</v>
      </c>
      <c r="AG114" s="10"/>
      <c r="AH114" s="11"/>
      <c r="AI114" s="11"/>
      <c r="AJ114" s="11"/>
      <c r="AK114" s="11"/>
      <c r="AL114" s="11"/>
      <c r="AM114" s="11"/>
      <c r="AN114" s="11" t="n">
        <f aca="false">SUM(AH114:AM114)</f>
        <v>0</v>
      </c>
      <c r="AO114" s="1"/>
      <c r="AP114" s="1"/>
      <c r="AQ114" s="1"/>
      <c r="AR114" s="1"/>
    </row>
    <row r="115" customFormat="false" ht="13.8" hidden="false" customHeight="false" outlineLevel="0" collapsed="false">
      <c r="A115" s="1" t="s">
        <v>189</v>
      </c>
      <c r="B115" s="1" t="n">
        <v>306</v>
      </c>
      <c r="C115" s="1" t="s">
        <v>190</v>
      </c>
      <c r="D115" s="1" t="s">
        <v>42</v>
      </c>
      <c r="E115" s="1" t="s">
        <v>191</v>
      </c>
      <c r="F115" s="1" t="n">
        <v>10</v>
      </c>
      <c r="G115" s="1" t="n">
        <v>1</v>
      </c>
      <c r="H115" s="1" t="n">
        <v>7</v>
      </c>
      <c r="I115" s="8" t="n">
        <v>4959095</v>
      </c>
      <c r="J115" s="1" t="n">
        <v>2</v>
      </c>
      <c r="K115" s="1" t="s">
        <v>96</v>
      </c>
      <c r="L115" s="1" t="n">
        <v>6</v>
      </c>
      <c r="M115" s="1" t="n">
        <v>1</v>
      </c>
      <c r="O115" s="1" t="n">
        <v>5</v>
      </c>
      <c r="P115" s="1" t="n">
        <f aca="false">SUM(M115:O115)</f>
        <v>6</v>
      </c>
      <c r="W115" s="1" t="n">
        <f aca="false">SUM(Q115:V115)</f>
        <v>0</v>
      </c>
      <c r="X115" s="1" t="n">
        <v>2</v>
      </c>
      <c r="AD115" s="9"/>
      <c r="AF115" s="9" t="n">
        <f aca="false">SUM(Z115:AE115)</f>
        <v>0</v>
      </c>
      <c r="AG115" s="10"/>
      <c r="AH115" s="11"/>
      <c r="AI115" s="11"/>
      <c r="AJ115" s="11"/>
      <c r="AK115" s="11"/>
      <c r="AL115" s="11"/>
      <c r="AM115" s="11"/>
      <c r="AN115" s="11" t="n">
        <f aca="false">SUM(AH115:AM115)</f>
        <v>0</v>
      </c>
      <c r="AO115" s="1"/>
      <c r="AP115" s="1"/>
      <c r="AQ115" s="1"/>
      <c r="AR115" s="1"/>
    </row>
    <row r="116" customFormat="false" ht="13.8" hidden="false" customHeight="false" outlineLevel="0" collapsed="false">
      <c r="A116" s="1" t="s">
        <v>192</v>
      </c>
      <c r="B116" s="1" t="n">
        <v>493</v>
      </c>
      <c r="C116" s="1" t="s">
        <v>190</v>
      </c>
      <c r="D116" s="1" t="s">
        <v>42</v>
      </c>
      <c r="E116" s="1" t="s">
        <v>191</v>
      </c>
      <c r="F116" s="1" t="n">
        <v>6</v>
      </c>
      <c r="G116" s="1" t="n">
        <v>1</v>
      </c>
      <c r="H116" s="1" t="n">
        <v>11</v>
      </c>
      <c r="I116" s="8" t="n">
        <v>2830232</v>
      </c>
      <c r="J116" s="1" t="n">
        <v>2</v>
      </c>
      <c r="K116" s="1" t="s">
        <v>46</v>
      </c>
      <c r="L116" s="1" t="n">
        <v>4</v>
      </c>
      <c r="O116" s="1" t="n">
        <v>2</v>
      </c>
      <c r="P116" s="1" t="n">
        <f aca="false">SUM(M116:O116)</f>
        <v>2</v>
      </c>
      <c r="Q116" s="1" t="n">
        <v>15</v>
      </c>
      <c r="W116" s="1" t="n">
        <f aca="false">SUM(Q116:V116)</f>
        <v>15</v>
      </c>
      <c r="X116" s="1" t="n">
        <v>4</v>
      </c>
      <c r="Y116" s="1" t="n">
        <v>6</v>
      </c>
      <c r="Z116" s="9" t="n">
        <f aca="false">(Q116)*(1+(J116)*0.2)</f>
        <v>21</v>
      </c>
      <c r="AF116" s="9" t="n">
        <f aca="false">SUM(Z116:AE116)</f>
        <v>21</v>
      </c>
      <c r="AG116" s="10" t="s">
        <v>47</v>
      </c>
      <c r="AH116" s="11" t="n">
        <f aca="false">IF(AG116="yes",Z116*1.2,Z116)</f>
        <v>25.2</v>
      </c>
      <c r="AI116" s="11"/>
      <c r="AJ116" s="11"/>
      <c r="AK116" s="11"/>
      <c r="AL116" s="11"/>
      <c r="AM116" s="11"/>
      <c r="AN116" s="11" t="n">
        <f aca="false">SUM(AH116:AM116)</f>
        <v>25.2</v>
      </c>
      <c r="AO116" s="1"/>
      <c r="AP116" s="1"/>
      <c r="AQ116" s="1"/>
      <c r="AR116" s="1"/>
    </row>
    <row r="117" customFormat="false" ht="13.8" hidden="false" customHeight="false" outlineLevel="0" collapsed="false">
      <c r="A117" s="1" t="s">
        <v>193</v>
      </c>
      <c r="B117" s="1" t="n">
        <v>486</v>
      </c>
      <c r="C117" s="1" t="s">
        <v>190</v>
      </c>
      <c r="D117" s="1" t="s">
        <v>42</v>
      </c>
      <c r="E117" s="1" t="s">
        <v>191</v>
      </c>
      <c r="G117" s="1" t="n">
        <v>1</v>
      </c>
      <c r="H117" s="1" t="n">
        <v>7</v>
      </c>
      <c r="I117" s="8" t="n">
        <v>213420</v>
      </c>
      <c r="J117" s="1" t="n">
        <v>1</v>
      </c>
      <c r="K117" s="1" t="s">
        <v>51</v>
      </c>
      <c r="L117" s="1" t="n">
        <v>1</v>
      </c>
      <c r="P117" s="1" t="n">
        <f aca="false">SUM(M117:O117)</f>
        <v>0</v>
      </c>
      <c r="W117" s="1" t="n">
        <f aca="false">SUM(Q117:V117)</f>
        <v>0</v>
      </c>
      <c r="AA117" s="9"/>
      <c r="AF117" s="9" t="n">
        <f aca="false">SUM(Z117:AE117)</f>
        <v>0</v>
      </c>
      <c r="AG117" s="10"/>
      <c r="AH117" s="11"/>
      <c r="AI117" s="11"/>
      <c r="AJ117" s="11"/>
      <c r="AK117" s="11"/>
      <c r="AL117" s="11"/>
      <c r="AM117" s="11"/>
      <c r="AN117" s="11" t="n">
        <f aca="false">SUM(AH117:AM117)</f>
        <v>0</v>
      </c>
      <c r="AO117" s="1"/>
      <c r="AP117" s="1"/>
      <c r="AQ117" s="1"/>
      <c r="AR117" s="1"/>
    </row>
    <row r="118" customFormat="false" ht="13.8" hidden="false" customHeight="false" outlineLevel="0" collapsed="false">
      <c r="A118" s="1" t="s">
        <v>194</v>
      </c>
      <c r="B118" s="1" t="n">
        <v>622</v>
      </c>
      <c r="C118" s="1" t="s">
        <v>195</v>
      </c>
      <c r="D118" s="1" t="s">
        <v>42</v>
      </c>
      <c r="E118" s="1" t="s">
        <v>196</v>
      </c>
      <c r="F118" s="1" t="n">
        <v>3</v>
      </c>
      <c r="G118" s="1" t="n">
        <v>1</v>
      </c>
      <c r="H118" s="1" t="n">
        <v>12</v>
      </c>
      <c r="I118" s="8" t="n">
        <v>7014752</v>
      </c>
      <c r="J118" s="1" t="n">
        <v>1</v>
      </c>
      <c r="K118" s="1" t="s">
        <v>96</v>
      </c>
      <c r="L118" s="1" t="n">
        <v>6</v>
      </c>
      <c r="M118" s="1" t="n">
        <v>3</v>
      </c>
      <c r="O118" s="1" t="n">
        <v>3</v>
      </c>
      <c r="P118" s="1" t="n">
        <f aca="false">SUM(M118:O118)</f>
        <v>6</v>
      </c>
      <c r="T118" s="1" t="n">
        <v>3</v>
      </c>
      <c r="U118" s="1" t="n">
        <v>3</v>
      </c>
      <c r="W118" s="1" t="n">
        <f aca="false">SUM(Q118:V118)</f>
        <v>6</v>
      </c>
      <c r="AC118" s="9" t="n">
        <f aca="false">(T118)*(1+(J118)*0.2)</f>
        <v>3.6</v>
      </c>
      <c r="AD118" s="9" t="n">
        <f aca="false">(U118)*(1+(J118)*0.2)</f>
        <v>3.6</v>
      </c>
      <c r="AF118" s="9" t="n">
        <f aca="false">SUM(Z118:AE118)</f>
        <v>7.2</v>
      </c>
      <c r="AG118" s="10" t="s">
        <v>47</v>
      </c>
      <c r="AH118" s="11"/>
      <c r="AI118" s="11"/>
      <c r="AJ118" s="11"/>
      <c r="AK118" s="11" t="n">
        <f aca="false">IF(AG118="yes",AC118*1.2,AC118)</f>
        <v>4.32</v>
      </c>
      <c r="AL118" s="11" t="n">
        <f aca="false">IF(AG118="yes",AD118*1.2,AD118)</f>
        <v>4.32</v>
      </c>
      <c r="AM118" s="11"/>
      <c r="AN118" s="11" t="n">
        <f aca="false">SUM(AH118:AM118)</f>
        <v>8.64</v>
      </c>
      <c r="AO118" s="1"/>
      <c r="AP118" s="1"/>
      <c r="AQ118" s="1"/>
      <c r="AR118" s="1"/>
    </row>
    <row r="119" customFormat="false" ht="13.8" hidden="false" customHeight="false" outlineLevel="0" collapsed="false">
      <c r="A119" s="1" t="s">
        <v>197</v>
      </c>
      <c r="B119" s="1" t="n">
        <v>316</v>
      </c>
      <c r="C119" s="1" t="s">
        <v>198</v>
      </c>
      <c r="D119" s="1" t="s">
        <v>42</v>
      </c>
      <c r="E119" s="1" t="s">
        <v>197</v>
      </c>
      <c r="F119" s="1" t="n">
        <v>3</v>
      </c>
      <c r="G119" s="1" t="n">
        <v>1</v>
      </c>
      <c r="H119" s="1" t="n">
        <v>3</v>
      </c>
      <c r="I119" s="8" t="n">
        <v>504471</v>
      </c>
      <c r="J119" s="1" t="n">
        <v>2</v>
      </c>
      <c r="K119" s="1" t="s">
        <v>46</v>
      </c>
      <c r="L119" s="1" t="n">
        <v>4</v>
      </c>
      <c r="M119" s="1" t="n">
        <v>1</v>
      </c>
      <c r="O119" s="1" t="n">
        <v>2</v>
      </c>
      <c r="P119" s="1" t="n">
        <f aca="false">SUM(M119:O119)</f>
        <v>3</v>
      </c>
      <c r="V119" s="1" t="n">
        <v>1</v>
      </c>
      <c r="W119" s="1" t="n">
        <f aca="false">SUM(Q119:V119)</f>
        <v>1</v>
      </c>
      <c r="X119" s="1" t="n">
        <v>1</v>
      </c>
      <c r="Y119" s="1" t="n">
        <v>1</v>
      </c>
      <c r="AC119" s="9"/>
      <c r="AE119" s="9" t="n">
        <f aca="false">(V119)*(1+(J119)*0.2)</f>
        <v>1.4</v>
      </c>
      <c r="AF119" s="9" t="n">
        <f aca="false">SUM(Z119:AE119)</f>
        <v>1.4</v>
      </c>
      <c r="AG119" s="10" t="s">
        <v>47</v>
      </c>
      <c r="AH119" s="11"/>
      <c r="AI119" s="11"/>
      <c r="AJ119" s="11"/>
      <c r="AK119" s="11"/>
      <c r="AL119" s="11"/>
      <c r="AM119" s="11" t="n">
        <f aca="false">IF(AG119="yes",AE119*1.2,AE119)</f>
        <v>1.68</v>
      </c>
      <c r="AN119" s="11" t="n">
        <f aca="false">SUM(AH119:AM119)</f>
        <v>1.68</v>
      </c>
      <c r="AO119" s="1"/>
      <c r="AP119" s="1"/>
      <c r="AQ119" s="1"/>
      <c r="AR119" s="1"/>
    </row>
    <row r="120" customFormat="false" ht="13.8" hidden="false" customHeight="false" outlineLevel="0" collapsed="false">
      <c r="A120" s="1" t="s">
        <v>199</v>
      </c>
      <c r="B120" s="1" t="n">
        <v>315</v>
      </c>
      <c r="C120" s="1" t="s">
        <v>200</v>
      </c>
      <c r="D120" s="1" t="s">
        <v>42</v>
      </c>
      <c r="E120" s="1" t="s">
        <v>199</v>
      </c>
      <c r="F120" s="1" t="n">
        <v>6</v>
      </c>
      <c r="G120" s="1" t="n">
        <v>1</v>
      </c>
      <c r="H120" s="1" t="n">
        <v>10</v>
      </c>
      <c r="I120" s="8" t="n">
        <v>3612323</v>
      </c>
      <c r="J120" s="1" t="n">
        <v>2</v>
      </c>
      <c r="K120" s="1" t="s">
        <v>46</v>
      </c>
      <c r="L120" s="1" t="n">
        <v>4</v>
      </c>
      <c r="M120" s="1" t="n">
        <v>1</v>
      </c>
      <c r="O120" s="1" t="n">
        <v>3</v>
      </c>
      <c r="P120" s="1" t="n">
        <f aca="false">SUM(M120:O120)</f>
        <v>4</v>
      </c>
      <c r="U120" s="1" t="n">
        <v>3</v>
      </c>
      <c r="V120" s="1" t="n">
        <v>90</v>
      </c>
      <c r="W120" s="1" t="n">
        <f aca="false">SUM(Q120:V120)</f>
        <v>93</v>
      </c>
      <c r="X120" s="1" t="n">
        <v>1</v>
      </c>
      <c r="Y120" s="1" t="n">
        <v>4</v>
      </c>
      <c r="AA120" s="9"/>
      <c r="AD120" s="9" t="n">
        <f aca="false">(U120)*(1+(J120)*0.2)</f>
        <v>4.2</v>
      </c>
      <c r="AE120" s="9" t="n">
        <f aca="false">(V120)*(1+(J120)*0.2)</f>
        <v>126</v>
      </c>
      <c r="AF120" s="9" t="n">
        <f aca="false">SUM(Z120:AE120)</f>
        <v>130.2</v>
      </c>
      <c r="AG120" s="10" t="s">
        <v>47</v>
      </c>
      <c r="AH120" s="11"/>
      <c r="AI120" s="11"/>
      <c r="AJ120" s="11"/>
      <c r="AK120" s="11"/>
      <c r="AL120" s="11" t="n">
        <f aca="false">IF(AG120="yes",AD120*1.2,AD120)</f>
        <v>5.04</v>
      </c>
      <c r="AM120" s="11" t="n">
        <f aca="false">IF(AG120="yes",AE120*1.2,AE120)</f>
        <v>151.2</v>
      </c>
      <c r="AN120" s="11" t="n">
        <f aca="false">SUM(AH120:AM120)</f>
        <v>156.24</v>
      </c>
      <c r="AO120" s="1"/>
      <c r="AP120" s="1"/>
      <c r="AQ120" s="1"/>
      <c r="AR120" s="1"/>
    </row>
    <row r="121" customFormat="false" ht="13.8" hidden="false" customHeight="false" outlineLevel="0" collapsed="false">
      <c r="A121" s="1" t="s">
        <v>201</v>
      </c>
      <c r="B121" s="1" t="n">
        <v>9</v>
      </c>
      <c r="C121" s="1" t="s">
        <v>202</v>
      </c>
      <c r="D121" s="1" t="s">
        <v>42</v>
      </c>
      <c r="E121" s="1" t="s">
        <v>203</v>
      </c>
      <c r="F121" s="1" t="n">
        <v>40</v>
      </c>
      <c r="G121" s="1" t="n">
        <v>1</v>
      </c>
      <c r="H121" s="1" t="n">
        <v>14</v>
      </c>
      <c r="I121" s="8" t="n">
        <v>4498084</v>
      </c>
      <c r="J121" s="1" t="n">
        <v>4</v>
      </c>
      <c r="K121" s="1" t="s">
        <v>57</v>
      </c>
      <c r="L121" s="1" t="n">
        <v>8</v>
      </c>
      <c r="M121" s="1" t="n">
        <v>6</v>
      </c>
      <c r="O121" s="1" t="n">
        <v>1</v>
      </c>
      <c r="P121" s="1" t="n">
        <f aca="false">SUM(M121:O121)</f>
        <v>7</v>
      </c>
      <c r="U121" s="1" t="n">
        <v>5</v>
      </c>
      <c r="W121" s="1" t="n">
        <f aca="false">SUM(Q121:V121)</f>
        <v>5</v>
      </c>
      <c r="X121" s="1" t="n">
        <v>5</v>
      </c>
      <c r="AD121" s="9" t="n">
        <f aca="false">(U121)*(1+(J121)*0.2)</f>
        <v>9</v>
      </c>
      <c r="AF121" s="9" t="n">
        <f aca="false">SUM(Z121:AE121)</f>
        <v>9</v>
      </c>
      <c r="AG121" s="10" t="s">
        <v>47</v>
      </c>
      <c r="AH121" s="11"/>
      <c r="AI121" s="11"/>
      <c r="AJ121" s="11"/>
      <c r="AK121" s="11"/>
      <c r="AL121" s="11" t="n">
        <f aca="false">IF(AG121="yes",AD121*1.2,AD121)</f>
        <v>10.8</v>
      </c>
      <c r="AM121" s="11"/>
      <c r="AN121" s="11" t="n">
        <f aca="false">SUM(AH121:AM121)</f>
        <v>10.8</v>
      </c>
      <c r="AO121" s="1"/>
      <c r="AP121" s="1"/>
      <c r="AQ121" s="1"/>
      <c r="AR121" s="1"/>
    </row>
    <row r="122" customFormat="false" ht="13.8" hidden="false" customHeight="false" outlineLevel="0" collapsed="false">
      <c r="A122" s="1" t="s">
        <v>204</v>
      </c>
      <c r="B122" s="1" t="n">
        <v>73</v>
      </c>
      <c r="C122" s="1" t="s">
        <v>202</v>
      </c>
      <c r="D122" s="1" t="s">
        <v>42</v>
      </c>
      <c r="E122" s="1" t="s">
        <v>203</v>
      </c>
      <c r="F122" s="1" t="n">
        <v>1</v>
      </c>
      <c r="G122" s="1" t="n">
        <v>1</v>
      </c>
      <c r="H122" s="1" t="n">
        <v>5</v>
      </c>
      <c r="I122" s="8" t="n">
        <v>855343</v>
      </c>
      <c r="J122" s="1" t="n">
        <v>3</v>
      </c>
      <c r="K122" s="1" t="s">
        <v>44</v>
      </c>
      <c r="L122" s="1" t="n">
        <v>2</v>
      </c>
      <c r="P122" s="1" t="n">
        <f aca="false">SUM(M122:O122)</f>
        <v>0</v>
      </c>
      <c r="W122" s="1" t="n">
        <f aca="false">SUM(Q122:V122)</f>
        <v>0</v>
      </c>
      <c r="AF122" s="9" t="n">
        <f aca="false">SUM(Z122:AE122)</f>
        <v>0</v>
      </c>
      <c r="AG122" s="10"/>
      <c r="AH122" s="11"/>
      <c r="AI122" s="11"/>
      <c r="AJ122" s="11"/>
      <c r="AK122" s="11"/>
      <c r="AL122" s="11"/>
      <c r="AM122" s="11"/>
      <c r="AN122" s="11" t="n">
        <f aca="false">SUM(AH122:AM122)</f>
        <v>0</v>
      </c>
      <c r="AO122" s="1"/>
      <c r="AP122" s="1"/>
      <c r="AQ122" s="1"/>
      <c r="AR122" s="1"/>
    </row>
    <row r="123" customFormat="false" ht="13.8" hidden="false" customHeight="false" outlineLevel="0" collapsed="false">
      <c r="A123" s="1" t="s">
        <v>205</v>
      </c>
      <c r="B123" s="1" t="n">
        <v>71</v>
      </c>
      <c r="C123" s="1" t="s">
        <v>202</v>
      </c>
      <c r="D123" s="1" t="s">
        <v>42</v>
      </c>
      <c r="E123" s="1" t="s">
        <v>203</v>
      </c>
      <c r="F123" s="1" t="n">
        <v>3</v>
      </c>
      <c r="G123" s="1" t="n">
        <v>1</v>
      </c>
      <c r="H123" s="1" t="n">
        <v>7</v>
      </c>
      <c r="I123" s="8" t="n">
        <v>1199262</v>
      </c>
      <c r="J123" s="1" t="n">
        <v>2</v>
      </c>
      <c r="K123" s="1" t="s">
        <v>44</v>
      </c>
      <c r="L123" s="1" t="n">
        <v>2</v>
      </c>
      <c r="O123" s="1" t="n">
        <v>2</v>
      </c>
      <c r="P123" s="1" t="n">
        <f aca="false">SUM(M123:O123)</f>
        <v>2</v>
      </c>
      <c r="W123" s="1" t="n">
        <f aca="false">SUM(Q123:V123)</f>
        <v>0</v>
      </c>
      <c r="AF123" s="9" t="n">
        <f aca="false">SUM(Z123:AE123)</f>
        <v>0</v>
      </c>
      <c r="AG123" s="10"/>
      <c r="AH123" s="11"/>
      <c r="AI123" s="11"/>
      <c r="AJ123" s="11"/>
      <c r="AK123" s="11"/>
      <c r="AL123" s="11"/>
      <c r="AM123" s="11"/>
      <c r="AN123" s="11" t="n">
        <f aca="false">SUM(AH123:AM123)</f>
        <v>0</v>
      </c>
      <c r="AO123" s="1"/>
      <c r="AP123" s="1"/>
      <c r="AQ123" s="1"/>
      <c r="AR123" s="1"/>
    </row>
    <row r="124" customFormat="false" ht="13.8" hidden="false" customHeight="false" outlineLevel="0" collapsed="false">
      <c r="A124" s="1" t="s">
        <v>206</v>
      </c>
      <c r="B124" s="1" t="n">
        <v>74</v>
      </c>
      <c r="C124" s="1" t="s">
        <v>202</v>
      </c>
      <c r="D124" s="1" t="s">
        <v>42</v>
      </c>
      <c r="E124" s="1" t="s">
        <v>203</v>
      </c>
      <c r="F124" s="1" t="n">
        <v>5</v>
      </c>
      <c r="G124" s="1" t="n">
        <v>1</v>
      </c>
      <c r="H124" s="1" t="n">
        <v>4</v>
      </c>
      <c r="I124" s="8" t="n">
        <v>821001</v>
      </c>
      <c r="J124" s="1" t="n">
        <v>4</v>
      </c>
      <c r="K124" s="1" t="s">
        <v>44</v>
      </c>
      <c r="L124" s="1" t="n">
        <v>2</v>
      </c>
      <c r="M124" s="1" t="n">
        <v>1</v>
      </c>
      <c r="P124" s="1" t="n">
        <f aca="false">SUM(M124:O124)</f>
        <v>1</v>
      </c>
      <c r="W124" s="1" t="n">
        <f aca="false">SUM(Q124:V124)</f>
        <v>0</v>
      </c>
      <c r="AA124" s="9"/>
      <c r="AD124" s="9"/>
      <c r="AF124" s="9" t="n">
        <f aca="false">SUM(Z124:AE124)</f>
        <v>0</v>
      </c>
      <c r="AG124" s="10"/>
      <c r="AH124" s="11"/>
      <c r="AI124" s="11"/>
      <c r="AJ124" s="11"/>
      <c r="AK124" s="11"/>
      <c r="AL124" s="11"/>
      <c r="AM124" s="11"/>
      <c r="AN124" s="11" t="n">
        <f aca="false">SUM(AH124:AM124)</f>
        <v>0</v>
      </c>
      <c r="AO124" s="1"/>
      <c r="AP124" s="1"/>
      <c r="AQ124" s="1"/>
      <c r="AR124" s="1"/>
    </row>
    <row r="125" customFormat="false" ht="13.8" hidden="false" customHeight="false" outlineLevel="0" collapsed="false">
      <c r="A125" s="1" t="s">
        <v>207</v>
      </c>
      <c r="B125" s="1" t="n">
        <v>75</v>
      </c>
      <c r="C125" s="1" t="s">
        <v>202</v>
      </c>
      <c r="D125" s="1" t="s">
        <v>42</v>
      </c>
      <c r="E125" s="1" t="s">
        <v>203</v>
      </c>
      <c r="F125" s="1" t="n">
        <v>25</v>
      </c>
      <c r="G125" s="1" t="n">
        <v>1</v>
      </c>
      <c r="H125" s="1" t="n">
        <v>7</v>
      </c>
      <c r="I125" s="8" t="n">
        <v>2601572</v>
      </c>
      <c r="J125" s="1" t="n">
        <v>4</v>
      </c>
      <c r="K125" s="1" t="s">
        <v>96</v>
      </c>
      <c r="L125" s="1" t="n">
        <v>6</v>
      </c>
      <c r="O125" s="1" t="n">
        <v>4</v>
      </c>
      <c r="P125" s="1" t="n">
        <f aca="false">SUM(M125:O125)</f>
        <v>4</v>
      </c>
      <c r="Q125" s="1" t="n">
        <v>2</v>
      </c>
      <c r="U125" s="1" t="n">
        <v>4</v>
      </c>
      <c r="W125" s="1" t="n">
        <f aca="false">SUM(Q125:V125)</f>
        <v>6</v>
      </c>
      <c r="X125" s="1" t="n">
        <v>5</v>
      </c>
      <c r="Z125" s="1" t="n">
        <f aca="false">(Q125)*(1+(J125)*0.2)</f>
        <v>3.6</v>
      </c>
      <c r="AD125" s="9" t="n">
        <f aca="false">(U125)*(1+(J125)*0.2)</f>
        <v>7.2</v>
      </c>
      <c r="AF125" s="9" t="n">
        <f aca="false">SUM(Z125:AE125)</f>
        <v>10.8</v>
      </c>
      <c r="AG125" s="10" t="s">
        <v>47</v>
      </c>
      <c r="AH125" s="11" t="n">
        <f aca="false">IF(AG125="yes",Z125*1.2,Z125)</f>
        <v>4.32</v>
      </c>
      <c r="AI125" s="11"/>
      <c r="AJ125" s="11"/>
      <c r="AK125" s="11"/>
      <c r="AL125" s="11" t="n">
        <f aca="false">IF(AG125="yes",AD125*1.2,AD125)</f>
        <v>8.64</v>
      </c>
      <c r="AM125" s="11"/>
      <c r="AN125" s="11" t="n">
        <f aca="false">SUM(AH125:AM125)</f>
        <v>12.96</v>
      </c>
      <c r="AO125" s="1"/>
      <c r="AP125" s="1"/>
      <c r="AQ125" s="1"/>
      <c r="AR125" s="1"/>
    </row>
    <row r="126" customFormat="false" ht="13.8" hidden="false" customHeight="false" outlineLevel="0" collapsed="false">
      <c r="A126" s="1" t="s">
        <v>208</v>
      </c>
      <c r="B126" s="1" t="n">
        <v>664</v>
      </c>
      <c r="C126" s="1" t="s">
        <v>202</v>
      </c>
      <c r="D126" s="1" t="s">
        <v>42</v>
      </c>
      <c r="E126" s="1" t="s">
        <v>203</v>
      </c>
      <c r="F126" s="1" t="n">
        <v>1</v>
      </c>
      <c r="G126" s="1" t="n">
        <v>1</v>
      </c>
      <c r="H126" s="1" t="n">
        <v>6</v>
      </c>
      <c r="I126" s="8" t="n">
        <v>855343</v>
      </c>
      <c r="J126" s="1" t="n">
        <v>3</v>
      </c>
      <c r="K126" s="1" t="s">
        <v>46</v>
      </c>
      <c r="L126" s="1" t="n">
        <v>4</v>
      </c>
      <c r="O126" s="1" t="n">
        <v>3</v>
      </c>
      <c r="P126" s="1" t="n">
        <f aca="false">SUM(M126:O126)</f>
        <v>3</v>
      </c>
      <c r="U126" s="1" t="n">
        <v>13</v>
      </c>
      <c r="V126" s="1" t="n">
        <v>3</v>
      </c>
      <c r="W126" s="1" t="n">
        <f aca="false">SUM(Q126:V126)</f>
        <v>16</v>
      </c>
      <c r="AA126" s="9"/>
      <c r="AD126" s="9" t="n">
        <f aca="false">(U126)*(1+(J126)*0.2)</f>
        <v>20.8</v>
      </c>
      <c r="AE126" s="9" t="n">
        <f aca="false">(V126)*(1+(J126)*0.2)</f>
        <v>4.8</v>
      </c>
      <c r="AF126" s="9" t="n">
        <f aca="false">SUM(Z126:AE126)</f>
        <v>25.6</v>
      </c>
      <c r="AG126" s="10" t="s">
        <v>53</v>
      </c>
      <c r="AH126" s="11"/>
      <c r="AI126" s="11"/>
      <c r="AJ126" s="11"/>
      <c r="AK126" s="11"/>
      <c r="AL126" s="11" t="n">
        <f aca="false">IF(AG126="yes",AD126*1.2,AD126)</f>
        <v>20.8</v>
      </c>
      <c r="AM126" s="11" t="n">
        <f aca="false">IF(AG126="yes",AE126*1.2,AE126)</f>
        <v>4.8</v>
      </c>
      <c r="AN126" s="11" t="n">
        <f aca="false">SUM(AH126:AM126)</f>
        <v>25.6</v>
      </c>
      <c r="AO126" s="1"/>
      <c r="AP126" s="1"/>
      <c r="AQ126" s="1"/>
      <c r="AR126" s="1"/>
    </row>
    <row r="127" customFormat="false" ht="13.8" hidden="false" customHeight="false" outlineLevel="0" collapsed="false">
      <c r="A127" s="1" t="s">
        <v>209</v>
      </c>
      <c r="B127" s="1" t="n">
        <v>69</v>
      </c>
      <c r="C127" s="1" t="s">
        <v>202</v>
      </c>
      <c r="D127" s="1" t="s">
        <v>42</v>
      </c>
      <c r="E127" s="1" t="s">
        <v>203</v>
      </c>
      <c r="F127" s="1" t="n">
        <v>6</v>
      </c>
      <c r="G127" s="1" t="n">
        <v>1</v>
      </c>
      <c r="H127" s="1" t="n">
        <v>14</v>
      </c>
      <c r="I127" s="8" t="n">
        <v>2833455</v>
      </c>
      <c r="J127" s="1" t="n">
        <v>4</v>
      </c>
      <c r="K127" s="1" t="s">
        <v>46</v>
      </c>
      <c r="L127" s="1" t="n">
        <v>4</v>
      </c>
      <c r="O127" s="1" t="n">
        <v>2</v>
      </c>
      <c r="P127" s="1" t="n">
        <f aca="false">SUM(M127:O127)</f>
        <v>2</v>
      </c>
      <c r="U127" s="1" t="n">
        <v>4</v>
      </c>
      <c r="W127" s="1" t="n">
        <f aca="false">SUM(Q127:V127)</f>
        <v>4</v>
      </c>
      <c r="AA127" s="9"/>
      <c r="AC127" s="9"/>
      <c r="AD127" s="9" t="n">
        <f aca="false">(U127)*(1+(J127)*0.2)</f>
        <v>7.2</v>
      </c>
      <c r="AE127" s="20"/>
      <c r="AF127" s="9" t="n">
        <f aca="false">SUM(Z127:AE127)</f>
        <v>7.2</v>
      </c>
      <c r="AG127" s="10" t="s">
        <v>47</v>
      </c>
      <c r="AH127" s="11"/>
      <c r="AI127" s="11"/>
      <c r="AJ127" s="11"/>
      <c r="AK127" s="11"/>
      <c r="AL127" s="11" t="n">
        <f aca="false">IF(AG127="yes",AD127*1.2,AD127)</f>
        <v>8.64</v>
      </c>
      <c r="AM127" s="11"/>
      <c r="AN127" s="11" t="n">
        <f aca="false">SUM(AH127:AM127)</f>
        <v>8.64</v>
      </c>
      <c r="AO127" s="1"/>
      <c r="AP127" s="1"/>
      <c r="AQ127" s="1"/>
      <c r="AR127" s="1"/>
    </row>
    <row r="128" customFormat="false" ht="13.8" hidden="false" customHeight="false" outlineLevel="0" collapsed="false">
      <c r="A128" s="1" t="s">
        <v>210</v>
      </c>
      <c r="B128" s="1" t="n">
        <v>70</v>
      </c>
      <c r="C128" s="1" t="s">
        <v>202</v>
      </c>
      <c r="D128" s="1" t="s">
        <v>42</v>
      </c>
      <c r="E128" s="1" t="s">
        <v>203</v>
      </c>
      <c r="F128" s="1" t="n">
        <v>15</v>
      </c>
      <c r="G128" s="1" t="n">
        <v>1</v>
      </c>
      <c r="H128" s="1" t="n">
        <v>7</v>
      </c>
      <c r="I128" s="8" t="n">
        <v>1232002</v>
      </c>
      <c r="J128" s="1" t="n">
        <v>3</v>
      </c>
      <c r="K128" s="1" t="s">
        <v>96</v>
      </c>
      <c r="L128" s="1" t="n">
        <v>6</v>
      </c>
      <c r="M128" s="1" t="n">
        <v>2</v>
      </c>
      <c r="O128" s="1" t="n">
        <v>3</v>
      </c>
      <c r="P128" s="1" t="n">
        <f aca="false">SUM(M128:O128)</f>
        <v>5</v>
      </c>
      <c r="T128" s="1" t="n">
        <v>1</v>
      </c>
      <c r="W128" s="1" t="n">
        <f aca="false">SUM(Q128:V128)</f>
        <v>1</v>
      </c>
      <c r="X128" s="1" t="n">
        <v>3</v>
      </c>
      <c r="AC128" s="9" t="n">
        <f aca="false">(T128)*(1+(J128)*0.2)</f>
        <v>1.6</v>
      </c>
      <c r="AF128" s="9" t="n">
        <f aca="false">SUM(Z128:AE128)</f>
        <v>1.6</v>
      </c>
      <c r="AG128" s="10" t="s">
        <v>47</v>
      </c>
      <c r="AH128" s="11"/>
      <c r="AI128" s="11"/>
      <c r="AJ128" s="11"/>
      <c r="AK128" s="11" t="n">
        <f aca="false">IF(AG128="yes",AC128*1.2,AC128)</f>
        <v>1.92</v>
      </c>
      <c r="AL128" s="11"/>
      <c r="AM128" s="11"/>
      <c r="AN128" s="11" t="n">
        <f aca="false">SUM(AH128:AM128)</f>
        <v>1.92</v>
      </c>
      <c r="AO128" s="1"/>
      <c r="AP128" s="1"/>
      <c r="AQ128" s="1"/>
      <c r="AR128" s="1"/>
    </row>
    <row r="129" customFormat="false" ht="13.8" hidden="false" customHeight="false" outlineLevel="0" collapsed="false">
      <c r="A129" s="1" t="s">
        <v>211</v>
      </c>
      <c r="B129" s="1" t="n">
        <v>72</v>
      </c>
      <c r="C129" s="1" t="s">
        <v>202</v>
      </c>
      <c r="D129" s="1" t="s">
        <v>42</v>
      </c>
      <c r="E129" s="1" t="s">
        <v>203</v>
      </c>
      <c r="G129" s="1" t="n">
        <v>1</v>
      </c>
      <c r="H129" s="1" t="n">
        <v>2</v>
      </c>
      <c r="I129" s="8" t="n">
        <v>152186</v>
      </c>
      <c r="J129" s="1" t="n">
        <v>3</v>
      </c>
      <c r="K129" s="1" t="s">
        <v>44</v>
      </c>
      <c r="L129" s="1" t="n">
        <v>2</v>
      </c>
      <c r="O129" s="1" t="n">
        <v>1</v>
      </c>
      <c r="P129" s="1" t="n">
        <f aca="false">SUM(M129:O129)</f>
        <v>1</v>
      </c>
      <c r="W129" s="1" t="n">
        <f aca="false">SUM(Q129:V129)</f>
        <v>0</v>
      </c>
      <c r="AA129" s="9"/>
      <c r="AD129" s="9"/>
      <c r="AF129" s="9" t="n">
        <f aca="false">SUM(Z129:AE129)</f>
        <v>0</v>
      </c>
      <c r="AG129" s="10"/>
      <c r="AH129" s="11"/>
      <c r="AI129" s="11"/>
      <c r="AJ129" s="11"/>
      <c r="AK129" s="11"/>
      <c r="AL129" s="11"/>
      <c r="AM129" s="11"/>
      <c r="AN129" s="11" t="n">
        <f aca="false">SUM(AH129:AM129)</f>
        <v>0</v>
      </c>
      <c r="AO129" s="1"/>
      <c r="AP129" s="1"/>
      <c r="AQ129" s="1"/>
      <c r="AR129" s="1"/>
    </row>
    <row r="130" customFormat="false" ht="13.8" hidden="false" customHeight="false" outlineLevel="0" collapsed="false">
      <c r="A130" s="1" t="s">
        <v>212</v>
      </c>
      <c r="B130" s="1" t="n">
        <v>910</v>
      </c>
      <c r="C130" s="1" t="s">
        <v>213</v>
      </c>
      <c r="D130" s="1" t="s">
        <v>42</v>
      </c>
      <c r="E130" s="1" t="s">
        <v>214</v>
      </c>
      <c r="G130" s="1" t="n">
        <v>1</v>
      </c>
      <c r="H130" s="1" t="n">
        <v>1</v>
      </c>
      <c r="I130" s="8" t="n">
        <v>45875</v>
      </c>
      <c r="J130" s="1" t="n">
        <v>2</v>
      </c>
      <c r="K130" s="1" t="s">
        <v>84</v>
      </c>
      <c r="L130" s="1" t="n">
        <v>1</v>
      </c>
      <c r="O130" s="1" t="n">
        <v>1</v>
      </c>
      <c r="P130" s="1" t="n">
        <f aca="false">SUM(M130:O130)</f>
        <v>1</v>
      </c>
      <c r="W130" s="1" t="n">
        <f aca="false">SUM(Q130:V130)</f>
        <v>0</v>
      </c>
      <c r="Y130" s="1" t="n">
        <v>1</v>
      </c>
      <c r="AF130" s="9" t="n">
        <f aca="false">SUM(Z130:AE130)</f>
        <v>0</v>
      </c>
      <c r="AG130" s="10"/>
      <c r="AH130" s="11"/>
      <c r="AI130" s="11"/>
      <c r="AJ130" s="11"/>
      <c r="AK130" s="11"/>
      <c r="AL130" s="11"/>
      <c r="AM130" s="11"/>
      <c r="AN130" s="11" t="n">
        <f aca="false">SUM(AH130:AM130)</f>
        <v>0</v>
      </c>
      <c r="AO130" s="1"/>
      <c r="AP130" s="1"/>
      <c r="AQ130" s="1"/>
      <c r="AR130" s="1"/>
    </row>
    <row r="131" customFormat="false" ht="13.8" hidden="false" customHeight="false" outlineLevel="0" collapsed="false">
      <c r="A131" s="1" t="s">
        <v>215</v>
      </c>
      <c r="B131" s="1" t="n">
        <v>337</v>
      </c>
      <c r="C131" s="1" t="s">
        <v>213</v>
      </c>
      <c r="D131" s="1" t="s">
        <v>42</v>
      </c>
      <c r="E131" s="1" t="s">
        <v>214</v>
      </c>
      <c r="F131" s="1" t="n">
        <v>1</v>
      </c>
      <c r="G131" s="1" t="n">
        <v>1</v>
      </c>
      <c r="H131" s="1" t="n">
        <v>1</v>
      </c>
      <c r="I131" s="8" t="n">
        <v>25932</v>
      </c>
      <c r="J131" s="1" t="n">
        <v>2</v>
      </c>
      <c r="K131" s="1" t="s">
        <v>84</v>
      </c>
      <c r="L131" s="1" t="n">
        <v>1</v>
      </c>
      <c r="P131" s="1" t="n">
        <f aca="false">SUM(M131:O131)</f>
        <v>0</v>
      </c>
      <c r="W131" s="1" t="n">
        <f aca="false">SUM(Q131:V131)</f>
        <v>0</v>
      </c>
      <c r="Y131" s="1" t="n">
        <v>1</v>
      </c>
      <c r="AD131" s="9"/>
      <c r="AF131" s="9" t="n">
        <f aca="false">SUM(Z131:AE131)</f>
        <v>0</v>
      </c>
      <c r="AG131" s="10"/>
      <c r="AH131" s="11"/>
      <c r="AI131" s="11"/>
      <c r="AJ131" s="11"/>
      <c r="AK131" s="11"/>
      <c r="AL131" s="11"/>
      <c r="AM131" s="11"/>
      <c r="AN131" s="11" t="n">
        <f aca="false">SUM(AH131:AM131)</f>
        <v>0</v>
      </c>
      <c r="AO131" s="1"/>
      <c r="AP131" s="1"/>
      <c r="AQ131" s="1"/>
      <c r="AR131" s="1"/>
    </row>
    <row r="132" customFormat="false" ht="13.8" hidden="false" customHeight="false" outlineLevel="0" collapsed="false">
      <c r="A132" s="1" t="s">
        <v>216</v>
      </c>
      <c r="B132" s="1" t="n">
        <v>911</v>
      </c>
      <c r="C132" s="1" t="s">
        <v>213</v>
      </c>
      <c r="D132" s="1" t="s">
        <v>42</v>
      </c>
      <c r="E132" s="1" t="s">
        <v>214</v>
      </c>
      <c r="F132" s="1" t="n">
        <v>5</v>
      </c>
      <c r="G132" s="1" t="n">
        <v>1</v>
      </c>
      <c r="H132" s="1" t="n">
        <v>3</v>
      </c>
      <c r="I132" s="8" t="n">
        <v>497680</v>
      </c>
      <c r="J132" s="1" t="n">
        <v>3</v>
      </c>
      <c r="K132" s="1" t="s">
        <v>46</v>
      </c>
      <c r="L132" s="1" t="n">
        <v>4</v>
      </c>
      <c r="N132" s="1" t="n">
        <v>1</v>
      </c>
      <c r="O132" s="1" t="n">
        <v>1</v>
      </c>
      <c r="P132" s="1" t="n">
        <f aca="false">SUM(M132:O132)</f>
        <v>2</v>
      </c>
      <c r="W132" s="1" t="n">
        <f aca="false">SUM(Q132:V132)</f>
        <v>0</v>
      </c>
      <c r="Y132" s="1" t="n">
        <v>3</v>
      </c>
      <c r="AF132" s="9" t="n">
        <f aca="false">SUM(Z132:AE132)</f>
        <v>0</v>
      </c>
      <c r="AG132" s="10"/>
      <c r="AH132" s="11"/>
      <c r="AI132" s="11"/>
      <c r="AJ132" s="11"/>
      <c r="AK132" s="11"/>
      <c r="AL132" s="11"/>
      <c r="AM132" s="11"/>
      <c r="AN132" s="11" t="n">
        <f aca="false">SUM(AH132:AM132)</f>
        <v>0</v>
      </c>
      <c r="AO132" s="1"/>
      <c r="AP132" s="1"/>
      <c r="AQ132" s="1"/>
      <c r="AR132" s="1"/>
    </row>
    <row r="133" customFormat="false" ht="13.8" hidden="false" customHeight="false" outlineLevel="0" collapsed="false">
      <c r="A133" s="1" t="s">
        <v>217</v>
      </c>
      <c r="B133" s="1" t="n">
        <v>101</v>
      </c>
      <c r="C133" s="1" t="s">
        <v>213</v>
      </c>
      <c r="D133" s="1" t="s">
        <v>42</v>
      </c>
      <c r="E133" s="1" t="s">
        <v>214</v>
      </c>
      <c r="F133" s="1" t="n">
        <v>1</v>
      </c>
      <c r="G133" s="1" t="n">
        <v>1</v>
      </c>
      <c r="H133" s="1" t="n">
        <v>5</v>
      </c>
      <c r="I133" s="8" t="n">
        <v>18022</v>
      </c>
      <c r="J133" s="1" t="n">
        <v>1</v>
      </c>
      <c r="K133" s="1" t="s">
        <v>76</v>
      </c>
      <c r="L133" s="1" t="n">
        <v>0</v>
      </c>
      <c r="P133" s="1" t="n">
        <f aca="false">SUM(M133:O133)</f>
        <v>0</v>
      </c>
      <c r="R133" s="1" t="n">
        <v>10</v>
      </c>
      <c r="W133" s="1" t="n">
        <f aca="false">SUM(Q133:V133)</f>
        <v>10</v>
      </c>
      <c r="Y133" s="1" t="n">
        <v>1</v>
      </c>
      <c r="AA133" s="9" t="n">
        <f aca="false">(R133)*(1+(J133)*0.2)</f>
        <v>12</v>
      </c>
      <c r="AF133" s="9" t="n">
        <f aca="false">SUM(Z133:AE133)</f>
        <v>12</v>
      </c>
      <c r="AG133" s="21" t="s">
        <v>47</v>
      </c>
      <c r="AH133" s="11"/>
      <c r="AI133" s="11" t="n">
        <f aca="false">IF(AG133="yes",AA133*1.2,AA133)</f>
        <v>14.4</v>
      </c>
      <c r="AJ133" s="11"/>
      <c r="AK133" s="11"/>
      <c r="AL133" s="11"/>
      <c r="AM133" s="11"/>
      <c r="AN133" s="11" t="n">
        <f aca="false">SUM(AH133:AM133)</f>
        <v>14.4</v>
      </c>
      <c r="AO133" s="1"/>
      <c r="AP133" s="1"/>
      <c r="AQ133" s="1"/>
      <c r="AR133" s="1"/>
    </row>
    <row r="134" customFormat="false" ht="13.8" hidden="false" customHeight="false" outlineLevel="0" collapsed="false">
      <c r="A134" s="1" t="s">
        <v>218</v>
      </c>
      <c r="B134" s="1" t="n">
        <v>99</v>
      </c>
      <c r="C134" s="1" t="s">
        <v>213</v>
      </c>
      <c r="D134" s="1" t="s">
        <v>42</v>
      </c>
      <c r="E134" s="1" t="s">
        <v>214</v>
      </c>
      <c r="F134" s="1" t="n">
        <v>9</v>
      </c>
      <c r="G134" s="1" t="n">
        <v>1</v>
      </c>
      <c r="H134" s="1" t="n">
        <v>11</v>
      </c>
      <c r="I134" s="8" t="n">
        <v>1255708</v>
      </c>
      <c r="J134" s="1" t="n">
        <v>3</v>
      </c>
      <c r="K134" s="1" t="s">
        <v>44</v>
      </c>
      <c r="L134" s="1" t="n">
        <v>2</v>
      </c>
      <c r="N134" s="1" t="n">
        <v>1</v>
      </c>
      <c r="O134" s="1" t="n">
        <v>1</v>
      </c>
      <c r="P134" s="1" t="n">
        <f aca="false">SUM(M134:O134)</f>
        <v>2</v>
      </c>
      <c r="W134" s="1" t="n">
        <f aca="false">SUM(Q134:V134)</f>
        <v>0</v>
      </c>
      <c r="X134" s="1" t="n">
        <v>2</v>
      </c>
      <c r="Y134" s="1" t="n">
        <v>5</v>
      </c>
      <c r="Z134" s="12"/>
      <c r="AF134" s="9" t="n">
        <f aca="false">SUM(Z134:AE134)</f>
        <v>0</v>
      </c>
      <c r="AG134" s="10"/>
      <c r="AH134" s="11"/>
      <c r="AI134" s="11"/>
      <c r="AJ134" s="11"/>
      <c r="AK134" s="11"/>
      <c r="AL134" s="11"/>
      <c r="AM134" s="11"/>
      <c r="AN134" s="11" t="n">
        <f aca="false">SUM(AH134:AM134)</f>
        <v>0</v>
      </c>
      <c r="AO134" s="1"/>
      <c r="AP134" s="1"/>
      <c r="AQ134" s="1"/>
      <c r="AR134" s="1"/>
    </row>
    <row r="135" customFormat="false" ht="13.8" hidden="false" customHeight="false" outlineLevel="0" collapsed="false">
      <c r="A135" s="1" t="s">
        <v>219</v>
      </c>
      <c r="B135" s="1" t="n">
        <v>37</v>
      </c>
      <c r="C135" s="1" t="s">
        <v>213</v>
      </c>
      <c r="D135" s="1" t="s">
        <v>42</v>
      </c>
      <c r="E135" s="1" t="s">
        <v>214</v>
      </c>
      <c r="F135" s="1" t="n">
        <v>22</v>
      </c>
      <c r="G135" s="1" t="n">
        <v>1</v>
      </c>
      <c r="H135" s="1" t="n">
        <v>5</v>
      </c>
      <c r="I135" s="8" t="n">
        <v>1493042</v>
      </c>
      <c r="J135" s="1" t="n">
        <v>3</v>
      </c>
      <c r="K135" s="1" t="s">
        <v>57</v>
      </c>
      <c r="L135" s="1" t="n">
        <v>8</v>
      </c>
      <c r="M135" s="1" t="n">
        <v>2</v>
      </c>
      <c r="N135" s="1" t="n">
        <v>2</v>
      </c>
      <c r="O135" s="1" t="n">
        <v>3</v>
      </c>
      <c r="P135" s="1" t="n">
        <f aca="false">SUM(M135:O135)</f>
        <v>7</v>
      </c>
      <c r="W135" s="1" t="n">
        <f aca="false">SUM(Q135:V135)</f>
        <v>0</v>
      </c>
      <c r="X135" s="1" t="n">
        <v>6</v>
      </c>
      <c r="Y135" s="1" t="n">
        <v>8</v>
      </c>
      <c r="AA135" s="9"/>
      <c r="AF135" s="9" t="n">
        <f aca="false">SUM(Z135:AE135)</f>
        <v>0</v>
      </c>
      <c r="AG135" s="10"/>
      <c r="AH135" s="11"/>
      <c r="AI135" s="11"/>
      <c r="AJ135" s="11"/>
      <c r="AK135" s="11"/>
      <c r="AL135" s="11"/>
      <c r="AM135" s="11"/>
      <c r="AN135" s="11" t="n">
        <f aca="false">SUM(AH135:AM135)</f>
        <v>0</v>
      </c>
      <c r="AO135" s="1"/>
      <c r="AP135" s="1"/>
      <c r="AQ135" s="1"/>
      <c r="AR135" s="1"/>
    </row>
    <row r="136" customFormat="false" ht="13.8" hidden="false" customHeight="false" outlineLevel="0" collapsed="false">
      <c r="A136" s="1" t="s">
        <v>220</v>
      </c>
      <c r="B136" s="1" t="n">
        <v>912</v>
      </c>
      <c r="C136" s="1" t="s">
        <v>213</v>
      </c>
      <c r="D136" s="1" t="s">
        <v>42</v>
      </c>
      <c r="E136" s="1" t="s">
        <v>214</v>
      </c>
      <c r="F136" s="1" t="n">
        <v>1</v>
      </c>
      <c r="G136" s="1" t="n">
        <v>1</v>
      </c>
      <c r="H136" s="1" t="n">
        <v>3</v>
      </c>
      <c r="I136" s="8" t="n">
        <v>418568</v>
      </c>
      <c r="J136" s="1" t="n">
        <v>3</v>
      </c>
      <c r="K136" s="1" t="s">
        <v>44</v>
      </c>
      <c r="L136" s="1" t="n">
        <v>2</v>
      </c>
      <c r="O136" s="1" t="n">
        <v>2</v>
      </c>
      <c r="P136" s="1" t="n">
        <f aca="false">SUM(M136:O136)</f>
        <v>2</v>
      </c>
      <c r="W136" s="1" t="n">
        <f aca="false">SUM(Q136:V136)</f>
        <v>0</v>
      </c>
      <c r="AA136" s="9"/>
      <c r="AF136" s="9" t="n">
        <f aca="false">SUM(Z136:AE136)</f>
        <v>0</v>
      </c>
      <c r="AG136" s="10"/>
      <c r="AH136" s="11"/>
      <c r="AI136" s="11"/>
      <c r="AJ136" s="11"/>
      <c r="AK136" s="11"/>
      <c r="AL136" s="11"/>
      <c r="AM136" s="11"/>
      <c r="AN136" s="11" t="n">
        <f aca="false">SUM(AH136:AM136)</f>
        <v>0</v>
      </c>
      <c r="AO136" s="1"/>
      <c r="AP136" s="1"/>
      <c r="AQ136" s="1"/>
      <c r="AR136" s="1"/>
    </row>
    <row r="137" customFormat="false" ht="13.8" hidden="false" customHeight="false" outlineLevel="0" collapsed="false">
      <c r="A137" s="1" t="s">
        <v>221</v>
      </c>
      <c r="B137" s="1" t="n">
        <v>319</v>
      </c>
      <c r="C137" s="1" t="s">
        <v>222</v>
      </c>
      <c r="D137" s="1" t="s">
        <v>42</v>
      </c>
      <c r="E137" s="1" t="s">
        <v>221</v>
      </c>
      <c r="F137" s="1" t="n">
        <v>6</v>
      </c>
      <c r="G137" s="1" t="n">
        <v>1</v>
      </c>
      <c r="H137" s="1" t="n">
        <v>4</v>
      </c>
      <c r="I137" s="8" t="n">
        <v>1257533</v>
      </c>
      <c r="J137" s="1" t="n">
        <v>2</v>
      </c>
      <c r="K137" s="1" t="s">
        <v>46</v>
      </c>
      <c r="L137" s="1" t="n">
        <v>4</v>
      </c>
      <c r="M137" s="1" t="n">
        <v>1</v>
      </c>
      <c r="O137" s="1" t="n">
        <v>3</v>
      </c>
      <c r="P137" s="1" t="n">
        <f aca="false">SUM(M137:O137)</f>
        <v>4</v>
      </c>
      <c r="V137" s="1" t="n">
        <v>1</v>
      </c>
      <c r="W137" s="1" t="n">
        <f aca="false">SUM(Q137:V137)</f>
        <v>1</v>
      </c>
      <c r="X137" s="1" t="n">
        <v>1</v>
      </c>
      <c r="Y137" s="1" t="n">
        <v>2</v>
      </c>
      <c r="AE137" s="9" t="n">
        <f aca="false">(V137)*(1+(J137)*0.2)</f>
        <v>1.4</v>
      </c>
      <c r="AF137" s="9" t="n">
        <f aca="false">SUM(Z137:AE137)</f>
        <v>1.4</v>
      </c>
      <c r="AG137" s="10" t="s">
        <v>47</v>
      </c>
      <c r="AH137" s="11"/>
      <c r="AI137" s="11"/>
      <c r="AJ137" s="11"/>
      <c r="AK137" s="11"/>
      <c r="AL137" s="11"/>
      <c r="AM137" s="11" t="n">
        <f aca="false">IF(AG137="yes",AE137*1.2,AE137)</f>
        <v>1.68</v>
      </c>
      <c r="AN137" s="11" t="n">
        <f aca="false">SUM(AH137:AM137)</f>
        <v>1.68</v>
      </c>
      <c r="AO137" s="1"/>
      <c r="AP137" s="1"/>
      <c r="AQ137" s="1"/>
      <c r="AR137" s="1"/>
    </row>
    <row r="138" customFormat="false" ht="13.8" hidden="false" customHeight="false" outlineLevel="0" collapsed="false">
      <c r="A138" s="1" t="s">
        <v>223</v>
      </c>
      <c r="B138" s="1" t="n">
        <v>470</v>
      </c>
      <c r="C138" s="1" t="s">
        <v>224</v>
      </c>
      <c r="D138" s="1" t="s">
        <v>42</v>
      </c>
      <c r="E138" s="1" t="s">
        <v>225</v>
      </c>
      <c r="F138" s="1" t="n">
        <v>3</v>
      </c>
      <c r="G138" s="1" t="n">
        <v>1</v>
      </c>
      <c r="H138" s="1" t="n">
        <v>17</v>
      </c>
      <c r="I138" s="8" t="n">
        <v>691643</v>
      </c>
      <c r="J138" s="1" t="n">
        <v>3</v>
      </c>
      <c r="K138" s="1" t="s">
        <v>44</v>
      </c>
      <c r="L138" s="1" t="n">
        <v>2</v>
      </c>
      <c r="O138" s="1" t="n">
        <v>1</v>
      </c>
      <c r="P138" s="1" t="n">
        <f aca="false">SUM(M138:O138)</f>
        <v>1</v>
      </c>
      <c r="W138" s="1" t="n">
        <f aca="false">SUM(Q138:V138)</f>
        <v>0</v>
      </c>
      <c r="AC138" s="9"/>
      <c r="AD138" s="9"/>
      <c r="AE138" s="20"/>
      <c r="AF138" s="9" t="n">
        <f aca="false">SUM(Z138:AE138)</f>
        <v>0</v>
      </c>
      <c r="AG138" s="10"/>
      <c r="AH138" s="11"/>
      <c r="AI138" s="11"/>
      <c r="AJ138" s="11"/>
      <c r="AK138" s="11"/>
      <c r="AL138" s="11"/>
      <c r="AM138" s="11"/>
      <c r="AN138" s="11" t="n">
        <f aca="false">SUM(AH138:AM138)</f>
        <v>0</v>
      </c>
      <c r="AO138" s="1"/>
      <c r="AP138" s="1"/>
      <c r="AQ138" s="1"/>
      <c r="AR138" s="1"/>
    </row>
    <row r="139" customFormat="false" ht="13.8" hidden="false" customHeight="false" outlineLevel="0" collapsed="false">
      <c r="A139" s="1" t="s">
        <v>226</v>
      </c>
      <c r="B139" s="1" t="n">
        <v>473</v>
      </c>
      <c r="C139" s="1" t="s">
        <v>224</v>
      </c>
      <c r="D139" s="1" t="s">
        <v>42</v>
      </c>
      <c r="E139" s="1" t="s">
        <v>225</v>
      </c>
      <c r="F139" s="1" t="n">
        <v>15</v>
      </c>
      <c r="G139" s="1" t="n">
        <v>1</v>
      </c>
      <c r="H139" s="1" t="n">
        <v>22</v>
      </c>
      <c r="I139" s="8" t="n">
        <v>638944</v>
      </c>
      <c r="J139" s="1" t="n">
        <v>3</v>
      </c>
      <c r="K139" s="1" t="s">
        <v>46</v>
      </c>
      <c r="L139" s="1" t="n">
        <v>4</v>
      </c>
      <c r="M139" s="1" t="n">
        <v>1</v>
      </c>
      <c r="N139" s="1" t="n">
        <v>1</v>
      </c>
      <c r="O139" s="1" t="n">
        <v>1</v>
      </c>
      <c r="P139" s="1" t="n">
        <f aca="false">SUM(M139:O139)</f>
        <v>3</v>
      </c>
      <c r="Q139" s="1" t="n">
        <v>1</v>
      </c>
      <c r="W139" s="1" t="n">
        <f aca="false">SUM(Q139:V139)</f>
        <v>1</v>
      </c>
      <c r="X139" s="1" t="n">
        <v>3</v>
      </c>
      <c r="Y139" s="1" t="n">
        <v>5</v>
      </c>
      <c r="Z139" s="1" t="n">
        <f aca="false">(Q139)*(1+(J139)*0.2)</f>
        <v>1.6</v>
      </c>
      <c r="AF139" s="9" t="n">
        <f aca="false">SUM(Z139:AE139)</f>
        <v>1.6</v>
      </c>
      <c r="AG139" s="10" t="s">
        <v>47</v>
      </c>
      <c r="AH139" s="11" t="n">
        <f aca="false">IF(AG139="yes",Z139*1.2,Z139)</f>
        <v>1.92</v>
      </c>
      <c r="AI139" s="11"/>
      <c r="AJ139" s="11"/>
      <c r="AK139" s="11"/>
      <c r="AL139" s="11"/>
      <c r="AM139" s="11"/>
      <c r="AN139" s="11" t="n">
        <f aca="false">SUM(AH139:AM139)</f>
        <v>1.92</v>
      </c>
      <c r="AO139" s="1"/>
      <c r="AP139" s="1"/>
      <c r="AQ139" s="1"/>
      <c r="AR139" s="1"/>
    </row>
    <row r="140" customFormat="false" ht="13.8" hidden="false" customHeight="false" outlineLevel="0" collapsed="false">
      <c r="A140" s="1" t="s">
        <v>227</v>
      </c>
      <c r="B140" s="1" t="n">
        <v>860</v>
      </c>
      <c r="C140" s="1" t="s">
        <v>224</v>
      </c>
      <c r="D140" s="1" t="s">
        <v>42</v>
      </c>
      <c r="E140" s="1" t="s">
        <v>225</v>
      </c>
      <c r="G140" s="1" t="n">
        <v>1</v>
      </c>
      <c r="H140" s="13" t="n">
        <v>7</v>
      </c>
      <c r="I140" s="8" t="n">
        <v>110134</v>
      </c>
      <c r="K140" s="1" t="s">
        <v>44</v>
      </c>
      <c r="L140" s="1" t="n">
        <v>2</v>
      </c>
      <c r="P140" s="1" t="n">
        <f aca="false">SUM(M140:O140)</f>
        <v>0</v>
      </c>
      <c r="W140" s="1" t="n">
        <f aca="false">SUM(Q140:V140)</f>
        <v>0</v>
      </c>
      <c r="AF140" s="9" t="n">
        <f aca="false">SUM(Z140:AE140)</f>
        <v>0</v>
      </c>
      <c r="AG140" s="10"/>
      <c r="AH140" s="11"/>
      <c r="AI140" s="11"/>
      <c r="AJ140" s="11"/>
      <c r="AK140" s="11"/>
      <c r="AL140" s="11"/>
      <c r="AM140" s="11"/>
      <c r="AN140" s="11" t="n">
        <f aca="false">SUM(AH140:AM140)</f>
        <v>0</v>
      </c>
      <c r="AO140" s="1"/>
      <c r="AP140" s="1"/>
      <c r="AQ140" s="1"/>
      <c r="AR140" s="1"/>
    </row>
    <row r="141" customFormat="false" ht="13.8" hidden="false" customHeight="false" outlineLevel="0" collapsed="false">
      <c r="A141" s="1" t="s">
        <v>228</v>
      </c>
      <c r="B141" s="1" t="n">
        <v>866</v>
      </c>
      <c r="C141" s="1" t="s">
        <v>224</v>
      </c>
      <c r="D141" s="1" t="s">
        <v>42</v>
      </c>
      <c r="E141" s="1" t="s">
        <v>225</v>
      </c>
      <c r="G141" s="1" t="n">
        <v>1</v>
      </c>
      <c r="H141" s="13" t="n">
        <v>5</v>
      </c>
      <c r="I141" s="8" t="n">
        <v>10012</v>
      </c>
      <c r="K141" s="1" t="s">
        <v>51</v>
      </c>
      <c r="L141" s="1" t="n">
        <v>1</v>
      </c>
      <c r="P141" s="1" t="n">
        <f aca="false">SUM(M141:O141)</f>
        <v>0</v>
      </c>
      <c r="W141" s="1" t="n">
        <f aca="false">SUM(Q141:V141)</f>
        <v>0</v>
      </c>
      <c r="AA141" s="9"/>
      <c r="AD141" s="9"/>
      <c r="AF141" s="9" t="n">
        <f aca="false">SUM(Z141:AE141)</f>
        <v>0</v>
      </c>
      <c r="AG141" s="10"/>
      <c r="AH141" s="11"/>
      <c r="AI141" s="11"/>
      <c r="AJ141" s="11"/>
      <c r="AK141" s="11"/>
      <c r="AL141" s="11"/>
      <c r="AM141" s="11"/>
      <c r="AN141" s="11" t="n">
        <f aca="false">SUM(AH141:AM141)</f>
        <v>0</v>
      </c>
      <c r="AO141" s="1"/>
      <c r="AP141" s="1"/>
      <c r="AQ141" s="1"/>
      <c r="AR141" s="1"/>
    </row>
    <row r="142" customFormat="false" ht="13.8" hidden="false" customHeight="false" outlineLevel="0" collapsed="false">
      <c r="A142" s="1" t="s">
        <v>229</v>
      </c>
      <c r="B142" s="1" t="n">
        <v>739</v>
      </c>
      <c r="C142" s="1" t="s">
        <v>224</v>
      </c>
      <c r="D142" s="1" t="s">
        <v>42</v>
      </c>
      <c r="E142" s="1" t="s">
        <v>225</v>
      </c>
      <c r="G142" s="1" t="n">
        <v>1</v>
      </c>
      <c r="H142" s="1" t="n">
        <v>1</v>
      </c>
      <c r="I142" s="8" t="n">
        <v>12699</v>
      </c>
      <c r="J142" s="1" t="n">
        <v>1</v>
      </c>
      <c r="K142" s="1" t="s">
        <v>84</v>
      </c>
      <c r="L142" s="1" t="n">
        <v>1</v>
      </c>
      <c r="P142" s="1" t="n">
        <f aca="false">SUM(M142:O142)</f>
        <v>0</v>
      </c>
      <c r="W142" s="1" t="n">
        <f aca="false">SUM(Q142:V142)</f>
        <v>0</v>
      </c>
      <c r="Y142" s="1" t="n">
        <v>1</v>
      </c>
      <c r="AF142" s="9" t="n">
        <f aca="false">SUM(Z142:AE142)</f>
        <v>0</v>
      </c>
      <c r="AG142" s="10"/>
      <c r="AH142" s="11"/>
      <c r="AI142" s="11"/>
      <c r="AJ142" s="11"/>
      <c r="AK142" s="11"/>
      <c r="AL142" s="11"/>
      <c r="AM142" s="11"/>
      <c r="AN142" s="11" t="n">
        <f aca="false">SUM(AH142:AM142)</f>
        <v>0</v>
      </c>
      <c r="AO142" s="1"/>
      <c r="AP142" s="1"/>
      <c r="AQ142" s="1"/>
      <c r="AR142" s="1"/>
    </row>
    <row r="143" customFormat="false" ht="13.8" hidden="false" customHeight="false" outlineLevel="0" collapsed="false">
      <c r="A143" s="1" t="s">
        <v>230</v>
      </c>
      <c r="B143" s="1" t="n">
        <v>467</v>
      </c>
      <c r="C143" s="1" t="s">
        <v>224</v>
      </c>
      <c r="D143" s="1" t="s">
        <v>42</v>
      </c>
      <c r="E143" s="1" t="s">
        <v>225</v>
      </c>
      <c r="F143" s="1" t="n">
        <v>5</v>
      </c>
      <c r="G143" s="1" t="n">
        <v>1</v>
      </c>
      <c r="H143" s="1" t="n">
        <v>12</v>
      </c>
      <c r="I143" s="8" t="n">
        <v>641854</v>
      </c>
      <c r="J143" s="1" t="n">
        <v>2</v>
      </c>
      <c r="K143" s="1" t="s">
        <v>44</v>
      </c>
      <c r="L143" s="1" t="n">
        <v>2</v>
      </c>
      <c r="O143" s="1" t="n">
        <v>1</v>
      </c>
      <c r="P143" s="1" t="n">
        <f aca="false">SUM(M143:O143)</f>
        <v>1</v>
      </c>
      <c r="W143" s="1" t="n">
        <f aca="false">SUM(Q143:V143)</f>
        <v>0</v>
      </c>
      <c r="AD143" s="9"/>
      <c r="AF143" s="9" t="n">
        <f aca="false">SUM(Z143:AE143)</f>
        <v>0</v>
      </c>
      <c r="AG143" s="10"/>
      <c r="AH143" s="11"/>
      <c r="AI143" s="11"/>
      <c r="AJ143" s="11"/>
      <c r="AK143" s="11"/>
      <c r="AL143" s="11"/>
      <c r="AM143" s="11"/>
      <c r="AN143" s="11" t="n">
        <f aca="false">SUM(AH143:AM143)</f>
        <v>0</v>
      </c>
      <c r="AO143" s="1"/>
      <c r="AP143" s="1"/>
      <c r="AQ143" s="1"/>
      <c r="AR143" s="1"/>
    </row>
    <row r="144" customFormat="false" ht="13.8" hidden="false" customHeight="false" outlineLevel="0" collapsed="false">
      <c r="A144" s="1" t="s">
        <v>231</v>
      </c>
      <c r="B144" s="1" t="n">
        <v>863</v>
      </c>
      <c r="C144" s="1" t="s">
        <v>224</v>
      </c>
      <c r="D144" s="1" t="s">
        <v>42</v>
      </c>
      <c r="E144" s="1" t="s">
        <v>225</v>
      </c>
      <c r="G144" s="1" t="n">
        <v>1</v>
      </c>
      <c r="H144" s="1" t="n">
        <v>6</v>
      </c>
      <c r="I144" s="8" t="n">
        <v>70085</v>
      </c>
      <c r="K144" s="1" t="s">
        <v>51</v>
      </c>
      <c r="L144" s="1" t="n">
        <v>1</v>
      </c>
      <c r="P144" s="1" t="n">
        <f aca="false">SUM(M144:O144)</f>
        <v>0</v>
      </c>
      <c r="W144" s="1" t="n">
        <f aca="false">SUM(Q144:V144)</f>
        <v>0</v>
      </c>
      <c r="AA144" s="9"/>
      <c r="AD144" s="9"/>
      <c r="AF144" s="9" t="n">
        <f aca="false">SUM(Z144:AE144)</f>
        <v>0</v>
      </c>
      <c r="AG144" s="10"/>
      <c r="AH144" s="11"/>
      <c r="AI144" s="11"/>
      <c r="AJ144" s="11"/>
      <c r="AK144" s="11"/>
      <c r="AL144" s="11"/>
      <c r="AM144" s="11"/>
      <c r="AN144" s="11" t="n">
        <f aca="false">SUM(AH144:AM144)</f>
        <v>0</v>
      </c>
      <c r="AO144" s="1"/>
      <c r="AP144" s="1"/>
      <c r="AQ144" s="1"/>
      <c r="AR144" s="1"/>
    </row>
    <row r="145" customFormat="false" ht="13.8" hidden="false" customHeight="false" outlineLevel="0" collapsed="false">
      <c r="A145" s="1" t="s">
        <v>232</v>
      </c>
      <c r="B145" s="1" t="n">
        <v>465</v>
      </c>
      <c r="C145" s="1" t="s">
        <v>224</v>
      </c>
      <c r="D145" s="1" t="s">
        <v>42</v>
      </c>
      <c r="E145" s="1" t="s">
        <v>225</v>
      </c>
      <c r="F145" s="13" t="n">
        <v>2</v>
      </c>
      <c r="G145" s="1" t="n">
        <v>1</v>
      </c>
      <c r="H145" s="1" t="n">
        <v>8</v>
      </c>
      <c r="I145" s="8" t="n">
        <v>475600</v>
      </c>
      <c r="J145" s="1" t="n">
        <v>3</v>
      </c>
      <c r="K145" s="1" t="s">
        <v>44</v>
      </c>
      <c r="L145" s="1" t="n">
        <v>2</v>
      </c>
      <c r="O145" s="1" t="n">
        <v>2</v>
      </c>
      <c r="P145" s="1" t="n">
        <f aca="false">SUM(M145:O145)</f>
        <v>2</v>
      </c>
      <c r="W145" s="1" t="n">
        <f aca="false">SUM(Q145:V145)</f>
        <v>0</v>
      </c>
      <c r="Y145" s="1" t="n">
        <v>2</v>
      </c>
      <c r="AA145" s="9"/>
      <c r="AD145" s="9"/>
      <c r="AF145" s="9" t="n">
        <f aca="false">SUM(Z145:AE145)</f>
        <v>0</v>
      </c>
      <c r="AG145" s="10"/>
      <c r="AH145" s="11"/>
      <c r="AI145" s="11"/>
      <c r="AJ145" s="11"/>
      <c r="AK145" s="11"/>
      <c r="AL145" s="11"/>
      <c r="AM145" s="11"/>
      <c r="AN145" s="11" t="n">
        <f aca="false">SUM(AH145:AM145)</f>
        <v>0</v>
      </c>
      <c r="AO145" s="1"/>
      <c r="AP145" s="1"/>
      <c r="AQ145" s="1"/>
      <c r="AR145" s="1"/>
    </row>
    <row r="146" customFormat="false" ht="13.8" hidden="false" customHeight="false" outlineLevel="0" collapsed="false">
      <c r="A146" s="1" t="s">
        <v>233</v>
      </c>
      <c r="B146" s="1" t="n">
        <v>466</v>
      </c>
      <c r="C146" s="1" t="s">
        <v>224</v>
      </c>
      <c r="D146" s="1" t="s">
        <v>42</v>
      </c>
      <c r="E146" s="1" t="s">
        <v>225</v>
      </c>
      <c r="G146" s="1" t="n">
        <v>1</v>
      </c>
      <c r="H146" s="13" t="n">
        <v>16</v>
      </c>
      <c r="I146" s="8" t="n">
        <v>8871</v>
      </c>
      <c r="J146" s="1" t="n">
        <v>1</v>
      </c>
      <c r="K146" s="1" t="s">
        <v>51</v>
      </c>
      <c r="L146" s="1" t="n">
        <v>1</v>
      </c>
      <c r="P146" s="1" t="n">
        <f aca="false">SUM(M146:O146)</f>
        <v>0</v>
      </c>
      <c r="R146" s="1" t="n">
        <v>4</v>
      </c>
      <c r="W146" s="1" t="n">
        <f aca="false">SUM(Q146:V146)</f>
        <v>4</v>
      </c>
      <c r="Y146" s="1" t="n">
        <v>1</v>
      </c>
      <c r="AA146" s="9" t="n">
        <f aca="false">(R146)*(1+(J146)*0.2)</f>
        <v>4.8</v>
      </c>
      <c r="AF146" s="9" t="n">
        <f aca="false">SUM(Z146:AE146)</f>
        <v>4.8</v>
      </c>
      <c r="AG146" s="10" t="s">
        <v>47</v>
      </c>
      <c r="AH146" s="11"/>
      <c r="AI146" s="11" t="n">
        <f aca="false">IF(AG146="yes",AA146*1.2,AA146)</f>
        <v>5.76</v>
      </c>
      <c r="AJ146" s="11"/>
      <c r="AK146" s="11"/>
      <c r="AL146" s="11"/>
      <c r="AM146" s="11"/>
      <c r="AN146" s="11" t="n">
        <f aca="false">SUM(AH146:AM146)</f>
        <v>5.76</v>
      </c>
      <c r="AO146" s="1"/>
      <c r="AP146" s="1"/>
      <c r="AQ146" s="1"/>
      <c r="AR146" s="1"/>
    </row>
    <row r="147" customFormat="false" ht="13.8" hidden="false" customHeight="false" outlineLevel="0" collapsed="false">
      <c r="A147" s="1" t="s">
        <v>234</v>
      </c>
      <c r="B147" s="1" t="n">
        <v>867</v>
      </c>
      <c r="C147" s="1" t="s">
        <v>224</v>
      </c>
      <c r="D147" s="1" t="s">
        <v>42</v>
      </c>
      <c r="E147" s="1" t="s">
        <v>225</v>
      </c>
      <c r="G147" s="1" t="n">
        <v>1</v>
      </c>
      <c r="H147" s="1" t="n">
        <v>8</v>
      </c>
      <c r="I147" s="8" t="n">
        <v>10012</v>
      </c>
      <c r="K147" s="1" t="s">
        <v>51</v>
      </c>
      <c r="L147" s="1" t="n">
        <v>1</v>
      </c>
      <c r="P147" s="1" t="n">
        <f aca="false">SUM(M147:O147)</f>
        <v>0</v>
      </c>
      <c r="W147" s="1" t="n">
        <f aca="false">SUM(Q147:V147)</f>
        <v>0</v>
      </c>
      <c r="AD147" s="9"/>
      <c r="AF147" s="9" t="n">
        <f aca="false">SUM(Z147:AE147)</f>
        <v>0</v>
      </c>
      <c r="AG147" s="10"/>
      <c r="AH147" s="11"/>
      <c r="AI147" s="11"/>
      <c r="AJ147" s="11"/>
      <c r="AK147" s="11"/>
      <c r="AL147" s="11"/>
      <c r="AM147" s="11"/>
      <c r="AN147" s="11" t="n">
        <f aca="false">SUM(AH147:AM147)</f>
        <v>0</v>
      </c>
      <c r="AO147" s="1"/>
      <c r="AP147" s="1"/>
      <c r="AQ147" s="1"/>
      <c r="AR147" s="1"/>
    </row>
    <row r="148" customFormat="false" ht="13.8" hidden="false" customHeight="false" outlineLevel="0" collapsed="false">
      <c r="A148" s="1" t="s">
        <v>235</v>
      </c>
      <c r="B148" s="1" t="n">
        <v>682</v>
      </c>
      <c r="C148" s="1" t="s">
        <v>224</v>
      </c>
      <c r="D148" s="1" t="s">
        <v>42</v>
      </c>
      <c r="E148" s="1" t="s">
        <v>225</v>
      </c>
      <c r="F148" s="13" t="n">
        <v>1</v>
      </c>
      <c r="G148" s="1" t="n">
        <v>1</v>
      </c>
      <c r="H148" s="1" t="n">
        <v>25</v>
      </c>
      <c r="I148" s="8" t="n">
        <v>139229</v>
      </c>
      <c r="J148" s="1" t="n">
        <v>3</v>
      </c>
      <c r="K148" s="1" t="s">
        <v>44</v>
      </c>
      <c r="L148" s="1" t="n">
        <v>2</v>
      </c>
      <c r="O148" s="1" t="n">
        <v>1</v>
      </c>
      <c r="P148" s="1" t="n">
        <f aca="false">SUM(M148:O148)</f>
        <v>1</v>
      </c>
      <c r="R148" s="1" t="n">
        <v>9</v>
      </c>
      <c r="U148" s="1" t="n">
        <v>8</v>
      </c>
      <c r="W148" s="1" t="n">
        <f aca="false">SUM(Q148:V148)</f>
        <v>17</v>
      </c>
      <c r="AA148" s="9" t="n">
        <f aca="false">(R148)*(1+(J148)*0.2)</f>
        <v>14.4</v>
      </c>
      <c r="AC148" s="9"/>
      <c r="AD148" s="9" t="n">
        <f aca="false">(U148)*(1+(J148)*0.2)</f>
        <v>12.8</v>
      </c>
      <c r="AF148" s="9" t="n">
        <f aca="false">SUM(Z148:AE148)</f>
        <v>27.2</v>
      </c>
      <c r="AG148" s="10" t="s">
        <v>47</v>
      </c>
      <c r="AH148" s="11"/>
      <c r="AI148" s="11" t="n">
        <f aca="false">IF(AG148="yes",AA148*1.2,AA148)</f>
        <v>17.28</v>
      </c>
      <c r="AJ148" s="11"/>
      <c r="AK148" s="11"/>
      <c r="AL148" s="11" t="n">
        <f aca="false">IF(AG148="yes",AD148*1.2,AD148)</f>
        <v>15.36</v>
      </c>
      <c r="AM148" s="11"/>
      <c r="AN148" s="11" t="n">
        <f aca="false">SUM(AH148:AM148)</f>
        <v>32.64</v>
      </c>
      <c r="AO148" s="1"/>
      <c r="AP148" s="1"/>
      <c r="AQ148" s="1"/>
      <c r="AR148" s="1"/>
    </row>
    <row r="149" customFormat="false" ht="13.8" hidden="false" customHeight="false" outlineLevel="0" collapsed="false">
      <c r="A149" s="1" t="s">
        <v>236</v>
      </c>
      <c r="B149" s="1" t="n">
        <v>865</v>
      </c>
      <c r="C149" s="1" t="s">
        <v>224</v>
      </c>
      <c r="D149" s="1" t="s">
        <v>42</v>
      </c>
      <c r="E149" s="1" t="s">
        <v>225</v>
      </c>
      <c r="G149" s="1" t="n">
        <v>1</v>
      </c>
      <c r="H149" s="1" t="n">
        <v>9</v>
      </c>
      <c r="I149" s="8" t="n">
        <v>65685</v>
      </c>
      <c r="K149" s="1" t="s">
        <v>51</v>
      </c>
      <c r="L149" s="1" t="n">
        <v>1</v>
      </c>
      <c r="P149" s="1" t="n">
        <f aca="false">SUM(M149:O149)</f>
        <v>0</v>
      </c>
      <c r="W149" s="1" t="n">
        <f aca="false">SUM(Q149:V149)</f>
        <v>0</v>
      </c>
      <c r="AF149" s="9" t="n">
        <f aca="false">SUM(Z149:AE149)</f>
        <v>0</v>
      </c>
      <c r="AG149" s="10"/>
      <c r="AH149" s="11"/>
      <c r="AI149" s="11"/>
      <c r="AJ149" s="11"/>
      <c r="AK149" s="11"/>
      <c r="AL149" s="11"/>
      <c r="AM149" s="11"/>
      <c r="AN149" s="11" t="n">
        <f aca="false">SUM(AH149:AM149)</f>
        <v>0</v>
      </c>
      <c r="AO149" s="1"/>
      <c r="AP149" s="1"/>
      <c r="AQ149" s="1"/>
      <c r="AR149" s="1"/>
    </row>
    <row r="150" customFormat="false" ht="13.8" hidden="false" customHeight="false" outlineLevel="0" collapsed="false">
      <c r="A150" s="1" t="s">
        <v>237</v>
      </c>
      <c r="B150" s="1" t="n">
        <v>472</v>
      </c>
      <c r="C150" s="1" t="s">
        <v>224</v>
      </c>
      <c r="D150" s="1" t="s">
        <v>42</v>
      </c>
      <c r="E150" s="1" t="s">
        <v>225</v>
      </c>
      <c r="G150" s="1" t="n">
        <v>1</v>
      </c>
      <c r="H150" s="1" t="n">
        <v>14</v>
      </c>
      <c r="I150" s="8" t="n">
        <v>27715</v>
      </c>
      <c r="J150" s="1" t="n">
        <v>1</v>
      </c>
      <c r="K150" s="1" t="s">
        <v>76</v>
      </c>
      <c r="L150" s="1" t="n">
        <v>0</v>
      </c>
      <c r="P150" s="1" t="n">
        <f aca="false">SUM(M150:O150)</f>
        <v>0</v>
      </c>
      <c r="W150" s="1" t="n">
        <f aca="false">SUM(Q150:V150)</f>
        <v>0</v>
      </c>
      <c r="AF150" s="9" t="n">
        <f aca="false">SUM(Z150:AE150)</f>
        <v>0</v>
      </c>
      <c r="AG150" s="10"/>
      <c r="AH150" s="11"/>
      <c r="AI150" s="11"/>
      <c r="AJ150" s="11"/>
      <c r="AK150" s="11"/>
      <c r="AL150" s="11"/>
      <c r="AM150" s="11"/>
      <c r="AN150" s="11" t="n">
        <f aca="false">SUM(AH150:AM150)</f>
        <v>0</v>
      </c>
      <c r="AO150" s="1"/>
      <c r="AP150" s="1"/>
      <c r="AQ150" s="1"/>
      <c r="AR150" s="1"/>
    </row>
    <row r="151" customFormat="false" ht="13.8" hidden="false" customHeight="false" outlineLevel="0" collapsed="false">
      <c r="A151" s="1" t="s">
        <v>238</v>
      </c>
      <c r="B151" s="1" t="n">
        <v>464</v>
      </c>
      <c r="C151" s="1" t="s">
        <v>224</v>
      </c>
      <c r="D151" s="1" t="s">
        <v>42</v>
      </c>
      <c r="E151" s="1" t="s">
        <v>225</v>
      </c>
      <c r="F151" s="1" t="n">
        <v>3</v>
      </c>
      <c r="G151" s="1" t="n">
        <v>1</v>
      </c>
      <c r="H151" s="1" t="n">
        <v>8</v>
      </c>
      <c r="I151" s="8" t="n">
        <v>491511</v>
      </c>
      <c r="J151" s="1" t="n">
        <v>3</v>
      </c>
      <c r="K151" s="1" t="s">
        <v>44</v>
      </c>
      <c r="L151" s="1" t="n">
        <v>2</v>
      </c>
      <c r="O151" s="1" t="n">
        <v>1</v>
      </c>
      <c r="P151" s="1" t="n">
        <f aca="false">SUM(M151:O151)</f>
        <v>1</v>
      </c>
      <c r="W151" s="1" t="n">
        <f aca="false">SUM(Q151:V151)</f>
        <v>0</v>
      </c>
      <c r="X151" s="1" t="n">
        <v>3</v>
      </c>
      <c r="Y151" s="1" t="n">
        <v>4</v>
      </c>
      <c r="AF151" s="9" t="n">
        <f aca="false">SUM(Z151:AE151)</f>
        <v>0</v>
      </c>
      <c r="AG151" s="10"/>
      <c r="AH151" s="11"/>
      <c r="AI151" s="11"/>
      <c r="AJ151" s="11"/>
      <c r="AK151" s="11"/>
      <c r="AL151" s="11"/>
      <c r="AM151" s="11"/>
      <c r="AN151" s="11" t="n">
        <f aca="false">SUM(AH151:AM151)</f>
        <v>0</v>
      </c>
      <c r="AO151" s="1"/>
      <c r="AP151" s="1"/>
      <c r="AQ151" s="1"/>
      <c r="AR151" s="1"/>
    </row>
    <row r="152" customFormat="false" ht="13.8" hidden="false" customHeight="false" outlineLevel="0" collapsed="false">
      <c r="A152" s="1" t="s">
        <v>239</v>
      </c>
      <c r="B152" s="1" t="n">
        <v>683</v>
      </c>
      <c r="C152" s="1" t="s">
        <v>224</v>
      </c>
      <c r="D152" s="1" t="s">
        <v>42</v>
      </c>
      <c r="E152" s="1" t="s">
        <v>225</v>
      </c>
      <c r="G152" s="1" t="n">
        <v>1</v>
      </c>
      <c r="H152" s="1" t="n">
        <v>6</v>
      </c>
      <c r="I152" s="8" t="n">
        <v>46191</v>
      </c>
      <c r="J152" s="1" t="n">
        <v>1</v>
      </c>
      <c r="K152" s="1" t="s">
        <v>76</v>
      </c>
      <c r="L152" s="1" t="n">
        <v>0</v>
      </c>
      <c r="P152" s="1" t="n">
        <f aca="false">SUM(M152:O152)</f>
        <v>0</v>
      </c>
      <c r="R152" s="1" t="n">
        <v>7</v>
      </c>
      <c r="W152" s="1" t="n">
        <f aca="false">SUM(Q152:V152)</f>
        <v>7</v>
      </c>
      <c r="AA152" s="9" t="n">
        <f aca="false">(R152)*(1+(J152)*0.2)</f>
        <v>8.4</v>
      </c>
      <c r="AF152" s="9" t="n">
        <f aca="false">SUM(Z152:AE152)</f>
        <v>8.4</v>
      </c>
      <c r="AG152" s="10" t="s">
        <v>53</v>
      </c>
      <c r="AH152" s="11"/>
      <c r="AI152" s="11" t="n">
        <f aca="false">IF(AG152="yes",AA152*1.2,AA152)</f>
        <v>8.4</v>
      </c>
      <c r="AJ152" s="11"/>
      <c r="AK152" s="11"/>
      <c r="AL152" s="11"/>
      <c r="AM152" s="11"/>
      <c r="AN152" s="11" t="n">
        <f aca="false">SUM(AH152:AM152)</f>
        <v>8.4</v>
      </c>
      <c r="AO152" s="1"/>
      <c r="AP152" s="1"/>
      <c r="AQ152" s="1"/>
      <c r="AR152" s="1"/>
    </row>
    <row r="153" customFormat="false" ht="13.8" hidden="false" customHeight="false" outlineLevel="0" collapsed="false">
      <c r="A153" s="1" t="s">
        <v>240</v>
      </c>
      <c r="B153" s="1" t="n">
        <v>862</v>
      </c>
      <c r="C153" s="1" t="s">
        <v>224</v>
      </c>
      <c r="D153" s="1" t="s">
        <v>42</v>
      </c>
      <c r="E153" s="1" t="s">
        <v>225</v>
      </c>
      <c r="G153" s="1" t="n">
        <v>1</v>
      </c>
      <c r="H153" s="1" t="n">
        <v>12</v>
      </c>
      <c r="I153" s="8" t="n">
        <v>80098</v>
      </c>
      <c r="K153" s="1" t="s">
        <v>44</v>
      </c>
      <c r="L153" s="1" t="n">
        <v>2</v>
      </c>
      <c r="P153" s="1" t="n">
        <f aca="false">SUM(M153:O153)</f>
        <v>0</v>
      </c>
      <c r="W153" s="1" t="n">
        <f aca="false">SUM(Q153:V153)</f>
        <v>0</v>
      </c>
      <c r="Z153" s="12"/>
      <c r="AD153" s="9"/>
      <c r="AF153" s="9" t="n">
        <f aca="false">SUM(Z153:AE153)</f>
        <v>0</v>
      </c>
      <c r="AG153" s="10"/>
      <c r="AH153" s="11"/>
      <c r="AI153" s="11"/>
      <c r="AJ153" s="11"/>
      <c r="AK153" s="11"/>
      <c r="AL153" s="11"/>
      <c r="AM153" s="11"/>
      <c r="AN153" s="11" t="n">
        <f aca="false">SUM(AH153:AM153)</f>
        <v>0</v>
      </c>
      <c r="AO153" s="1"/>
      <c r="AP153" s="1"/>
      <c r="AQ153" s="1"/>
      <c r="AR153" s="1"/>
    </row>
    <row r="154" customFormat="false" ht="13.8" hidden="false" customHeight="false" outlineLevel="0" collapsed="false">
      <c r="A154" s="1" t="s">
        <v>241</v>
      </c>
      <c r="B154" s="1" t="n">
        <v>861</v>
      </c>
      <c r="C154" s="1" t="s">
        <v>224</v>
      </c>
      <c r="D154" s="1" t="s">
        <v>42</v>
      </c>
      <c r="E154" s="1" t="s">
        <v>225</v>
      </c>
      <c r="G154" s="1" t="n">
        <v>1</v>
      </c>
      <c r="H154" s="1" t="n">
        <v>3</v>
      </c>
      <c r="I154" s="8" t="n">
        <v>50061</v>
      </c>
      <c r="K154" s="1" t="s">
        <v>51</v>
      </c>
      <c r="L154" s="1" t="n">
        <v>1</v>
      </c>
      <c r="P154" s="1" t="n">
        <f aca="false">SUM(M154:O154)</f>
        <v>0</v>
      </c>
      <c r="W154" s="1" t="n">
        <f aca="false">SUM(Q154:V154)</f>
        <v>0</v>
      </c>
      <c r="AF154" s="9" t="n">
        <f aca="false">SUM(Z154:AE154)</f>
        <v>0</v>
      </c>
      <c r="AG154" s="10"/>
      <c r="AH154" s="11"/>
      <c r="AI154" s="11"/>
      <c r="AJ154" s="11"/>
      <c r="AK154" s="11"/>
      <c r="AL154" s="11"/>
      <c r="AM154" s="11"/>
      <c r="AN154" s="11" t="n">
        <f aca="false">SUM(AH154:AM154)</f>
        <v>0</v>
      </c>
      <c r="AO154" s="1"/>
      <c r="AP154" s="1"/>
      <c r="AQ154" s="1"/>
      <c r="AR154" s="1"/>
    </row>
    <row r="155" customFormat="false" ht="13.8" hidden="false" customHeight="false" outlineLevel="0" collapsed="false">
      <c r="A155" s="1" t="s">
        <v>242</v>
      </c>
      <c r="B155" s="1" t="n">
        <v>468</v>
      </c>
      <c r="C155" s="1" t="s">
        <v>224</v>
      </c>
      <c r="D155" s="1" t="s">
        <v>42</v>
      </c>
      <c r="E155" s="1" t="s">
        <v>225</v>
      </c>
      <c r="F155" s="1" t="n">
        <v>23</v>
      </c>
      <c r="G155" s="1" t="n">
        <v>1</v>
      </c>
      <c r="H155" s="1" t="n">
        <v>15</v>
      </c>
      <c r="I155" s="8" t="n">
        <v>2435724</v>
      </c>
      <c r="J155" s="1" t="n">
        <v>3</v>
      </c>
      <c r="K155" s="1" t="s">
        <v>96</v>
      </c>
      <c r="L155" s="1" t="n">
        <v>6</v>
      </c>
      <c r="M155" s="1" t="n">
        <v>2</v>
      </c>
      <c r="O155" s="1" t="n">
        <v>1</v>
      </c>
      <c r="P155" s="1" t="n">
        <f aca="false">SUM(M155:O155)</f>
        <v>3</v>
      </c>
      <c r="R155" s="1" t="n">
        <v>3</v>
      </c>
      <c r="W155" s="1" t="n">
        <f aca="false">SUM(Q155:V155)</f>
        <v>3</v>
      </c>
      <c r="X155" s="1" t="n">
        <v>3</v>
      </c>
      <c r="Y155" s="1" t="n">
        <v>6</v>
      </c>
      <c r="AA155" s="9" t="n">
        <f aca="false">(R155)*(1+(J155)*0.2)</f>
        <v>4.8</v>
      </c>
      <c r="AF155" s="9" t="n">
        <f aca="false">SUM(Z155:AE155)</f>
        <v>4.8</v>
      </c>
      <c r="AG155" s="10" t="s">
        <v>47</v>
      </c>
      <c r="AH155" s="11"/>
      <c r="AI155" s="11" t="n">
        <f aca="false">IF(AG155="yes",AA155*1.2,AA155)</f>
        <v>5.76</v>
      </c>
      <c r="AJ155" s="11"/>
      <c r="AK155" s="11"/>
      <c r="AL155" s="11"/>
      <c r="AM155" s="11"/>
      <c r="AN155" s="11" t="n">
        <f aca="false">SUM(AH155:AM155)</f>
        <v>5.76</v>
      </c>
      <c r="AO155" s="1"/>
      <c r="AP155" s="1"/>
      <c r="AQ155" s="1"/>
      <c r="AR155" s="1"/>
    </row>
    <row r="156" customFormat="false" ht="13.8" hidden="false" customHeight="false" outlineLevel="0" collapsed="false">
      <c r="A156" s="1" t="s">
        <v>243</v>
      </c>
      <c r="B156" s="1" t="n">
        <v>469</v>
      </c>
      <c r="C156" s="1" t="s">
        <v>224</v>
      </c>
      <c r="D156" s="1" t="s">
        <v>42</v>
      </c>
      <c r="E156" s="1" t="s">
        <v>225</v>
      </c>
      <c r="F156" s="13" t="n">
        <v>2</v>
      </c>
      <c r="G156" s="1" t="n">
        <v>1</v>
      </c>
      <c r="H156" s="1" t="n">
        <v>14</v>
      </c>
      <c r="I156" s="8" t="n">
        <v>800977</v>
      </c>
      <c r="J156" s="1" t="n">
        <v>2</v>
      </c>
      <c r="K156" s="1" t="s">
        <v>44</v>
      </c>
      <c r="L156" s="1" t="n">
        <v>2</v>
      </c>
      <c r="O156" s="1" t="n">
        <v>1</v>
      </c>
      <c r="P156" s="1" t="n">
        <f aca="false">SUM(M156:O156)</f>
        <v>1</v>
      </c>
      <c r="W156" s="1" t="n">
        <f aca="false">SUM(Q156:V156)</f>
        <v>0</v>
      </c>
      <c r="AF156" s="9" t="n">
        <f aca="false">SUM(Z156:AE156)</f>
        <v>0</v>
      </c>
      <c r="AG156" s="10"/>
      <c r="AH156" s="11"/>
      <c r="AI156" s="11"/>
      <c r="AJ156" s="11"/>
      <c r="AK156" s="11"/>
      <c r="AL156" s="11"/>
      <c r="AM156" s="11"/>
      <c r="AN156" s="11" t="n">
        <f aca="false">SUM(AH156:AM156)</f>
        <v>0</v>
      </c>
      <c r="AO156" s="1"/>
      <c r="AP156" s="1"/>
      <c r="AQ156" s="1"/>
      <c r="AR156" s="1"/>
    </row>
    <row r="157" customFormat="false" ht="13.8" hidden="false" customHeight="false" outlineLevel="0" collapsed="false">
      <c r="A157" s="1" t="s">
        <v>244</v>
      </c>
      <c r="B157" s="1" t="n">
        <v>276</v>
      </c>
      <c r="C157" s="1" t="s">
        <v>224</v>
      </c>
      <c r="D157" s="1" t="s">
        <v>42</v>
      </c>
      <c r="E157" s="1" t="s">
        <v>225</v>
      </c>
      <c r="F157" s="1" t="n">
        <v>30</v>
      </c>
      <c r="G157" s="1" t="n">
        <v>1</v>
      </c>
      <c r="H157" s="1" t="n">
        <v>36</v>
      </c>
      <c r="I157" s="8" t="n">
        <v>3120822</v>
      </c>
      <c r="J157" s="1" t="n">
        <v>4</v>
      </c>
      <c r="K157" s="1" t="s">
        <v>57</v>
      </c>
      <c r="L157" s="1" t="n">
        <v>8</v>
      </c>
      <c r="M157" s="1" t="n">
        <v>2</v>
      </c>
      <c r="O157" s="1" t="n">
        <v>4</v>
      </c>
      <c r="P157" s="1" t="n">
        <f aca="false">SUM(M157:O157)</f>
        <v>6</v>
      </c>
      <c r="W157" s="1" t="n">
        <f aca="false">SUM(Q157:V157)</f>
        <v>0</v>
      </c>
      <c r="X157" s="1" t="n">
        <v>5</v>
      </c>
      <c r="AF157" s="9" t="n">
        <f aca="false">SUM(Z157:AE157)</f>
        <v>0</v>
      </c>
      <c r="AG157" s="10"/>
      <c r="AH157" s="11"/>
      <c r="AI157" s="11"/>
      <c r="AJ157" s="11"/>
      <c r="AK157" s="11"/>
      <c r="AL157" s="11"/>
      <c r="AM157" s="11"/>
      <c r="AN157" s="11" t="n">
        <f aca="false">SUM(AH157:AM157)</f>
        <v>0</v>
      </c>
      <c r="AO157" s="1"/>
      <c r="AP157" s="1"/>
      <c r="AQ157" s="1"/>
      <c r="AR157" s="1"/>
    </row>
    <row r="158" customFormat="false" ht="13.8" hidden="false" customHeight="false" outlineLevel="0" collapsed="false">
      <c r="A158" s="1" t="s">
        <v>245</v>
      </c>
      <c r="B158" s="1" t="n">
        <v>471</v>
      </c>
      <c r="C158" s="1" t="s">
        <v>224</v>
      </c>
      <c r="D158" s="1" t="s">
        <v>42</v>
      </c>
      <c r="E158" s="1" t="s">
        <v>225</v>
      </c>
      <c r="G158" s="1" t="n">
        <v>1</v>
      </c>
      <c r="H158" s="1" t="n">
        <v>9</v>
      </c>
      <c r="I158" s="8" t="n">
        <v>27715</v>
      </c>
      <c r="J158" s="1" t="n">
        <v>1</v>
      </c>
      <c r="K158" s="1" t="s">
        <v>76</v>
      </c>
      <c r="L158" s="1" t="n">
        <v>0</v>
      </c>
      <c r="P158" s="1" t="n">
        <f aca="false">SUM(M158:O158)</f>
        <v>0</v>
      </c>
      <c r="W158" s="1" t="n">
        <f aca="false">SUM(Q158:V158)</f>
        <v>0</v>
      </c>
      <c r="Y158" s="1" t="n">
        <v>1</v>
      </c>
      <c r="AF158" s="9" t="n">
        <f aca="false">SUM(Z158:AE158)</f>
        <v>0</v>
      </c>
      <c r="AG158" s="10"/>
      <c r="AH158" s="11"/>
      <c r="AI158" s="11"/>
      <c r="AJ158" s="11"/>
      <c r="AK158" s="11"/>
      <c r="AL158" s="11"/>
      <c r="AM158" s="11"/>
      <c r="AN158" s="11" t="n">
        <f aca="false">SUM(AH158:AM158)</f>
        <v>0</v>
      </c>
      <c r="AO158" s="1"/>
      <c r="AP158" s="1"/>
      <c r="AQ158" s="1"/>
      <c r="AR158" s="1"/>
    </row>
    <row r="159" customFormat="false" ht="13.8" hidden="false" customHeight="false" outlineLevel="0" collapsed="false">
      <c r="A159" s="1" t="s">
        <v>246</v>
      </c>
      <c r="B159" s="1" t="n">
        <v>740</v>
      </c>
      <c r="C159" s="1" t="s">
        <v>224</v>
      </c>
      <c r="D159" s="1" t="s">
        <v>42</v>
      </c>
      <c r="E159" s="1" t="s">
        <v>225</v>
      </c>
      <c r="F159" s="13" t="n">
        <v>2</v>
      </c>
      <c r="G159" s="1" t="n">
        <v>1</v>
      </c>
      <c r="H159" s="1" t="n">
        <v>5</v>
      </c>
      <c r="I159" s="8" t="n">
        <v>259929</v>
      </c>
      <c r="J159" s="1" t="n">
        <v>1</v>
      </c>
      <c r="K159" s="1" t="s">
        <v>44</v>
      </c>
      <c r="L159" s="1" t="n">
        <v>2</v>
      </c>
      <c r="P159" s="1" t="n">
        <f aca="false">SUM(M159:O159)</f>
        <v>0</v>
      </c>
      <c r="W159" s="1" t="n">
        <f aca="false">SUM(Q159:V159)</f>
        <v>0</v>
      </c>
      <c r="AF159" s="9" t="n">
        <f aca="false">SUM(Z159:AE159)</f>
        <v>0</v>
      </c>
      <c r="AG159" s="10"/>
      <c r="AH159" s="11"/>
      <c r="AI159" s="11"/>
      <c r="AJ159" s="11"/>
      <c r="AK159" s="11"/>
      <c r="AL159" s="11"/>
      <c r="AM159" s="11"/>
      <c r="AN159" s="11" t="n">
        <f aca="false">SUM(AH159:AM159)</f>
        <v>0</v>
      </c>
      <c r="AO159" s="1"/>
      <c r="AP159" s="1"/>
      <c r="AQ159" s="1"/>
      <c r="AR159" s="1"/>
    </row>
    <row r="160" customFormat="false" ht="13.8" hidden="false" customHeight="false" outlineLevel="0" collapsed="false">
      <c r="A160" s="1" t="s">
        <v>247</v>
      </c>
      <c r="B160" s="1" t="n">
        <v>864</v>
      </c>
      <c r="C160" s="1" t="s">
        <v>224</v>
      </c>
      <c r="D160" s="1" t="s">
        <v>42</v>
      </c>
      <c r="E160" s="1" t="s">
        <v>225</v>
      </c>
      <c r="G160" s="1" t="n">
        <v>1</v>
      </c>
      <c r="H160" s="1" t="n">
        <v>3</v>
      </c>
      <c r="I160" s="8" t="n">
        <v>10</v>
      </c>
      <c r="K160" s="1" t="s">
        <v>76</v>
      </c>
      <c r="L160" s="1" t="n">
        <v>0</v>
      </c>
      <c r="P160" s="1" t="n">
        <f aca="false">SUM(M160:O160)</f>
        <v>0</v>
      </c>
      <c r="W160" s="1" t="n">
        <f aca="false">SUM(Q160:V160)</f>
        <v>0</v>
      </c>
      <c r="AA160" s="9"/>
      <c r="AF160" s="9" t="n">
        <f aca="false">SUM(Z160:AE160)</f>
        <v>0</v>
      </c>
      <c r="AG160" s="10"/>
      <c r="AH160" s="11"/>
      <c r="AI160" s="11"/>
      <c r="AJ160" s="11"/>
      <c r="AK160" s="11"/>
      <c r="AL160" s="11"/>
      <c r="AM160" s="11"/>
      <c r="AN160" s="11" t="n">
        <f aca="false">SUM(AH160:AM160)</f>
        <v>0</v>
      </c>
      <c r="AO160" s="1"/>
      <c r="AP160" s="1"/>
      <c r="AQ160" s="1"/>
      <c r="AR160" s="1"/>
    </row>
    <row r="161" customFormat="false" ht="13.8" hidden="false" customHeight="false" outlineLevel="0" collapsed="false">
      <c r="A161" s="1" t="s">
        <v>248</v>
      </c>
      <c r="B161" s="1" t="n">
        <v>738</v>
      </c>
      <c r="C161" s="1" t="s">
        <v>249</v>
      </c>
      <c r="D161" s="1" t="s">
        <v>42</v>
      </c>
      <c r="E161" s="1" t="s">
        <v>250</v>
      </c>
      <c r="G161" s="1" t="n">
        <v>1</v>
      </c>
      <c r="H161" s="1" t="n">
        <v>1</v>
      </c>
      <c r="I161" s="8" t="n">
        <v>36190</v>
      </c>
      <c r="J161" s="1" t="n">
        <v>1</v>
      </c>
      <c r="K161" s="1" t="s">
        <v>84</v>
      </c>
      <c r="L161" s="1" t="n">
        <v>1</v>
      </c>
      <c r="P161" s="1" t="n">
        <f aca="false">SUM(M161:O161)</f>
        <v>0</v>
      </c>
      <c r="W161" s="1" t="n">
        <f aca="false">SUM(Q161:V161)</f>
        <v>0</v>
      </c>
      <c r="Y161" s="1" t="n">
        <v>1</v>
      </c>
      <c r="AB161" s="9"/>
      <c r="AC161" s="9"/>
      <c r="AF161" s="9" t="n">
        <f aca="false">SUM(Z161:AE161)</f>
        <v>0</v>
      </c>
      <c r="AG161" s="10"/>
      <c r="AH161" s="11"/>
      <c r="AI161" s="11"/>
      <c r="AJ161" s="11"/>
      <c r="AK161" s="11"/>
      <c r="AL161" s="11"/>
      <c r="AM161" s="11"/>
      <c r="AN161" s="11" t="n">
        <f aca="false">SUM(AH161:AM161)</f>
        <v>0</v>
      </c>
      <c r="AO161" s="1"/>
      <c r="AP161" s="1"/>
      <c r="AQ161" s="1"/>
      <c r="AR161" s="1"/>
    </row>
    <row r="162" customFormat="false" ht="13.8" hidden="false" customHeight="false" outlineLevel="0" collapsed="false">
      <c r="A162" s="1" t="s">
        <v>251</v>
      </c>
      <c r="B162" s="1" t="n">
        <v>335</v>
      </c>
      <c r="C162" s="1" t="s">
        <v>249</v>
      </c>
      <c r="D162" s="1" t="s">
        <v>42</v>
      </c>
      <c r="E162" s="1" t="s">
        <v>250</v>
      </c>
      <c r="F162" s="1" t="n">
        <v>8</v>
      </c>
      <c r="G162" s="1" t="n">
        <v>1</v>
      </c>
      <c r="H162" s="1" t="n">
        <v>25</v>
      </c>
      <c r="I162" s="8" t="n">
        <v>41769126</v>
      </c>
      <c r="J162" s="1" t="n">
        <v>3</v>
      </c>
      <c r="K162" s="1" t="s">
        <v>96</v>
      </c>
      <c r="L162" s="1" t="n">
        <v>6</v>
      </c>
      <c r="N162" s="1" t="n">
        <v>1</v>
      </c>
      <c r="O162" s="1" t="n">
        <v>1</v>
      </c>
      <c r="P162" s="1" t="n">
        <f aca="false">SUM(M162:O162)</f>
        <v>2</v>
      </c>
      <c r="Q162" s="1" t="n">
        <v>10</v>
      </c>
      <c r="S162" s="1" t="n">
        <v>140</v>
      </c>
      <c r="W162" s="1" t="n">
        <f aca="false">SUM(Q162:V162)</f>
        <v>150</v>
      </c>
      <c r="X162" s="1" t="n">
        <v>3</v>
      </c>
      <c r="Y162" s="1" t="n">
        <v>9</v>
      </c>
      <c r="Z162" s="9" t="n">
        <f aca="false">(Q162)*(1+(J162)*0.2)</f>
        <v>16</v>
      </c>
      <c r="AB162" s="9" t="n">
        <f aca="false">(S162)*(1+(J162)*0.2)</f>
        <v>224</v>
      </c>
      <c r="AC162" s="9"/>
      <c r="AF162" s="9" t="n">
        <f aca="false">SUM(Z162:AE162)</f>
        <v>240</v>
      </c>
      <c r="AG162" s="10" t="s">
        <v>47</v>
      </c>
      <c r="AH162" s="11" t="n">
        <f aca="false">IF(AG162="yes",Z162*1.2,Z162)</f>
        <v>19.2</v>
      </c>
      <c r="AI162" s="11"/>
      <c r="AJ162" s="11" t="n">
        <f aca="false">IF(AG162="yes",AB162*1.2,AB162)</f>
        <v>268.8</v>
      </c>
      <c r="AK162" s="11"/>
      <c r="AL162" s="11"/>
      <c r="AM162" s="11"/>
      <c r="AN162" s="11" t="n">
        <f aca="false">SUM(AH162:AM162)</f>
        <v>288</v>
      </c>
      <c r="AO162" s="1"/>
      <c r="AP162" s="1"/>
      <c r="AQ162" s="1"/>
      <c r="AR162" s="1"/>
    </row>
    <row r="163" customFormat="false" ht="13.8" hidden="false" customHeight="false" outlineLevel="0" collapsed="false">
      <c r="A163" s="1" t="s">
        <v>252</v>
      </c>
      <c r="B163" s="1" t="n">
        <v>334</v>
      </c>
      <c r="C163" s="1" t="s">
        <v>249</v>
      </c>
      <c r="D163" s="1" t="s">
        <v>42</v>
      </c>
      <c r="E163" s="1" t="s">
        <v>250</v>
      </c>
      <c r="F163" s="1" t="n">
        <v>1</v>
      </c>
      <c r="G163" s="1" t="n">
        <v>1</v>
      </c>
      <c r="H163" s="13" t="n">
        <v>43</v>
      </c>
      <c r="I163" s="8" t="n">
        <v>2171247</v>
      </c>
      <c r="J163" s="1" t="n">
        <v>1</v>
      </c>
      <c r="K163" s="1" t="s">
        <v>44</v>
      </c>
      <c r="L163" s="1" t="n">
        <v>2</v>
      </c>
      <c r="P163" s="1" t="n">
        <f aca="false">SUM(M163:O163)</f>
        <v>0</v>
      </c>
      <c r="Q163" s="1" t="n">
        <v>5</v>
      </c>
      <c r="S163" s="1" t="n">
        <v>75</v>
      </c>
      <c r="W163" s="1" t="n">
        <f aca="false">SUM(Q163:V163)</f>
        <v>80</v>
      </c>
      <c r="Y163" s="1" t="n">
        <v>5</v>
      </c>
      <c r="Z163" s="9" t="n">
        <f aca="false">(Q163)*(1+(J163)*0.2)</f>
        <v>6</v>
      </c>
      <c r="AB163" s="9" t="n">
        <f aca="false">(S163)*(1+(J163)*0.2)</f>
        <v>90</v>
      </c>
      <c r="AD163" s="9"/>
      <c r="AF163" s="9" t="n">
        <f aca="false">SUM(Z163:AE163)</f>
        <v>96</v>
      </c>
      <c r="AG163" s="10" t="s">
        <v>47</v>
      </c>
      <c r="AH163" s="11" t="n">
        <f aca="false">IF(AG163="yes",Z163*1.2,Z163)</f>
        <v>7.2</v>
      </c>
      <c r="AI163" s="11"/>
      <c r="AJ163" s="11" t="n">
        <f aca="false">IF(AG163="yes",AB163*1.2,AB163)</f>
        <v>108</v>
      </c>
      <c r="AK163" s="11"/>
      <c r="AL163" s="11"/>
      <c r="AM163" s="11"/>
      <c r="AN163" s="11" t="n">
        <f aca="false">SUM(AH163:AM163)</f>
        <v>115.2</v>
      </c>
      <c r="AO163" s="1"/>
      <c r="AP163" s="1"/>
      <c r="AQ163" s="1"/>
      <c r="AR163" s="1"/>
    </row>
    <row r="164" customFormat="false" ht="13.8" hidden="false" customHeight="false" outlineLevel="0" collapsed="false">
      <c r="A164" s="1" t="s">
        <v>253</v>
      </c>
      <c r="B164" s="1" t="n">
        <v>667</v>
      </c>
      <c r="C164" s="1" t="s">
        <v>249</v>
      </c>
      <c r="D164" s="1" t="s">
        <v>42</v>
      </c>
      <c r="E164" s="1" t="s">
        <v>250</v>
      </c>
      <c r="G164" s="1" t="n">
        <v>1</v>
      </c>
      <c r="H164" s="1" t="n">
        <v>15</v>
      </c>
      <c r="I164" s="8" t="n">
        <v>3464424</v>
      </c>
      <c r="J164" s="1" t="n">
        <v>2</v>
      </c>
      <c r="K164" s="1" t="s">
        <v>46</v>
      </c>
      <c r="L164" s="1" t="n">
        <v>4</v>
      </c>
      <c r="P164" s="1" t="n">
        <f aca="false">SUM(M164:O164)</f>
        <v>0</v>
      </c>
      <c r="S164" s="1" t="n">
        <v>12</v>
      </c>
      <c r="W164" s="1" t="n">
        <f aca="false">SUM(Q164:V164)</f>
        <v>12</v>
      </c>
      <c r="Y164" s="1" t="n">
        <v>3</v>
      </c>
      <c r="Z164" s="12"/>
      <c r="AB164" s="9" t="n">
        <f aca="false">(S164)*(1+(J164)*0.2)</f>
        <v>16.8</v>
      </c>
      <c r="AF164" s="9" t="n">
        <f aca="false">SUM(Z164:AE164)</f>
        <v>16.8</v>
      </c>
      <c r="AG164" s="10" t="s">
        <v>47</v>
      </c>
      <c r="AH164" s="1"/>
      <c r="AI164" s="11"/>
      <c r="AJ164" s="11" t="n">
        <f aca="false">IF(AG164="yes",AB164*1.2,AB164)</f>
        <v>20.16</v>
      </c>
      <c r="AK164" s="11"/>
      <c r="AL164" s="11"/>
      <c r="AM164" s="11"/>
      <c r="AN164" s="11" t="n">
        <f aca="false">SUM(AH164:AM164)</f>
        <v>20.16</v>
      </c>
      <c r="AO164" s="1"/>
      <c r="AP164" s="1"/>
      <c r="AQ164" s="1"/>
      <c r="AR164" s="1"/>
    </row>
    <row r="165" customFormat="false" ht="13.8" hidden="false" customHeight="false" outlineLevel="0" collapsed="false">
      <c r="A165" s="1" t="s">
        <v>254</v>
      </c>
      <c r="B165" s="1" t="n">
        <v>673</v>
      </c>
      <c r="C165" s="1" t="s">
        <v>249</v>
      </c>
      <c r="D165" s="1" t="s">
        <v>42</v>
      </c>
      <c r="E165" s="1" t="s">
        <v>250</v>
      </c>
      <c r="F165" s="1" t="n">
        <v>3</v>
      </c>
      <c r="G165" s="1" t="n">
        <v>1</v>
      </c>
      <c r="H165" s="1" t="n">
        <v>27</v>
      </c>
      <c r="I165" s="8" t="n">
        <v>4237166</v>
      </c>
      <c r="J165" s="1" t="n">
        <v>2</v>
      </c>
      <c r="K165" s="1" t="s">
        <v>46</v>
      </c>
      <c r="L165" s="1" t="n">
        <v>4</v>
      </c>
      <c r="P165" s="1" t="n">
        <f aca="false">SUM(M165:O165)</f>
        <v>0</v>
      </c>
      <c r="S165" s="1" t="n">
        <v>30</v>
      </c>
      <c r="W165" s="1" t="n">
        <f aca="false">SUM(Q165:V165)</f>
        <v>30</v>
      </c>
      <c r="X165" s="1" t="n">
        <v>4</v>
      </c>
      <c r="Y165" s="1" t="n">
        <v>6</v>
      </c>
      <c r="AB165" s="9" t="n">
        <f aca="false">(S165)*(1+(J165)*0.2)</f>
        <v>42</v>
      </c>
      <c r="AF165" s="9" t="n">
        <f aca="false">SUM(Z165:AE165)</f>
        <v>42</v>
      </c>
      <c r="AG165" s="10" t="s">
        <v>47</v>
      </c>
      <c r="AH165" s="11"/>
      <c r="AI165" s="11"/>
      <c r="AJ165" s="11" t="n">
        <f aca="false">IF(AG165="yes",AB165*1.2,AB165)</f>
        <v>50.4</v>
      </c>
      <c r="AK165" s="11"/>
      <c r="AL165" s="11"/>
      <c r="AM165" s="11"/>
      <c r="AN165" s="11" t="n">
        <f aca="false">SUM(AH165:AM165)</f>
        <v>50.4</v>
      </c>
      <c r="AO165" s="1"/>
      <c r="AP165" s="1"/>
      <c r="AQ165" s="1"/>
      <c r="AR165" s="1"/>
    </row>
    <row r="166" customFormat="false" ht="13.8" hidden="false" customHeight="false" outlineLevel="0" collapsed="false">
      <c r="A166" s="1" t="s">
        <v>255</v>
      </c>
      <c r="B166" s="1" t="n">
        <v>672</v>
      </c>
      <c r="C166" s="1" t="s">
        <v>249</v>
      </c>
      <c r="D166" s="1" t="s">
        <v>42</v>
      </c>
      <c r="E166" s="1" t="s">
        <v>250</v>
      </c>
      <c r="F166" s="1" t="n">
        <v>2</v>
      </c>
      <c r="G166" s="1" t="n">
        <v>1</v>
      </c>
      <c r="H166" s="13" t="n">
        <v>56</v>
      </c>
      <c r="I166" s="8" t="n">
        <v>8264977</v>
      </c>
      <c r="J166" s="1" t="n">
        <v>2</v>
      </c>
      <c r="K166" s="1" t="s">
        <v>46</v>
      </c>
      <c r="L166" s="1" t="n">
        <v>4</v>
      </c>
      <c r="O166" s="1" t="n">
        <v>1</v>
      </c>
      <c r="P166" s="1" t="n">
        <f aca="false">SUM(M166:O166)</f>
        <v>1</v>
      </c>
      <c r="Q166" s="1" t="n">
        <v>12</v>
      </c>
      <c r="R166" s="1" t="n">
        <v>28</v>
      </c>
      <c r="S166" s="1" t="n">
        <v>150</v>
      </c>
      <c r="W166" s="1" t="n">
        <f aca="false">SUM(Q166:V166)</f>
        <v>190</v>
      </c>
      <c r="X166" s="1" t="n">
        <v>1</v>
      </c>
      <c r="Y166" s="1" t="n">
        <v>5</v>
      </c>
      <c r="Z166" s="9" t="n">
        <f aca="false">(Q166)*(1+(J166)*0.2)</f>
        <v>16.8</v>
      </c>
      <c r="AA166" s="9" t="n">
        <f aca="false">(R166)*(1+(J166)*0.2)</f>
        <v>39.2</v>
      </c>
      <c r="AB166" s="9" t="n">
        <f aca="false">(S166)*(1+(J166)*0.2)</f>
        <v>210</v>
      </c>
      <c r="AF166" s="9" t="n">
        <f aca="false">SUM(Z166:AE166)</f>
        <v>266</v>
      </c>
      <c r="AG166" s="10" t="s">
        <v>47</v>
      </c>
      <c r="AH166" s="11" t="n">
        <f aca="false">IF(AG166="yes",Z166*1.2,Z166)</f>
        <v>20.16</v>
      </c>
      <c r="AI166" s="11" t="n">
        <f aca="false">IF(AG166="yes",AA166*1.2,AA166)</f>
        <v>47.04</v>
      </c>
      <c r="AJ166" s="11" t="n">
        <f aca="false">IF(AG166="yes",AB166*1.2,AB166)</f>
        <v>252</v>
      </c>
      <c r="AK166" s="11"/>
      <c r="AL166" s="11"/>
      <c r="AM166" s="11"/>
      <c r="AN166" s="11" t="n">
        <f aca="false">SUM(AH166:AM166)</f>
        <v>319.2</v>
      </c>
      <c r="AO166" s="1"/>
      <c r="AP166" s="1"/>
      <c r="AQ166" s="1"/>
      <c r="AR166" s="1"/>
    </row>
    <row r="167" customFormat="false" ht="13.8" hidden="false" customHeight="false" outlineLevel="0" collapsed="false">
      <c r="A167" s="1" t="s">
        <v>256</v>
      </c>
      <c r="B167" s="1" t="n">
        <v>668</v>
      </c>
      <c r="C167" s="1" t="s">
        <v>249</v>
      </c>
      <c r="D167" s="1" t="s">
        <v>42</v>
      </c>
      <c r="E167" s="1" t="s">
        <v>250</v>
      </c>
      <c r="G167" s="1" t="n">
        <v>1</v>
      </c>
      <c r="H167" s="1" t="n">
        <v>10</v>
      </c>
      <c r="I167" s="8" t="n">
        <v>579807</v>
      </c>
      <c r="J167" s="1" t="n">
        <v>2</v>
      </c>
      <c r="K167" s="1" t="s">
        <v>51</v>
      </c>
      <c r="L167" s="1" t="n">
        <v>1</v>
      </c>
      <c r="P167" s="1" t="n">
        <f aca="false">SUM(M167:O167)</f>
        <v>0</v>
      </c>
      <c r="W167" s="1" t="n">
        <f aca="false">SUM(Q167:V167)</f>
        <v>0</v>
      </c>
      <c r="Y167" s="1" t="n">
        <v>3</v>
      </c>
      <c r="Z167" s="12"/>
      <c r="AF167" s="9" t="n">
        <f aca="false">SUM(Z167:AE167)</f>
        <v>0</v>
      </c>
      <c r="AG167" s="10"/>
      <c r="AH167" s="11"/>
      <c r="AI167" s="11"/>
      <c r="AJ167" s="11"/>
      <c r="AK167" s="11"/>
      <c r="AL167" s="11"/>
      <c r="AM167" s="11"/>
      <c r="AN167" s="11" t="n">
        <f aca="false">SUM(AH167:AM167)</f>
        <v>0</v>
      </c>
      <c r="AO167" s="1"/>
      <c r="AP167" s="1"/>
      <c r="AQ167" s="1"/>
      <c r="AR167" s="1"/>
    </row>
    <row r="168" customFormat="false" ht="13.8" hidden="false" customHeight="false" outlineLevel="0" collapsed="false">
      <c r="A168" s="1" t="s">
        <v>257</v>
      </c>
      <c r="B168" s="1" t="n">
        <v>669</v>
      </c>
      <c r="C168" s="1" t="s">
        <v>249</v>
      </c>
      <c r="D168" s="1" t="s">
        <v>42</v>
      </c>
      <c r="E168" s="1" t="s">
        <v>250</v>
      </c>
      <c r="F168" s="1" t="n">
        <v>1</v>
      </c>
      <c r="G168" s="1" t="n">
        <v>1</v>
      </c>
      <c r="H168" s="1" t="n">
        <v>28</v>
      </c>
      <c r="I168" s="8" t="n">
        <v>314684</v>
      </c>
      <c r="J168" s="1" t="n">
        <v>1</v>
      </c>
      <c r="K168" s="1" t="s">
        <v>51</v>
      </c>
      <c r="L168" s="1" t="n">
        <v>1</v>
      </c>
      <c r="P168" s="1" t="n">
        <f aca="false">SUM(M168:O168)</f>
        <v>0</v>
      </c>
      <c r="W168" s="1" t="n">
        <f aca="false">SUM(Q168:V168)</f>
        <v>0</v>
      </c>
      <c r="Y168" s="1" t="n">
        <v>2</v>
      </c>
      <c r="AF168" s="9" t="n">
        <f aca="false">SUM(Z168:AE168)</f>
        <v>0</v>
      </c>
      <c r="AG168" s="10"/>
      <c r="AH168" s="11"/>
      <c r="AI168" s="11"/>
      <c r="AJ168" s="11"/>
      <c r="AK168" s="11"/>
      <c r="AL168" s="11"/>
      <c r="AM168" s="11"/>
      <c r="AN168" s="11" t="n">
        <f aca="false">SUM(AH168:AM168)</f>
        <v>0</v>
      </c>
      <c r="AO168" s="1"/>
      <c r="AP168" s="1"/>
      <c r="AQ168" s="1"/>
      <c r="AR168" s="1"/>
    </row>
    <row r="169" customFormat="false" ht="13.8" hidden="false" customHeight="false" outlineLevel="0" collapsed="false">
      <c r="A169" s="1" t="s">
        <v>258</v>
      </c>
      <c r="B169" s="1" t="n">
        <v>305</v>
      </c>
      <c r="C169" s="1" t="s">
        <v>259</v>
      </c>
      <c r="D169" s="1" t="s">
        <v>42</v>
      </c>
      <c r="E169" s="1" t="s">
        <v>258</v>
      </c>
      <c r="F169" s="13" t="n">
        <v>17</v>
      </c>
      <c r="G169" s="1" t="n">
        <v>1</v>
      </c>
      <c r="H169" s="1" t="n">
        <v>8</v>
      </c>
      <c r="I169" s="8" t="n">
        <v>2002441</v>
      </c>
      <c r="J169" s="1" t="n">
        <v>2</v>
      </c>
      <c r="K169" s="1" t="s">
        <v>96</v>
      </c>
      <c r="L169" s="1" t="n">
        <v>6</v>
      </c>
      <c r="M169" s="1" t="n">
        <v>1</v>
      </c>
      <c r="O169" s="1" t="n">
        <v>4</v>
      </c>
      <c r="P169" s="1" t="n">
        <f aca="false">SUM(M169:O169)</f>
        <v>5</v>
      </c>
      <c r="Q169" s="1" t="n">
        <v>2</v>
      </c>
      <c r="W169" s="1" t="n">
        <f aca="false">SUM(Q169:V169)</f>
        <v>2</v>
      </c>
      <c r="X169" s="1" t="n">
        <v>1</v>
      </c>
      <c r="Y169" s="1" t="n">
        <v>4</v>
      </c>
      <c r="Z169" s="1" t="n">
        <f aca="false">(Q169)*(1+(J169)*0.2)</f>
        <v>2.8</v>
      </c>
      <c r="AF169" s="9" t="n">
        <f aca="false">SUM(Z169:AE169)</f>
        <v>2.8</v>
      </c>
      <c r="AG169" s="10" t="s">
        <v>47</v>
      </c>
      <c r="AH169" s="11" t="n">
        <f aca="false">IF(AG169="yes",Z169*1.2,Z169)</f>
        <v>3.36</v>
      </c>
      <c r="AI169" s="11"/>
      <c r="AJ169" s="11"/>
      <c r="AK169" s="11"/>
      <c r="AL169" s="11"/>
      <c r="AM169" s="11"/>
      <c r="AN169" s="11" t="n">
        <f aca="false">SUM(AH169:AM169)</f>
        <v>3.36</v>
      </c>
      <c r="AO169" s="1"/>
      <c r="AP169" s="1"/>
      <c r="AQ169" s="1"/>
      <c r="AR169" s="1"/>
    </row>
    <row r="170" customFormat="false" ht="13.8" hidden="false" customHeight="false" outlineLevel="0" collapsed="false">
      <c r="A170" s="1" t="s">
        <v>260</v>
      </c>
      <c r="B170" s="1" t="n">
        <v>649</v>
      </c>
      <c r="C170" s="1" t="s">
        <v>259</v>
      </c>
      <c r="D170" s="1" t="s">
        <v>42</v>
      </c>
      <c r="E170" s="1" t="s">
        <v>258</v>
      </c>
      <c r="F170" s="13" t="n">
        <v>1</v>
      </c>
      <c r="G170" s="1" t="n">
        <v>1</v>
      </c>
      <c r="H170" s="1" t="n">
        <v>1</v>
      </c>
      <c r="I170" s="8" t="n">
        <v>11546</v>
      </c>
      <c r="J170" s="1" t="n">
        <v>1</v>
      </c>
      <c r="K170" s="1" t="s">
        <v>261</v>
      </c>
      <c r="L170" s="1" t="n">
        <v>0</v>
      </c>
      <c r="P170" s="1" t="n">
        <f aca="false">SUM(M170:O170)</f>
        <v>0</v>
      </c>
      <c r="W170" s="1" t="n">
        <f aca="false">SUM(Q170:V170)</f>
        <v>0</v>
      </c>
      <c r="Y170" s="1" t="n">
        <v>1</v>
      </c>
      <c r="AF170" s="9" t="n">
        <f aca="false">SUM(Z170:AE170)</f>
        <v>0</v>
      </c>
      <c r="AG170" s="10"/>
      <c r="AH170" s="11"/>
      <c r="AI170" s="11"/>
      <c r="AJ170" s="11"/>
      <c r="AK170" s="11"/>
      <c r="AL170" s="11"/>
      <c r="AM170" s="11"/>
      <c r="AN170" s="11" t="n">
        <f aca="false">SUM(AH170:AM170)</f>
        <v>0</v>
      </c>
      <c r="AO170" s="1"/>
      <c r="AP170" s="1"/>
      <c r="AQ170" s="1"/>
      <c r="AR170" s="1"/>
    </row>
    <row r="171" customFormat="false" ht="13.8" hidden="false" customHeight="false" outlineLevel="0" collapsed="false">
      <c r="A171" s="1" t="s">
        <v>262</v>
      </c>
      <c r="B171" s="1" t="n">
        <v>490</v>
      </c>
      <c r="C171" s="13" t="s">
        <v>259</v>
      </c>
      <c r="D171" s="1" t="s">
        <v>42</v>
      </c>
      <c r="E171" s="13" t="s">
        <v>258</v>
      </c>
      <c r="F171" s="13" t="n">
        <v>2</v>
      </c>
      <c r="G171" s="1" t="n">
        <v>1</v>
      </c>
      <c r="H171" s="13" t="n">
        <v>4</v>
      </c>
      <c r="I171" s="8" t="n">
        <v>70105</v>
      </c>
      <c r="J171" s="1" t="n">
        <v>2</v>
      </c>
      <c r="K171" s="1" t="s">
        <v>51</v>
      </c>
      <c r="L171" s="1" t="n">
        <v>1</v>
      </c>
      <c r="O171" s="1" t="n">
        <v>1</v>
      </c>
      <c r="P171" s="1" t="n">
        <f aca="false">SUM(M171:O171)</f>
        <v>1</v>
      </c>
      <c r="W171" s="1" t="n">
        <f aca="false">SUM(Q171:V171)</f>
        <v>0</v>
      </c>
      <c r="X171" s="1" t="n">
        <v>1</v>
      </c>
      <c r="AF171" s="9" t="n">
        <f aca="false">SUM(Z171:AE171)</f>
        <v>0</v>
      </c>
      <c r="AG171" s="10"/>
      <c r="AH171" s="11"/>
      <c r="AI171" s="11"/>
      <c r="AJ171" s="11"/>
      <c r="AK171" s="11"/>
      <c r="AL171" s="11"/>
      <c r="AM171" s="11"/>
      <c r="AN171" s="11" t="n">
        <f aca="false">SUM(AH171:AM171)</f>
        <v>0</v>
      </c>
      <c r="AO171" s="1"/>
      <c r="AP171" s="1"/>
      <c r="AQ171" s="1"/>
      <c r="AR171" s="1"/>
    </row>
    <row r="172" customFormat="false" ht="13.8" hidden="false" customHeight="false" outlineLevel="0" collapsed="false">
      <c r="A172" s="1" t="s">
        <v>263</v>
      </c>
      <c r="B172" s="1" t="n">
        <v>314</v>
      </c>
      <c r="C172" s="1" t="s">
        <v>264</v>
      </c>
      <c r="D172" s="1" t="s">
        <v>42</v>
      </c>
      <c r="E172" s="1" t="s">
        <v>263</v>
      </c>
      <c r="F172" s="1" t="n">
        <v>3</v>
      </c>
      <c r="G172" s="1" t="n">
        <v>1</v>
      </c>
      <c r="H172" s="1" t="n">
        <v>2</v>
      </c>
      <c r="I172" s="8" t="n">
        <v>1439366</v>
      </c>
      <c r="J172" s="1" t="n">
        <v>2</v>
      </c>
      <c r="K172" s="1" t="s">
        <v>46</v>
      </c>
      <c r="L172" s="1" t="n">
        <v>4</v>
      </c>
      <c r="M172" s="1" t="n">
        <v>1</v>
      </c>
      <c r="O172" s="1" t="n">
        <v>2</v>
      </c>
      <c r="P172" s="1" t="n">
        <f aca="false">SUM(M172:O172)</f>
        <v>3</v>
      </c>
      <c r="V172" s="1" t="n">
        <v>1</v>
      </c>
      <c r="W172" s="1" t="n">
        <f aca="false">SUM(Q172:V172)</f>
        <v>1</v>
      </c>
      <c r="X172" s="1" t="n">
        <v>1</v>
      </c>
      <c r="Y172" s="1" t="n">
        <v>1</v>
      </c>
      <c r="AE172" s="9" t="n">
        <f aca="false">(V172)*(1+(J172)*0.2)</f>
        <v>1.4</v>
      </c>
      <c r="AF172" s="9" t="n">
        <f aca="false">SUM(Z172:AE172)</f>
        <v>1.4</v>
      </c>
      <c r="AG172" s="10" t="s">
        <v>47</v>
      </c>
      <c r="AH172" s="11"/>
      <c r="AI172" s="11"/>
      <c r="AJ172" s="11"/>
      <c r="AK172" s="11"/>
      <c r="AL172" s="11"/>
      <c r="AM172" s="11" t="n">
        <f aca="false">IF(AG172="yes",AE172*1.2,AE172)</f>
        <v>1.68</v>
      </c>
      <c r="AN172" s="11" t="n">
        <f aca="false">SUM(AH172:AM172)</f>
        <v>1.68</v>
      </c>
      <c r="AO172" s="1"/>
      <c r="AP172" s="1"/>
      <c r="AQ172" s="1"/>
      <c r="AR172" s="1"/>
    </row>
    <row r="173" customFormat="false" ht="13.8" hidden="false" customHeight="false" outlineLevel="0" collapsed="false">
      <c r="A173" s="1" t="s">
        <v>265</v>
      </c>
      <c r="B173" s="1" t="n">
        <v>812</v>
      </c>
      <c r="C173" s="1" t="s">
        <v>266</v>
      </c>
      <c r="D173" s="1" t="s">
        <v>42</v>
      </c>
      <c r="E173" s="1" t="s">
        <v>267</v>
      </c>
      <c r="F173" s="1" t="n">
        <v>5</v>
      </c>
      <c r="G173" s="1" t="n">
        <v>1</v>
      </c>
      <c r="H173" s="1" t="n">
        <v>4</v>
      </c>
      <c r="I173" s="8" t="n">
        <v>275556</v>
      </c>
      <c r="J173" s="1" t="n">
        <v>3</v>
      </c>
      <c r="K173" s="1" t="s">
        <v>96</v>
      </c>
      <c r="L173" s="1" t="n">
        <v>6</v>
      </c>
      <c r="M173" s="1" t="n">
        <v>1</v>
      </c>
      <c r="O173" s="1" t="n">
        <v>3</v>
      </c>
      <c r="P173" s="1" t="n">
        <f aca="false">SUM(M173:O173)</f>
        <v>4</v>
      </c>
      <c r="W173" s="1" t="n">
        <f aca="false">SUM(Q173:V173)</f>
        <v>0</v>
      </c>
      <c r="Y173" s="1" t="n">
        <v>3</v>
      </c>
      <c r="AF173" s="9" t="n">
        <f aca="false">SUM(Z173:AE173)</f>
        <v>0</v>
      </c>
      <c r="AG173" s="10"/>
      <c r="AH173" s="11"/>
      <c r="AI173" s="11"/>
      <c r="AJ173" s="11"/>
      <c r="AK173" s="11"/>
      <c r="AL173" s="11"/>
      <c r="AM173" s="11"/>
      <c r="AN173" s="11" t="n">
        <f aca="false">SUM(AH173:AM173)</f>
        <v>0</v>
      </c>
      <c r="AO173" s="1"/>
      <c r="AP173" s="1"/>
      <c r="AQ173" s="1"/>
      <c r="AR173" s="1"/>
    </row>
    <row r="174" customFormat="false" ht="13.8" hidden="false" customHeight="false" outlineLevel="0" collapsed="false">
      <c r="A174" s="1" t="s">
        <v>268</v>
      </c>
      <c r="B174" s="1" t="n">
        <v>13</v>
      </c>
      <c r="C174" s="1" t="s">
        <v>266</v>
      </c>
      <c r="D174" s="1" t="s">
        <v>42</v>
      </c>
      <c r="E174" s="1" t="s">
        <v>267</v>
      </c>
      <c r="F174" s="1" t="n">
        <v>1</v>
      </c>
      <c r="G174" s="1" t="n">
        <v>1</v>
      </c>
      <c r="H174" s="1" t="n">
        <v>6</v>
      </c>
      <c r="I174" s="8" t="n">
        <v>423586</v>
      </c>
      <c r="J174" s="1" t="n">
        <v>3</v>
      </c>
      <c r="K174" s="1" t="s">
        <v>44</v>
      </c>
      <c r="L174" s="1" t="n">
        <v>2</v>
      </c>
      <c r="M174" s="1" t="n">
        <v>1</v>
      </c>
      <c r="O174" s="1" t="n">
        <v>1</v>
      </c>
      <c r="P174" s="1" t="n">
        <f aca="false">SUM(M174:O174)</f>
        <v>2</v>
      </c>
      <c r="U174" s="1" t="n">
        <v>2</v>
      </c>
      <c r="W174" s="1" t="n">
        <f aca="false">SUM(Q174:V174)</f>
        <v>2</v>
      </c>
      <c r="X174" s="1" t="n">
        <v>2</v>
      </c>
      <c r="AD174" s="9" t="n">
        <f aca="false">(U174)*(1+(J174)*0.2)</f>
        <v>3.2</v>
      </c>
      <c r="AF174" s="9" t="n">
        <f aca="false">SUM(Z174:AE174)</f>
        <v>3.2</v>
      </c>
      <c r="AG174" s="10" t="s">
        <v>53</v>
      </c>
      <c r="AH174" s="11"/>
      <c r="AI174" s="11"/>
      <c r="AJ174" s="11"/>
      <c r="AK174" s="11"/>
      <c r="AL174" s="11" t="n">
        <f aca="false">IF(AG174="yes",AD174*1.2,AD174)</f>
        <v>3.2</v>
      </c>
      <c r="AM174" s="11"/>
      <c r="AN174" s="11" t="n">
        <f aca="false">SUM(AH174:AM174)</f>
        <v>3.2</v>
      </c>
      <c r="AO174" s="1"/>
      <c r="AP174" s="1"/>
      <c r="AQ174" s="1"/>
      <c r="AR174" s="1"/>
    </row>
    <row r="175" customFormat="false" ht="13.8" hidden="false" customHeight="false" outlineLevel="0" collapsed="false">
      <c r="A175" s="1" t="s">
        <v>269</v>
      </c>
      <c r="B175" s="1" t="n">
        <v>811</v>
      </c>
      <c r="C175" s="1" t="s">
        <v>266</v>
      </c>
      <c r="D175" s="1" t="s">
        <v>42</v>
      </c>
      <c r="E175" s="1" t="s">
        <v>267</v>
      </c>
      <c r="F175" s="1" t="n">
        <v>1</v>
      </c>
      <c r="G175" s="1" t="n">
        <v>1</v>
      </c>
      <c r="H175" s="1" t="n">
        <v>2</v>
      </c>
      <c r="I175" s="8" t="n">
        <v>32410</v>
      </c>
      <c r="J175" s="1" t="n">
        <v>1</v>
      </c>
      <c r="K175" s="1" t="s">
        <v>84</v>
      </c>
      <c r="L175" s="1" t="n">
        <v>1</v>
      </c>
      <c r="P175" s="1" t="n">
        <f aca="false">SUM(M175:O175)</f>
        <v>0</v>
      </c>
      <c r="W175" s="1" t="n">
        <f aca="false">SUM(Q175:V175)</f>
        <v>0</v>
      </c>
      <c r="AD175" s="9"/>
      <c r="AF175" s="9" t="n">
        <f aca="false">SUM(Z175:AE175)</f>
        <v>0</v>
      </c>
      <c r="AG175" s="10"/>
      <c r="AH175" s="11"/>
      <c r="AI175" s="11"/>
      <c r="AJ175" s="11"/>
      <c r="AK175" s="11"/>
      <c r="AL175" s="11"/>
      <c r="AM175" s="11"/>
      <c r="AN175" s="11" t="n">
        <f aca="false">SUM(AH175:AM175)</f>
        <v>0</v>
      </c>
      <c r="AO175" s="1"/>
      <c r="AP175" s="1"/>
      <c r="AQ175" s="1"/>
      <c r="AR175" s="1"/>
    </row>
    <row r="176" customFormat="false" ht="13.8" hidden="false" customHeight="false" outlineLevel="0" collapsed="false">
      <c r="A176" s="1" t="s">
        <v>270</v>
      </c>
      <c r="B176" s="1" t="n">
        <v>191</v>
      </c>
      <c r="C176" s="1" t="s">
        <v>266</v>
      </c>
      <c r="D176" s="1" t="s">
        <v>42</v>
      </c>
      <c r="E176" s="1" t="s">
        <v>267</v>
      </c>
      <c r="F176" s="1" t="n">
        <v>2</v>
      </c>
      <c r="G176" s="1" t="n">
        <v>1</v>
      </c>
      <c r="H176" s="1" t="n">
        <v>5</v>
      </c>
      <c r="I176" s="8" t="n">
        <v>226116</v>
      </c>
      <c r="J176" s="1" t="n">
        <v>3</v>
      </c>
      <c r="K176" s="1" t="s">
        <v>44</v>
      </c>
      <c r="L176" s="1" t="n">
        <v>2</v>
      </c>
      <c r="P176" s="1" t="n">
        <f aca="false">SUM(M176:O176)</f>
        <v>0</v>
      </c>
      <c r="W176" s="1" t="n">
        <f aca="false">SUM(Q176:V176)</f>
        <v>0</v>
      </c>
      <c r="AD176" s="9"/>
      <c r="AF176" s="9" t="n">
        <f aca="false">SUM(Z176:AE176)</f>
        <v>0</v>
      </c>
      <c r="AG176" s="10"/>
      <c r="AH176" s="11"/>
      <c r="AI176" s="11"/>
      <c r="AJ176" s="11"/>
      <c r="AK176" s="11"/>
      <c r="AL176" s="11"/>
      <c r="AM176" s="11"/>
      <c r="AN176" s="11" t="n">
        <f aca="false">SUM(AH176:AM176)</f>
        <v>0</v>
      </c>
      <c r="AO176" s="1"/>
      <c r="AP176" s="1"/>
      <c r="AQ176" s="1"/>
      <c r="AR176" s="1"/>
    </row>
    <row r="177" customFormat="false" ht="13.8" hidden="false" customHeight="false" outlineLevel="0" collapsed="false">
      <c r="A177" s="1" t="s">
        <v>271</v>
      </c>
      <c r="B177" s="1" t="n">
        <v>813</v>
      </c>
      <c r="C177" s="1" t="s">
        <v>266</v>
      </c>
      <c r="D177" s="1" t="s">
        <v>42</v>
      </c>
      <c r="E177" s="1" t="s">
        <v>267</v>
      </c>
      <c r="F177" s="1" t="n">
        <v>2</v>
      </c>
      <c r="G177" s="1" t="n">
        <v>1</v>
      </c>
      <c r="H177" s="1" t="n">
        <v>7</v>
      </c>
      <c r="I177" s="8" t="n">
        <v>150744</v>
      </c>
      <c r="J177" s="1" t="n">
        <v>3</v>
      </c>
      <c r="K177" s="1" t="s">
        <v>44</v>
      </c>
      <c r="L177" s="1" t="n">
        <v>2</v>
      </c>
      <c r="P177" s="1" t="n">
        <f aca="false">SUM(M177:O177)</f>
        <v>0</v>
      </c>
      <c r="W177" s="1" t="n">
        <f aca="false">SUM(Q177:V177)</f>
        <v>0</v>
      </c>
      <c r="Y177" s="1" t="n">
        <v>1</v>
      </c>
      <c r="AA177" s="9"/>
      <c r="AD177" s="9"/>
      <c r="AF177" s="9" t="n">
        <f aca="false">SUM(Z177:AE177)</f>
        <v>0</v>
      </c>
      <c r="AG177" s="10"/>
      <c r="AH177" s="11"/>
      <c r="AI177" s="11"/>
      <c r="AJ177" s="11"/>
      <c r="AK177" s="11"/>
      <c r="AL177" s="11"/>
      <c r="AM177" s="11"/>
      <c r="AN177" s="11" t="n">
        <f aca="false">SUM(AH177:AM177)</f>
        <v>0</v>
      </c>
      <c r="AO177" s="1"/>
      <c r="AP177" s="1"/>
      <c r="AQ177" s="1"/>
      <c r="AR177" s="1"/>
    </row>
    <row r="178" customFormat="false" ht="13.8" hidden="false" customHeight="false" outlineLevel="0" collapsed="false">
      <c r="A178" s="1" t="s">
        <v>272</v>
      </c>
      <c r="B178" s="1" t="n">
        <v>836</v>
      </c>
      <c r="C178" s="1" t="s">
        <v>273</v>
      </c>
      <c r="D178" s="1" t="s">
        <v>42</v>
      </c>
      <c r="E178" s="1" t="s">
        <v>274</v>
      </c>
      <c r="F178" s="1" t="n">
        <v>1</v>
      </c>
      <c r="G178" s="1" t="n">
        <v>1</v>
      </c>
      <c r="H178" s="1" t="n">
        <v>3</v>
      </c>
      <c r="I178" s="8" t="n">
        <v>800977</v>
      </c>
      <c r="K178" s="1" t="s">
        <v>51</v>
      </c>
      <c r="L178" s="1" t="n">
        <v>1</v>
      </c>
      <c r="P178" s="1" t="n">
        <f aca="false">SUM(M178:O178)</f>
        <v>0</v>
      </c>
      <c r="W178" s="1" t="n">
        <f aca="false">SUM(Q178:V178)</f>
        <v>0</v>
      </c>
      <c r="AA178" s="9"/>
      <c r="AD178" s="9"/>
      <c r="AF178" s="9" t="n">
        <f aca="false">SUM(Z178:AE178)</f>
        <v>0</v>
      </c>
      <c r="AG178" s="10"/>
      <c r="AH178" s="11"/>
      <c r="AI178" s="11"/>
      <c r="AJ178" s="11"/>
      <c r="AK178" s="11"/>
      <c r="AL178" s="11"/>
      <c r="AM178" s="11"/>
      <c r="AN178" s="11" t="n">
        <f aca="false">SUM(AH178:AM178)</f>
        <v>0</v>
      </c>
      <c r="AO178" s="1"/>
      <c r="AP178" s="1"/>
      <c r="AQ178" s="1"/>
      <c r="AR178" s="1"/>
    </row>
    <row r="179" customFormat="false" ht="13.8" hidden="false" customHeight="false" outlineLevel="0" collapsed="false">
      <c r="A179" s="1" t="s">
        <v>275</v>
      </c>
      <c r="B179" s="1" t="n">
        <v>841</v>
      </c>
      <c r="C179" s="1" t="s">
        <v>273</v>
      </c>
      <c r="D179" s="1" t="s">
        <v>42</v>
      </c>
      <c r="E179" s="1" t="s">
        <v>274</v>
      </c>
      <c r="F179" s="1" t="n">
        <v>2</v>
      </c>
      <c r="G179" s="1" t="n">
        <v>1</v>
      </c>
      <c r="H179" s="1" t="n">
        <v>4</v>
      </c>
      <c r="I179" s="8" t="n">
        <v>1101343</v>
      </c>
      <c r="K179" s="1" t="s">
        <v>51</v>
      </c>
      <c r="L179" s="1" t="n">
        <v>1</v>
      </c>
      <c r="P179" s="1" t="n">
        <f aca="false">SUM(M179:O179)</f>
        <v>0</v>
      </c>
      <c r="W179" s="1" t="n">
        <f aca="false">SUM(Q179:V179)</f>
        <v>0</v>
      </c>
      <c r="AD179" s="9"/>
      <c r="AF179" s="9" t="n">
        <f aca="false">SUM(Z179:AE179)</f>
        <v>0</v>
      </c>
      <c r="AG179" s="10"/>
      <c r="AH179" s="11"/>
      <c r="AI179" s="11"/>
      <c r="AJ179" s="11"/>
      <c r="AK179" s="11"/>
      <c r="AL179" s="11"/>
      <c r="AM179" s="11"/>
      <c r="AN179" s="11" t="n">
        <f aca="false">SUM(AH179:AM179)</f>
        <v>0</v>
      </c>
      <c r="AO179" s="1"/>
      <c r="AP179" s="1"/>
      <c r="AQ179" s="1"/>
      <c r="AR179" s="1"/>
    </row>
    <row r="180" customFormat="false" ht="13.8" hidden="false" customHeight="false" outlineLevel="0" collapsed="false">
      <c r="A180" s="1" t="s">
        <v>276</v>
      </c>
      <c r="B180" s="1" t="n">
        <v>840</v>
      </c>
      <c r="C180" s="1" t="s">
        <v>273</v>
      </c>
      <c r="D180" s="1" t="s">
        <v>42</v>
      </c>
      <c r="E180" s="1" t="s">
        <v>274</v>
      </c>
      <c r="F180" s="1" t="n">
        <v>2</v>
      </c>
      <c r="G180" s="1" t="n">
        <v>1</v>
      </c>
      <c r="H180" s="1" t="n">
        <v>2</v>
      </c>
      <c r="I180" s="8" t="n">
        <v>901099</v>
      </c>
      <c r="K180" s="1" t="s">
        <v>51</v>
      </c>
      <c r="L180" s="1" t="n">
        <v>1</v>
      </c>
      <c r="P180" s="1" t="n">
        <f aca="false">SUM(M180:O180)</f>
        <v>0</v>
      </c>
      <c r="W180" s="1" t="n">
        <f aca="false">SUM(Q180:V180)</f>
        <v>0</v>
      </c>
      <c r="AF180" s="9" t="n">
        <f aca="false">SUM(Z180:AE180)</f>
        <v>0</v>
      </c>
      <c r="AG180" s="10"/>
      <c r="AH180" s="11"/>
      <c r="AI180" s="11"/>
      <c r="AJ180" s="11"/>
      <c r="AK180" s="11"/>
      <c r="AL180" s="11"/>
      <c r="AM180" s="11"/>
      <c r="AN180" s="11" t="n">
        <f aca="false">SUM(AH180:AM180)</f>
        <v>0</v>
      </c>
      <c r="AO180" s="1"/>
      <c r="AP180" s="1"/>
      <c r="AQ180" s="1"/>
      <c r="AR180" s="1"/>
    </row>
    <row r="181" customFormat="false" ht="13.8" hidden="false" customHeight="false" outlineLevel="0" collapsed="false">
      <c r="A181" s="1" t="s">
        <v>277</v>
      </c>
      <c r="B181" s="1" t="n">
        <v>835</v>
      </c>
      <c r="C181" s="1" t="s">
        <v>273</v>
      </c>
      <c r="D181" s="1" t="s">
        <v>42</v>
      </c>
      <c r="E181" s="1" t="s">
        <v>274</v>
      </c>
      <c r="F181" s="1" t="n">
        <v>6</v>
      </c>
      <c r="G181" s="1" t="n">
        <v>1</v>
      </c>
      <c r="H181" s="1" t="n">
        <v>6</v>
      </c>
      <c r="I181" s="8" t="n">
        <v>1501831</v>
      </c>
      <c r="K181" s="1" t="s">
        <v>44</v>
      </c>
      <c r="L181" s="1" t="n">
        <v>2</v>
      </c>
      <c r="O181" s="1" t="n">
        <v>1</v>
      </c>
      <c r="P181" s="1" t="n">
        <f aca="false">SUM(M181:O181)</f>
        <v>1</v>
      </c>
      <c r="W181" s="1" t="n">
        <f aca="false">SUM(Q181:V181)</f>
        <v>0</v>
      </c>
      <c r="X181" s="1" t="n">
        <v>1</v>
      </c>
      <c r="AF181" s="9" t="n">
        <f aca="false">SUM(Z181:AE181)</f>
        <v>0</v>
      </c>
      <c r="AG181" s="10"/>
      <c r="AH181" s="11"/>
      <c r="AI181" s="11"/>
      <c r="AJ181" s="11"/>
      <c r="AK181" s="11"/>
      <c r="AL181" s="11"/>
      <c r="AM181" s="11"/>
      <c r="AN181" s="11" t="n">
        <f aca="false">SUM(AH181:AM181)</f>
        <v>0</v>
      </c>
      <c r="AO181" s="1"/>
      <c r="AP181" s="1"/>
      <c r="AQ181" s="1"/>
      <c r="AR181" s="1"/>
    </row>
    <row r="182" customFormat="false" ht="13.8" hidden="false" customHeight="false" outlineLevel="0" collapsed="false">
      <c r="A182" s="1" t="s">
        <v>278</v>
      </c>
      <c r="B182" s="1" t="n">
        <v>838</v>
      </c>
      <c r="C182" s="1" t="s">
        <v>273</v>
      </c>
      <c r="D182" s="1" t="s">
        <v>42</v>
      </c>
      <c r="E182" s="1" t="s">
        <v>274</v>
      </c>
      <c r="F182" s="1" t="n">
        <v>3</v>
      </c>
      <c r="G182" s="1" t="n">
        <v>1</v>
      </c>
      <c r="H182" s="1" t="n">
        <v>3</v>
      </c>
      <c r="I182" s="8" t="n">
        <v>600732</v>
      </c>
      <c r="K182" s="1" t="s">
        <v>51</v>
      </c>
      <c r="L182" s="1" t="n">
        <v>1</v>
      </c>
      <c r="P182" s="1" t="n">
        <f aca="false">SUM(M182:O182)</f>
        <v>0</v>
      </c>
      <c r="S182" s="1" t="n">
        <v>2</v>
      </c>
      <c r="W182" s="1" t="n">
        <f aca="false">SUM(Q182:V182)</f>
        <v>2</v>
      </c>
      <c r="AA182" s="9"/>
      <c r="AB182" s="9" t="n">
        <f aca="false">(S182)*(1+(J182)*0.2)</f>
        <v>2</v>
      </c>
      <c r="AC182" s="9"/>
      <c r="AF182" s="9" t="n">
        <f aca="false">SUM(Z182:AE182)</f>
        <v>2</v>
      </c>
      <c r="AG182" s="10" t="s">
        <v>53</v>
      </c>
      <c r="AH182" s="11"/>
      <c r="AI182" s="11"/>
      <c r="AJ182" s="11" t="n">
        <f aca="false">IF(AG182="yes",AB182*1.2,AB182)</f>
        <v>2</v>
      </c>
      <c r="AK182" s="11"/>
      <c r="AL182" s="11"/>
      <c r="AM182" s="11"/>
      <c r="AN182" s="11" t="n">
        <f aca="false">SUM(AH182:AM182)</f>
        <v>2</v>
      </c>
      <c r="AO182" s="1"/>
      <c r="AP182" s="1"/>
      <c r="AQ182" s="1"/>
      <c r="AR182" s="1"/>
    </row>
    <row r="183" customFormat="false" ht="13.8" hidden="false" customHeight="false" outlineLevel="0" collapsed="false">
      <c r="A183" s="1" t="s">
        <v>279</v>
      </c>
      <c r="B183" s="1" t="n">
        <v>271</v>
      </c>
      <c r="C183" s="1" t="s">
        <v>273</v>
      </c>
      <c r="D183" s="1" t="s">
        <v>42</v>
      </c>
      <c r="E183" s="1" t="s">
        <v>274</v>
      </c>
      <c r="F183" s="1" t="n">
        <v>6</v>
      </c>
      <c r="G183" s="1" t="n">
        <v>1</v>
      </c>
      <c r="H183" s="1" t="n">
        <v>4</v>
      </c>
      <c r="I183" s="8" t="n">
        <v>1802197</v>
      </c>
      <c r="J183" s="1" t="n">
        <v>2</v>
      </c>
      <c r="K183" s="1" t="s">
        <v>46</v>
      </c>
      <c r="L183" s="1" t="n">
        <v>4</v>
      </c>
      <c r="M183" s="1" t="n">
        <v>2</v>
      </c>
      <c r="O183" s="1" t="n">
        <v>1</v>
      </c>
      <c r="P183" s="1" t="n">
        <f aca="false">SUM(M183:O183)</f>
        <v>3</v>
      </c>
      <c r="W183" s="1" t="n">
        <f aca="false">SUM(Q183:V183)</f>
        <v>0</v>
      </c>
      <c r="X183" s="1" t="n">
        <v>1</v>
      </c>
      <c r="AF183" s="9" t="n">
        <f aca="false">SUM(Z183:AE183)</f>
        <v>0</v>
      </c>
      <c r="AG183" s="10"/>
      <c r="AH183" s="11"/>
      <c r="AI183" s="11"/>
      <c r="AJ183" s="11"/>
      <c r="AK183" s="11"/>
      <c r="AL183" s="11"/>
      <c r="AM183" s="11"/>
      <c r="AN183" s="11" t="n">
        <f aca="false">SUM(AH183:AM183)</f>
        <v>0</v>
      </c>
      <c r="AO183" s="1"/>
      <c r="AP183" s="1"/>
      <c r="AQ183" s="1"/>
      <c r="AR183" s="1"/>
    </row>
    <row r="184" customFormat="false" ht="13.8" hidden="false" customHeight="false" outlineLevel="0" collapsed="false">
      <c r="A184" s="1" t="s">
        <v>280</v>
      </c>
      <c r="B184" s="1" t="n">
        <v>837</v>
      </c>
      <c r="C184" s="1" t="s">
        <v>273</v>
      </c>
      <c r="D184" s="1" t="s">
        <v>42</v>
      </c>
      <c r="E184" s="1" t="s">
        <v>274</v>
      </c>
      <c r="F184" s="1" t="n">
        <v>4</v>
      </c>
      <c r="G184" s="1" t="n">
        <v>1</v>
      </c>
      <c r="H184" s="1" t="n">
        <v>4</v>
      </c>
      <c r="I184" s="8" t="n">
        <v>951160</v>
      </c>
      <c r="K184" s="1" t="s">
        <v>44</v>
      </c>
      <c r="L184" s="1" t="n">
        <v>2</v>
      </c>
      <c r="P184" s="1" t="n">
        <f aca="false">SUM(M184:O184)</f>
        <v>0</v>
      </c>
      <c r="S184" s="1" t="n">
        <v>3</v>
      </c>
      <c r="W184" s="1" t="n">
        <f aca="false">SUM(Q184:V184)</f>
        <v>3</v>
      </c>
      <c r="AB184" s="9" t="n">
        <f aca="false">(S184)*(1+(J184)*0.2)</f>
        <v>3</v>
      </c>
      <c r="AF184" s="9" t="n">
        <f aca="false">SUM(Z184:AE184)</f>
        <v>3</v>
      </c>
      <c r="AG184" s="10" t="s">
        <v>53</v>
      </c>
      <c r="AH184" s="11"/>
      <c r="AI184" s="11"/>
      <c r="AJ184" s="11" t="n">
        <f aca="false">IF(AG184="yes",AB184*1.2,AB184)</f>
        <v>3</v>
      </c>
      <c r="AK184" s="11"/>
      <c r="AL184" s="11"/>
      <c r="AM184" s="11"/>
      <c r="AN184" s="11" t="n">
        <f aca="false">SUM(AH184:AM184)</f>
        <v>3</v>
      </c>
      <c r="AO184" s="1"/>
      <c r="AP184" s="1"/>
      <c r="AQ184" s="1"/>
      <c r="AR184" s="1"/>
    </row>
    <row r="185" customFormat="false" ht="13.8" hidden="false" customHeight="false" outlineLevel="0" collapsed="false">
      <c r="A185" s="1" t="s">
        <v>281</v>
      </c>
      <c r="B185" s="1" t="n">
        <v>842</v>
      </c>
      <c r="C185" s="1" t="s">
        <v>273</v>
      </c>
      <c r="D185" s="1" t="s">
        <v>42</v>
      </c>
      <c r="E185" s="1" t="s">
        <v>274</v>
      </c>
      <c r="F185" s="1" t="n">
        <v>4</v>
      </c>
      <c r="G185" s="1" t="n">
        <v>1</v>
      </c>
      <c r="H185" s="1" t="n">
        <v>3</v>
      </c>
      <c r="I185" s="8" t="n">
        <v>1001221</v>
      </c>
      <c r="K185" s="1" t="s">
        <v>51</v>
      </c>
      <c r="L185" s="1" t="n">
        <v>1</v>
      </c>
      <c r="P185" s="1" t="n">
        <f aca="false">SUM(M185:O185)</f>
        <v>0</v>
      </c>
      <c r="W185" s="1" t="n">
        <f aca="false">SUM(Q185:V185)</f>
        <v>0</v>
      </c>
      <c r="AD185" s="9"/>
      <c r="AF185" s="9" t="n">
        <f aca="false">SUM(Z185:AE185)</f>
        <v>0</v>
      </c>
      <c r="AG185" s="10"/>
      <c r="AH185" s="11"/>
      <c r="AI185" s="11"/>
      <c r="AJ185" s="11"/>
      <c r="AK185" s="11"/>
      <c r="AL185" s="11"/>
      <c r="AM185" s="11"/>
      <c r="AN185" s="11" t="n">
        <f aca="false">SUM(AH185:AM185)</f>
        <v>0</v>
      </c>
      <c r="AO185" s="1"/>
      <c r="AP185" s="1"/>
      <c r="AQ185" s="1"/>
      <c r="AR185" s="1"/>
    </row>
    <row r="186" customFormat="false" ht="13.8" hidden="false" customHeight="false" outlineLevel="0" collapsed="false">
      <c r="A186" s="1" t="s">
        <v>282</v>
      </c>
      <c r="B186" s="1" t="n">
        <v>839</v>
      </c>
      <c r="C186" s="1" t="s">
        <v>273</v>
      </c>
      <c r="D186" s="1" t="s">
        <v>42</v>
      </c>
      <c r="E186" s="1" t="s">
        <v>274</v>
      </c>
      <c r="F186" s="1" t="n">
        <v>3</v>
      </c>
      <c r="G186" s="1" t="n">
        <v>1</v>
      </c>
      <c r="H186" s="1" t="n">
        <v>3</v>
      </c>
      <c r="I186" s="8" t="n">
        <v>600732</v>
      </c>
      <c r="K186" s="1" t="s">
        <v>51</v>
      </c>
      <c r="L186" s="1" t="n">
        <v>1</v>
      </c>
      <c r="P186" s="1" t="n">
        <f aca="false">SUM(M186:O186)</f>
        <v>0</v>
      </c>
      <c r="W186" s="1" t="n">
        <f aca="false">SUM(Q186:V186)</f>
        <v>0</v>
      </c>
      <c r="AD186" s="9"/>
      <c r="AF186" s="9" t="n">
        <f aca="false">SUM(Z186:AE186)</f>
        <v>0</v>
      </c>
      <c r="AG186" s="10"/>
      <c r="AH186" s="11"/>
      <c r="AI186" s="11"/>
      <c r="AJ186" s="11"/>
      <c r="AK186" s="11"/>
      <c r="AL186" s="11"/>
      <c r="AM186" s="11"/>
      <c r="AN186" s="11" t="n">
        <f aca="false">SUM(AH186:AM186)</f>
        <v>0</v>
      </c>
      <c r="AO186" s="1"/>
      <c r="AP186" s="1"/>
      <c r="AQ186" s="1"/>
      <c r="AR186" s="1"/>
    </row>
    <row r="187" customFormat="false" ht="13.8" hidden="false" customHeight="false" outlineLevel="0" collapsed="false">
      <c r="A187" s="1" t="s">
        <v>283</v>
      </c>
      <c r="B187" s="1" t="n">
        <v>843</v>
      </c>
      <c r="C187" s="1" t="s">
        <v>273</v>
      </c>
      <c r="D187" s="1" t="s">
        <v>42</v>
      </c>
      <c r="E187" s="1" t="s">
        <v>274</v>
      </c>
      <c r="F187" s="1" t="n">
        <v>1</v>
      </c>
      <c r="G187" s="1" t="n">
        <v>1</v>
      </c>
      <c r="H187" s="1" t="n">
        <v>2</v>
      </c>
      <c r="I187" s="8" t="n">
        <v>650793</v>
      </c>
      <c r="K187" s="1" t="s">
        <v>51</v>
      </c>
      <c r="L187" s="1" t="n">
        <v>1</v>
      </c>
      <c r="P187" s="1" t="n">
        <f aca="false">SUM(M187:O187)</f>
        <v>0</v>
      </c>
      <c r="W187" s="1" t="n">
        <f aca="false">SUM(Q187:V187)</f>
        <v>0</v>
      </c>
      <c r="AA187" s="9"/>
      <c r="AD187" s="9"/>
      <c r="AF187" s="9" t="n">
        <f aca="false">SUM(Z187:AE187)</f>
        <v>0</v>
      </c>
      <c r="AG187" s="10"/>
      <c r="AH187" s="11"/>
      <c r="AI187" s="11"/>
      <c r="AJ187" s="11"/>
      <c r="AK187" s="11"/>
      <c r="AL187" s="11"/>
      <c r="AM187" s="11"/>
      <c r="AN187" s="11" t="n">
        <f aca="false">SUM(AH187:AM187)</f>
        <v>0</v>
      </c>
      <c r="AO187" s="1"/>
      <c r="AP187" s="1"/>
      <c r="AQ187" s="1"/>
      <c r="AR187" s="1"/>
    </row>
    <row r="188" customFormat="false" ht="13.8" hidden="false" customHeight="false" outlineLevel="0" collapsed="false">
      <c r="A188" s="1" t="s">
        <v>284</v>
      </c>
      <c r="B188" s="1" t="n">
        <v>145</v>
      </c>
      <c r="C188" s="1" t="s">
        <v>285</v>
      </c>
      <c r="D188" s="1" t="s">
        <v>42</v>
      </c>
      <c r="E188" s="1" t="s">
        <v>286</v>
      </c>
      <c r="F188" s="1" t="n">
        <v>1</v>
      </c>
      <c r="G188" s="1" t="n">
        <v>1</v>
      </c>
      <c r="H188" s="1" t="n">
        <v>1</v>
      </c>
      <c r="I188" s="8" t="n">
        <v>28173</v>
      </c>
      <c r="J188" s="1" t="n">
        <v>2</v>
      </c>
      <c r="K188" s="1" t="s">
        <v>84</v>
      </c>
      <c r="L188" s="1" t="n">
        <v>1</v>
      </c>
      <c r="P188" s="1" t="n">
        <f aca="false">SUM(M188:O188)</f>
        <v>0</v>
      </c>
      <c r="W188" s="1" t="n">
        <f aca="false">SUM(Q188:V188)</f>
        <v>0</v>
      </c>
      <c r="Y188" s="1" t="n">
        <v>1</v>
      </c>
      <c r="AF188" s="9" t="n">
        <f aca="false">SUM(Z188:AE188)</f>
        <v>0</v>
      </c>
      <c r="AG188" s="10"/>
      <c r="AH188" s="11"/>
      <c r="AI188" s="11"/>
      <c r="AJ188" s="11"/>
      <c r="AK188" s="11"/>
      <c r="AL188" s="11"/>
      <c r="AM188" s="11"/>
      <c r="AN188" s="11" t="n">
        <f aca="false">SUM(AH188:AM188)</f>
        <v>0</v>
      </c>
      <c r="AO188" s="1"/>
      <c r="AP188" s="1"/>
      <c r="AQ188" s="1"/>
      <c r="AR188" s="1"/>
    </row>
    <row r="189" customFormat="false" ht="13.8" hidden="false" customHeight="false" outlineLevel="0" collapsed="false">
      <c r="A189" s="1" t="s">
        <v>287</v>
      </c>
      <c r="B189" s="1" t="n">
        <v>927</v>
      </c>
      <c r="C189" s="1" t="s">
        <v>285</v>
      </c>
      <c r="D189" s="1" t="s">
        <v>42</v>
      </c>
      <c r="E189" s="1" t="s">
        <v>286</v>
      </c>
      <c r="F189" s="1" t="n">
        <v>6</v>
      </c>
      <c r="G189" s="1" t="n">
        <v>1</v>
      </c>
      <c r="H189" s="1" t="n">
        <v>14</v>
      </c>
      <c r="I189" s="8" t="n">
        <v>404994</v>
      </c>
      <c r="J189" s="1" t="n">
        <v>1</v>
      </c>
      <c r="K189" s="1" t="s">
        <v>44</v>
      </c>
      <c r="L189" s="1" t="n">
        <v>2</v>
      </c>
      <c r="P189" s="1" t="n">
        <f aca="false">SUM(M189:O189)</f>
        <v>0</v>
      </c>
      <c r="W189" s="1" t="n">
        <f aca="false">SUM(Q189:V189)</f>
        <v>0</v>
      </c>
      <c r="AA189" s="9"/>
      <c r="AE189" s="20"/>
      <c r="AF189" s="9" t="n">
        <f aca="false">SUM(Z189:AE189)</f>
        <v>0</v>
      </c>
      <c r="AG189" s="10"/>
      <c r="AH189" s="11"/>
      <c r="AI189" s="11"/>
      <c r="AJ189" s="11"/>
      <c r="AK189" s="11"/>
      <c r="AL189" s="11"/>
      <c r="AM189" s="11"/>
      <c r="AN189" s="11" t="n">
        <f aca="false">SUM(AH189:AM189)</f>
        <v>0</v>
      </c>
      <c r="AO189" s="1"/>
      <c r="AP189" s="1"/>
      <c r="AQ189" s="1"/>
      <c r="AR189" s="1"/>
    </row>
    <row r="190" customFormat="false" ht="13.8" hidden="false" customHeight="false" outlineLevel="0" collapsed="false">
      <c r="A190" s="1" t="s">
        <v>288</v>
      </c>
      <c r="B190" s="1" t="n">
        <v>146</v>
      </c>
      <c r="C190" s="1" t="s">
        <v>285</v>
      </c>
      <c r="D190" s="1" t="s">
        <v>42</v>
      </c>
      <c r="E190" s="1" t="s">
        <v>286</v>
      </c>
      <c r="F190" s="1" t="n">
        <v>3</v>
      </c>
      <c r="G190" s="1" t="n">
        <v>1</v>
      </c>
      <c r="H190" s="1" t="n">
        <v>16</v>
      </c>
      <c r="I190" s="8" t="n">
        <v>605165</v>
      </c>
      <c r="J190" s="1" t="n">
        <v>3</v>
      </c>
      <c r="K190" s="1" t="s">
        <v>46</v>
      </c>
      <c r="L190" s="1" t="n">
        <v>4</v>
      </c>
      <c r="O190" s="1" t="n">
        <v>2</v>
      </c>
      <c r="P190" s="1" t="n">
        <f aca="false">SUM(M190:O190)</f>
        <v>2</v>
      </c>
      <c r="W190" s="1" t="n">
        <f aca="false">SUM(Q190:V190)</f>
        <v>0</v>
      </c>
      <c r="AF190" s="9" t="n">
        <f aca="false">SUM(Z190:AE190)</f>
        <v>0</v>
      </c>
      <c r="AG190" s="10"/>
      <c r="AH190" s="11"/>
      <c r="AI190" s="11"/>
      <c r="AJ190" s="11"/>
      <c r="AK190" s="11"/>
      <c r="AL190" s="11"/>
      <c r="AM190" s="11"/>
      <c r="AN190" s="11" t="n">
        <f aca="false">SUM(AH190:AM190)</f>
        <v>0</v>
      </c>
      <c r="AO190" s="1"/>
      <c r="AP190" s="1"/>
      <c r="AQ190" s="1"/>
      <c r="AR190" s="1"/>
    </row>
    <row r="191" customFormat="false" ht="13.8" hidden="false" customHeight="false" outlineLevel="0" collapsed="false">
      <c r="A191" s="1" t="s">
        <v>289</v>
      </c>
      <c r="B191" s="1" t="n">
        <v>150</v>
      </c>
      <c r="C191" s="1" t="s">
        <v>285</v>
      </c>
      <c r="D191" s="1" t="s">
        <v>42</v>
      </c>
      <c r="E191" s="1" t="s">
        <v>286</v>
      </c>
      <c r="F191" s="1" t="n">
        <v>5</v>
      </c>
      <c r="G191" s="1" t="n">
        <v>1</v>
      </c>
      <c r="H191" s="1" t="n">
        <v>28</v>
      </c>
      <c r="I191" s="8" t="n">
        <v>392879</v>
      </c>
      <c r="J191" s="1" t="n">
        <v>1</v>
      </c>
      <c r="K191" s="1" t="s">
        <v>44</v>
      </c>
      <c r="L191" s="1" t="n">
        <v>2</v>
      </c>
      <c r="O191" s="1" t="n">
        <v>1</v>
      </c>
      <c r="P191" s="1" t="n">
        <f aca="false">SUM(M191:O191)</f>
        <v>1</v>
      </c>
      <c r="U191" s="1" t="n">
        <v>3</v>
      </c>
      <c r="W191" s="1" t="n">
        <f aca="false">SUM(Q191:V191)</f>
        <v>3</v>
      </c>
      <c r="AC191" s="9"/>
      <c r="AD191" s="9" t="n">
        <f aca="false">(U191)*(1+(J191)*0.2)</f>
        <v>3.6</v>
      </c>
      <c r="AF191" s="9" t="n">
        <f aca="false">SUM(Z191:AE191)</f>
        <v>3.6</v>
      </c>
      <c r="AG191" s="10" t="s">
        <v>47</v>
      </c>
      <c r="AH191" s="11"/>
      <c r="AI191" s="11"/>
      <c r="AJ191" s="11"/>
      <c r="AK191" s="11"/>
      <c r="AL191" s="11" t="n">
        <f aca="false">IF(AG191="yes",AD191*1.2,AD191)</f>
        <v>4.32</v>
      </c>
      <c r="AM191" s="11"/>
      <c r="AN191" s="11" t="n">
        <f aca="false">SUM(AH191:AM191)</f>
        <v>4.32</v>
      </c>
      <c r="AO191" s="1"/>
      <c r="AP191" s="1"/>
      <c r="AQ191" s="1"/>
      <c r="AR191" s="1"/>
    </row>
    <row r="192" customFormat="false" ht="13.8" hidden="false" customHeight="false" outlineLevel="0" collapsed="false">
      <c r="A192" s="1" t="s">
        <v>290</v>
      </c>
      <c r="B192" s="1" t="n">
        <v>928</v>
      </c>
      <c r="C192" s="1" t="s">
        <v>285</v>
      </c>
      <c r="D192" s="1" t="s">
        <v>42</v>
      </c>
      <c r="E192" s="1" t="s">
        <v>286</v>
      </c>
      <c r="F192" s="1" t="n">
        <v>4</v>
      </c>
      <c r="G192" s="1" t="n">
        <v>1</v>
      </c>
      <c r="H192" s="1" t="n">
        <v>8</v>
      </c>
      <c r="I192" s="8" t="n">
        <v>43510</v>
      </c>
      <c r="J192" s="1" t="n">
        <v>1</v>
      </c>
      <c r="K192" s="1" t="s">
        <v>44</v>
      </c>
      <c r="L192" s="1" t="n">
        <v>2</v>
      </c>
      <c r="P192" s="1" t="n">
        <f aca="false">SUM(M192:O192)</f>
        <v>0</v>
      </c>
      <c r="W192" s="1" t="n">
        <f aca="false">SUM(Q192:V192)</f>
        <v>0</v>
      </c>
      <c r="AF192" s="9" t="n">
        <f aca="false">SUM(Z192:AE192)</f>
        <v>0</v>
      </c>
      <c r="AG192" s="10"/>
      <c r="AH192" s="11"/>
      <c r="AI192" s="11"/>
      <c r="AJ192" s="11"/>
      <c r="AK192" s="11"/>
      <c r="AL192" s="11"/>
      <c r="AM192" s="11"/>
      <c r="AN192" s="11" t="n">
        <f aca="false">SUM(AH192:AM192)</f>
        <v>0</v>
      </c>
      <c r="AO192" s="1"/>
      <c r="AP192" s="1"/>
      <c r="AQ192" s="1"/>
      <c r="AR192" s="1"/>
    </row>
    <row r="193" customFormat="false" ht="13.8" hidden="false" customHeight="false" outlineLevel="0" collapsed="false">
      <c r="A193" s="1" t="s">
        <v>291</v>
      </c>
      <c r="B193" s="1" t="n">
        <v>148</v>
      </c>
      <c r="C193" s="1" t="s">
        <v>285</v>
      </c>
      <c r="D193" s="1" t="s">
        <v>42</v>
      </c>
      <c r="E193" s="1" t="s">
        <v>286</v>
      </c>
      <c r="F193" s="1" t="n">
        <v>5</v>
      </c>
      <c r="G193" s="1" t="n">
        <v>1</v>
      </c>
      <c r="H193" s="1" t="n">
        <v>29</v>
      </c>
      <c r="I193" s="8" t="n">
        <v>121886</v>
      </c>
      <c r="J193" s="1" t="n">
        <v>1</v>
      </c>
      <c r="K193" s="1" t="s">
        <v>44</v>
      </c>
      <c r="L193" s="1" t="n">
        <v>2</v>
      </c>
      <c r="P193" s="1" t="n">
        <f aca="false">SUM(M193:O193)</f>
        <v>0</v>
      </c>
      <c r="U193" s="1" t="n">
        <v>7</v>
      </c>
      <c r="V193" s="1" t="n">
        <v>2</v>
      </c>
      <c r="W193" s="1" t="n">
        <f aca="false">SUM(Q193:V193)</f>
        <v>9</v>
      </c>
      <c r="AD193" s="9" t="n">
        <f aca="false">(U193)*(1+(J193)*0.2)</f>
        <v>8.4</v>
      </c>
      <c r="AE193" s="9" t="n">
        <f aca="false">(V193)*(1+(J193)*0.2)</f>
        <v>2.4</v>
      </c>
      <c r="AF193" s="9" t="n">
        <f aca="false">SUM(Z193:AE193)</f>
        <v>10.8</v>
      </c>
      <c r="AG193" s="10" t="s">
        <v>53</v>
      </c>
      <c r="AH193" s="11"/>
      <c r="AI193" s="11"/>
      <c r="AJ193" s="11"/>
      <c r="AK193" s="11"/>
      <c r="AL193" s="11" t="n">
        <f aca="false">IF(AG193="yes",AD193*1.2,AD193)</f>
        <v>8.4</v>
      </c>
      <c r="AM193" s="11" t="n">
        <f aca="false">IF(AG193="yes",AE193*1.2,AE193)</f>
        <v>2.4</v>
      </c>
      <c r="AN193" s="11" t="n">
        <f aca="false">SUM(AH193:AM193)</f>
        <v>10.8</v>
      </c>
      <c r="AO193" s="1"/>
      <c r="AP193" s="1"/>
      <c r="AQ193" s="1"/>
      <c r="AR193" s="1"/>
    </row>
    <row r="194" customFormat="false" ht="13.8" hidden="false" customHeight="false" outlineLevel="0" collapsed="false">
      <c r="A194" s="1" t="s">
        <v>292</v>
      </c>
      <c r="B194" s="1" t="n">
        <v>930</v>
      </c>
      <c r="C194" s="1" t="s">
        <v>285</v>
      </c>
      <c r="D194" s="1" t="s">
        <v>42</v>
      </c>
      <c r="E194" s="1" t="s">
        <v>286</v>
      </c>
      <c r="F194" s="1" t="n">
        <v>2</v>
      </c>
      <c r="G194" s="1" t="n">
        <v>1</v>
      </c>
      <c r="H194" s="1" t="n">
        <v>11</v>
      </c>
      <c r="I194" s="8" t="n">
        <v>204449</v>
      </c>
      <c r="J194" s="1" t="n">
        <v>1</v>
      </c>
      <c r="K194" s="1" t="s">
        <v>44</v>
      </c>
      <c r="L194" s="1" t="n">
        <v>2</v>
      </c>
      <c r="P194" s="1" t="n">
        <f aca="false">SUM(M194:O194)</f>
        <v>0</v>
      </c>
      <c r="W194" s="1" t="n">
        <f aca="false">SUM(Q194:V194)</f>
        <v>0</v>
      </c>
      <c r="AF194" s="9" t="n">
        <f aca="false">SUM(Z194:AE194)</f>
        <v>0</v>
      </c>
      <c r="AG194" s="10"/>
      <c r="AH194" s="11"/>
      <c r="AI194" s="11"/>
      <c r="AJ194" s="11"/>
      <c r="AK194" s="11"/>
      <c r="AL194" s="11"/>
      <c r="AM194" s="11"/>
      <c r="AN194" s="11" t="n">
        <f aca="false">SUM(AH194:AM194)</f>
        <v>0</v>
      </c>
      <c r="AO194" s="1"/>
      <c r="AP194" s="1"/>
      <c r="AQ194" s="1"/>
      <c r="AR194" s="1"/>
    </row>
    <row r="195" customFormat="false" ht="13.8" hidden="false" customHeight="false" outlineLevel="0" collapsed="false">
      <c r="A195" s="1" t="s">
        <v>293</v>
      </c>
      <c r="B195" s="1" t="n">
        <v>929</v>
      </c>
      <c r="C195" s="1" t="s">
        <v>285</v>
      </c>
      <c r="D195" s="1" t="s">
        <v>42</v>
      </c>
      <c r="E195" s="1" t="s">
        <v>286</v>
      </c>
      <c r="F195" s="1" t="n">
        <v>3</v>
      </c>
      <c r="G195" s="1" t="n">
        <v>1</v>
      </c>
      <c r="H195" s="1" t="n">
        <v>24</v>
      </c>
      <c r="I195" s="8" t="n">
        <v>318388</v>
      </c>
      <c r="J195" s="1" t="n">
        <v>1</v>
      </c>
      <c r="K195" s="1" t="s">
        <v>44</v>
      </c>
      <c r="L195" s="1" t="n">
        <v>2</v>
      </c>
      <c r="P195" s="1" t="n">
        <f aca="false">SUM(M195:O195)</f>
        <v>0</v>
      </c>
      <c r="W195" s="1" t="n">
        <f aca="false">SUM(Q195:V195)</f>
        <v>0</v>
      </c>
      <c r="AD195" s="9"/>
      <c r="AE195" s="20"/>
      <c r="AF195" s="9" t="n">
        <f aca="false">SUM(Z195:AE195)</f>
        <v>0</v>
      </c>
      <c r="AG195" s="10"/>
      <c r="AH195" s="11"/>
      <c r="AI195" s="11"/>
      <c r="AJ195" s="11"/>
      <c r="AK195" s="11"/>
      <c r="AL195" s="11"/>
      <c r="AM195" s="11"/>
      <c r="AN195" s="11" t="n">
        <f aca="false">SUM(AH195:AM195)</f>
        <v>0</v>
      </c>
      <c r="AO195" s="1"/>
      <c r="AP195" s="1"/>
      <c r="AQ195" s="1"/>
      <c r="AR195" s="1"/>
    </row>
    <row r="196" customFormat="false" ht="13.8" hidden="false" customHeight="false" outlineLevel="0" collapsed="false">
      <c r="A196" s="1" t="s">
        <v>294</v>
      </c>
      <c r="B196" s="1" t="n">
        <v>722</v>
      </c>
      <c r="C196" s="1" t="s">
        <v>285</v>
      </c>
      <c r="D196" s="1" t="s">
        <v>42</v>
      </c>
      <c r="E196" s="1" t="s">
        <v>286</v>
      </c>
      <c r="F196" s="1" t="n">
        <v>1</v>
      </c>
      <c r="G196" s="1" t="n">
        <v>1</v>
      </c>
      <c r="H196" s="1" t="n">
        <v>4</v>
      </c>
      <c r="I196" s="8" t="n">
        <v>2374</v>
      </c>
      <c r="J196" s="1" t="n">
        <v>1</v>
      </c>
      <c r="K196" s="1" t="s">
        <v>295</v>
      </c>
      <c r="L196" s="1" t="n">
        <v>0</v>
      </c>
      <c r="P196" s="1" t="n">
        <f aca="false">SUM(M196:O196)</f>
        <v>0</v>
      </c>
      <c r="W196" s="1" t="n">
        <f aca="false">SUM(Q196:V196)</f>
        <v>0</v>
      </c>
      <c r="Y196" s="1" t="n">
        <v>1</v>
      </c>
      <c r="AF196" s="9" t="n">
        <f aca="false">SUM(Z196:AE196)</f>
        <v>0</v>
      </c>
      <c r="AG196" s="10"/>
      <c r="AH196" s="11"/>
      <c r="AI196" s="11"/>
      <c r="AJ196" s="11"/>
      <c r="AK196" s="11"/>
      <c r="AL196" s="11"/>
      <c r="AM196" s="11"/>
      <c r="AN196" s="11" t="n">
        <f aca="false">SUM(AH196:AM196)</f>
        <v>0</v>
      </c>
      <c r="AO196" s="1"/>
      <c r="AP196" s="1"/>
      <c r="AQ196" s="1"/>
      <c r="AR196" s="1"/>
    </row>
    <row r="197" customFormat="false" ht="13.8" hidden="false" customHeight="false" outlineLevel="0" collapsed="false">
      <c r="A197" s="1" t="s">
        <v>296</v>
      </c>
      <c r="B197" s="1" t="n">
        <v>147</v>
      </c>
      <c r="C197" s="1" t="s">
        <v>285</v>
      </c>
      <c r="D197" s="1" t="s">
        <v>42</v>
      </c>
      <c r="E197" s="1" t="s">
        <v>286</v>
      </c>
      <c r="F197" s="1" t="n">
        <v>1</v>
      </c>
      <c r="G197" s="1" t="n">
        <v>1</v>
      </c>
      <c r="H197" s="1" t="n">
        <v>3</v>
      </c>
      <c r="I197" s="8" t="n">
        <v>4636</v>
      </c>
      <c r="J197" s="1" t="n">
        <v>1</v>
      </c>
      <c r="K197" s="1" t="s">
        <v>295</v>
      </c>
      <c r="L197" s="1" t="n">
        <v>0</v>
      </c>
      <c r="P197" s="1" t="n">
        <f aca="false">SUM(M197:O197)</f>
        <v>0</v>
      </c>
      <c r="W197" s="1" t="n">
        <f aca="false">SUM(Q197:V197)</f>
        <v>0</v>
      </c>
      <c r="AD197" s="9"/>
      <c r="AF197" s="9" t="n">
        <f aca="false">SUM(Z197:AE197)</f>
        <v>0</v>
      </c>
      <c r="AG197" s="10"/>
      <c r="AH197" s="11"/>
      <c r="AI197" s="11"/>
      <c r="AJ197" s="11"/>
      <c r="AK197" s="11"/>
      <c r="AL197" s="11"/>
      <c r="AM197" s="11"/>
      <c r="AN197" s="11" t="n">
        <f aca="false">SUM(AH197:AM197)</f>
        <v>0</v>
      </c>
      <c r="AO197" s="1"/>
      <c r="AP197" s="1"/>
      <c r="AQ197" s="1"/>
      <c r="AR197" s="1"/>
    </row>
    <row r="198" customFormat="false" ht="13.8" hidden="false" customHeight="false" outlineLevel="0" collapsed="false">
      <c r="A198" s="1" t="s">
        <v>297</v>
      </c>
      <c r="B198" s="1" t="n">
        <v>926</v>
      </c>
      <c r="C198" s="1" t="s">
        <v>285</v>
      </c>
      <c r="D198" s="1" t="s">
        <v>42</v>
      </c>
      <c r="E198" s="1" t="s">
        <v>286</v>
      </c>
      <c r="F198" s="1" t="n">
        <v>6</v>
      </c>
      <c r="G198" s="1" t="n">
        <v>1</v>
      </c>
      <c r="H198" s="1" t="n">
        <v>9</v>
      </c>
      <c r="I198" s="8" t="n">
        <v>529946</v>
      </c>
      <c r="J198" s="1" t="n">
        <v>2</v>
      </c>
      <c r="K198" s="1" t="s">
        <v>46</v>
      </c>
      <c r="L198" s="1" t="n">
        <v>4</v>
      </c>
      <c r="M198" s="1" t="n">
        <v>1</v>
      </c>
      <c r="N198" s="1" t="n">
        <v>1</v>
      </c>
      <c r="O198" s="1" t="n">
        <v>1</v>
      </c>
      <c r="P198" s="1" t="n">
        <f aca="false">SUM(M198:O198)</f>
        <v>3</v>
      </c>
      <c r="W198" s="1" t="n">
        <f aca="false">SUM(Q198:V198)</f>
        <v>0</v>
      </c>
      <c r="X198" s="1" t="n">
        <v>2</v>
      </c>
      <c r="Y198" s="1" t="n">
        <v>3</v>
      </c>
      <c r="AA198" s="9"/>
      <c r="AF198" s="9" t="n">
        <f aca="false">SUM(Z198:AE198)</f>
        <v>0</v>
      </c>
      <c r="AG198" s="21"/>
      <c r="AH198" s="11"/>
      <c r="AI198" s="11"/>
      <c r="AJ198" s="11"/>
      <c r="AK198" s="11"/>
      <c r="AL198" s="11"/>
      <c r="AM198" s="11"/>
      <c r="AN198" s="11" t="n">
        <f aca="false">SUM(AH198:AM198)</f>
        <v>0</v>
      </c>
      <c r="AO198" s="1"/>
      <c r="AP198" s="1"/>
      <c r="AQ198" s="1"/>
      <c r="AR198" s="1"/>
    </row>
    <row r="199" customFormat="false" ht="13.8" hidden="false" customHeight="false" outlineLevel="0" collapsed="false">
      <c r="A199" s="1" t="s">
        <v>298</v>
      </c>
      <c r="B199" s="1" t="n">
        <v>111</v>
      </c>
      <c r="C199" s="1" t="s">
        <v>285</v>
      </c>
      <c r="D199" s="1" t="s">
        <v>42</v>
      </c>
      <c r="E199" s="1" t="s">
        <v>286</v>
      </c>
      <c r="F199" s="1" t="n">
        <v>17</v>
      </c>
      <c r="G199" s="1" t="n">
        <v>1</v>
      </c>
      <c r="H199" s="1" t="n">
        <v>8</v>
      </c>
      <c r="I199" s="8" t="n">
        <v>559682</v>
      </c>
      <c r="J199" s="1" t="n">
        <v>2</v>
      </c>
      <c r="K199" s="1" t="s">
        <v>120</v>
      </c>
      <c r="L199" s="1" t="n">
        <v>5</v>
      </c>
      <c r="M199" s="1" t="n">
        <v>2</v>
      </c>
      <c r="O199" s="1" t="n">
        <v>1</v>
      </c>
      <c r="P199" s="1" t="n">
        <f aca="false">SUM(M199:O199)</f>
        <v>3</v>
      </c>
      <c r="W199" s="1" t="n">
        <f aca="false">SUM(Q199:V199)</f>
        <v>0</v>
      </c>
      <c r="X199" s="1" t="n">
        <v>3</v>
      </c>
      <c r="Y199" s="1" t="n">
        <v>5</v>
      </c>
      <c r="AA199" s="20"/>
      <c r="AD199" s="9"/>
      <c r="AF199" s="9" t="n">
        <f aca="false">SUM(Z199:AE199)</f>
        <v>0</v>
      </c>
      <c r="AG199" s="10"/>
      <c r="AH199" s="11"/>
      <c r="AI199" s="11"/>
      <c r="AJ199" s="11"/>
      <c r="AK199" s="11"/>
      <c r="AL199" s="11"/>
      <c r="AM199" s="11"/>
      <c r="AN199" s="11" t="n">
        <f aca="false">SUM(AH199:AM199)</f>
        <v>0</v>
      </c>
      <c r="AO199" s="1"/>
      <c r="AP199" s="1"/>
      <c r="AQ199" s="1"/>
      <c r="AR199" s="1"/>
    </row>
    <row r="200" customFormat="false" ht="13.8" hidden="false" customHeight="false" outlineLevel="0" collapsed="false">
      <c r="A200" s="1" t="s">
        <v>299</v>
      </c>
      <c r="B200" s="1" t="n">
        <v>149</v>
      </c>
      <c r="C200" s="1" t="s">
        <v>285</v>
      </c>
      <c r="D200" s="1" t="s">
        <v>42</v>
      </c>
      <c r="E200" s="1" t="s">
        <v>286</v>
      </c>
      <c r="F200" s="1" t="n">
        <v>5</v>
      </c>
      <c r="G200" s="1" t="n">
        <v>1</v>
      </c>
      <c r="H200" s="1" t="n">
        <v>18</v>
      </c>
      <c r="I200" s="8" t="n">
        <v>595586</v>
      </c>
      <c r="J200" s="1" t="n">
        <v>2</v>
      </c>
      <c r="K200" s="1" t="s">
        <v>46</v>
      </c>
      <c r="L200" s="1" t="n">
        <v>4</v>
      </c>
      <c r="O200" s="1" t="n">
        <v>2</v>
      </c>
      <c r="P200" s="1" t="n">
        <f aca="false">SUM(M200:O200)</f>
        <v>2</v>
      </c>
      <c r="W200" s="1" t="n">
        <f aca="false">SUM(Q200:V200)</f>
        <v>0</v>
      </c>
      <c r="Y200" s="1" t="n">
        <v>1</v>
      </c>
      <c r="AF200" s="9" t="n">
        <f aca="false">SUM(Z200:AE200)</f>
        <v>0</v>
      </c>
      <c r="AG200" s="10"/>
      <c r="AH200" s="11"/>
      <c r="AI200" s="11"/>
      <c r="AJ200" s="11"/>
      <c r="AK200" s="11"/>
      <c r="AL200" s="11"/>
      <c r="AM200" s="11"/>
      <c r="AN200" s="11" t="n">
        <f aca="false">SUM(AH200:AM200)</f>
        <v>0</v>
      </c>
      <c r="AO200" s="1"/>
      <c r="AP200" s="1"/>
      <c r="AQ200" s="1"/>
      <c r="AR200" s="1"/>
    </row>
    <row r="201" customFormat="false" ht="13.8" hidden="false" customHeight="false" outlineLevel="0" collapsed="false">
      <c r="A201" s="1" t="s">
        <v>300</v>
      </c>
      <c r="B201" s="1" t="n">
        <v>677</v>
      </c>
      <c r="C201" s="1" t="s">
        <v>301</v>
      </c>
      <c r="D201" s="1" t="s">
        <v>73</v>
      </c>
      <c r="E201" s="1" t="s">
        <v>302</v>
      </c>
      <c r="F201" s="1" t="n">
        <v>4</v>
      </c>
      <c r="G201" s="1" t="n">
        <v>1</v>
      </c>
      <c r="H201" s="1" t="n">
        <v>7</v>
      </c>
      <c r="I201" s="8" t="n">
        <v>1327212</v>
      </c>
      <c r="J201" s="1" t="n">
        <v>2</v>
      </c>
      <c r="K201" s="1" t="s">
        <v>46</v>
      </c>
      <c r="L201" s="1" t="n">
        <v>4</v>
      </c>
      <c r="P201" s="1" t="n">
        <f aca="false">SUM(M201:O201)</f>
        <v>0</v>
      </c>
      <c r="W201" s="1" t="n">
        <f aca="false">SUM(Q201:V201)</f>
        <v>0</v>
      </c>
      <c r="Z201" s="12"/>
      <c r="AA201" s="9"/>
      <c r="AF201" s="9" t="n">
        <f aca="false">SUM(Z201:AE201)</f>
        <v>0</v>
      </c>
      <c r="AG201" s="10"/>
      <c r="AH201" s="11"/>
      <c r="AI201" s="11"/>
      <c r="AJ201" s="11"/>
      <c r="AK201" s="11"/>
      <c r="AL201" s="11"/>
      <c r="AM201" s="11"/>
      <c r="AN201" s="11" t="n">
        <f aca="false">SUM(AH201:AM201)</f>
        <v>0</v>
      </c>
      <c r="AO201" s="1"/>
      <c r="AP201" s="1"/>
      <c r="AQ201" s="1"/>
      <c r="AR201" s="1"/>
    </row>
    <row r="202" customFormat="false" ht="13.8" hidden="false" customHeight="false" outlineLevel="0" collapsed="false">
      <c r="A202" s="1" t="s">
        <v>303</v>
      </c>
      <c r="B202" s="1" t="n">
        <v>514</v>
      </c>
      <c r="C202" s="1" t="s">
        <v>301</v>
      </c>
      <c r="D202" s="1" t="s">
        <v>304</v>
      </c>
      <c r="E202" s="1" t="s">
        <v>302</v>
      </c>
      <c r="G202" s="1" t="n">
        <v>1</v>
      </c>
      <c r="H202" s="1" t="n">
        <v>17</v>
      </c>
      <c r="I202" s="8" t="n">
        <v>207987</v>
      </c>
      <c r="J202" s="1" t="n">
        <v>0</v>
      </c>
      <c r="K202" s="1" t="s">
        <v>76</v>
      </c>
      <c r="L202" s="1" t="n">
        <v>0</v>
      </c>
      <c r="P202" s="1" t="n">
        <f aca="false">SUM(M202:O202)</f>
        <v>0</v>
      </c>
      <c r="W202" s="1" t="n">
        <f aca="false">SUM(Q202:V202)</f>
        <v>0</v>
      </c>
      <c r="AF202" s="9" t="n">
        <f aca="false">SUM(Z202:AE202)</f>
        <v>0</v>
      </c>
      <c r="AG202" s="10"/>
      <c r="AH202" s="11"/>
      <c r="AI202" s="11"/>
      <c r="AJ202" s="11"/>
      <c r="AK202" s="11"/>
      <c r="AL202" s="11"/>
      <c r="AM202" s="11"/>
      <c r="AN202" s="11" t="n">
        <f aca="false">SUM(AH202:AM202)</f>
        <v>0</v>
      </c>
      <c r="AO202" s="1"/>
      <c r="AP202" s="1"/>
      <c r="AQ202" s="1"/>
      <c r="AR202" s="1"/>
    </row>
    <row r="203" customFormat="false" ht="13.8" hidden="false" customHeight="false" outlineLevel="0" collapsed="false">
      <c r="A203" s="1" t="s">
        <v>305</v>
      </c>
      <c r="B203" s="1" t="n">
        <v>459</v>
      </c>
      <c r="C203" s="1" t="s">
        <v>301</v>
      </c>
      <c r="D203" s="1" t="s">
        <v>73</v>
      </c>
      <c r="E203" s="1" t="s">
        <v>302</v>
      </c>
      <c r="F203" s="1" t="n">
        <v>10</v>
      </c>
      <c r="G203" s="1" t="n">
        <v>1</v>
      </c>
      <c r="H203" s="1" t="n">
        <v>10</v>
      </c>
      <c r="I203" s="8" t="n">
        <v>3093716</v>
      </c>
      <c r="J203" s="1" t="n">
        <v>2</v>
      </c>
      <c r="K203" s="1" t="s">
        <v>46</v>
      </c>
      <c r="L203" s="1" t="n">
        <v>4</v>
      </c>
      <c r="P203" s="1" t="n">
        <f aca="false">SUM(M203:O203)</f>
        <v>0</v>
      </c>
      <c r="U203" s="1" t="n">
        <v>65</v>
      </c>
      <c r="W203" s="1" t="n">
        <f aca="false">SUM(Q203:V203)</f>
        <v>65</v>
      </c>
      <c r="X203" s="1" t="n">
        <v>5</v>
      </c>
      <c r="Y203" s="1" t="n">
        <v>8</v>
      </c>
      <c r="AD203" s="9" t="n">
        <f aca="false">(U203)*(1+(J203)*0.2)</f>
        <v>91</v>
      </c>
      <c r="AF203" s="9" t="n">
        <f aca="false">SUM(Z203:AE203)</f>
        <v>91</v>
      </c>
      <c r="AG203" s="10" t="s">
        <v>47</v>
      </c>
      <c r="AH203" s="11"/>
      <c r="AI203" s="11"/>
      <c r="AJ203" s="11"/>
      <c r="AK203" s="11"/>
      <c r="AL203" s="11" t="n">
        <f aca="false">IF(AG203="yes",AD203*1.2,AD203)</f>
        <v>109.2</v>
      </c>
      <c r="AM203" s="11"/>
      <c r="AN203" s="11" t="n">
        <f aca="false">SUM(AH203:AM203)</f>
        <v>109.2</v>
      </c>
      <c r="AO203" s="1"/>
      <c r="AP203" s="1"/>
      <c r="AQ203" s="1"/>
      <c r="AR203" s="1"/>
    </row>
    <row r="204" customFormat="false" ht="13.8" hidden="false" customHeight="false" outlineLevel="0" collapsed="false">
      <c r="A204" s="1" t="s">
        <v>306</v>
      </c>
      <c r="B204" s="1" t="n">
        <v>32</v>
      </c>
      <c r="C204" s="1" t="s">
        <v>301</v>
      </c>
      <c r="D204" s="1" t="s">
        <v>42</v>
      </c>
      <c r="E204" s="1" t="s">
        <v>302</v>
      </c>
      <c r="F204" s="1" t="n">
        <v>1</v>
      </c>
      <c r="G204" s="1" t="n">
        <v>1</v>
      </c>
      <c r="H204" s="1" t="n">
        <v>6</v>
      </c>
      <c r="I204" s="8" t="n">
        <v>1008730</v>
      </c>
      <c r="J204" s="1" t="n">
        <v>2</v>
      </c>
      <c r="K204" s="1" t="s">
        <v>46</v>
      </c>
      <c r="L204" s="1" t="n">
        <v>4</v>
      </c>
      <c r="P204" s="1" t="n">
        <f aca="false">SUM(M204:O204)</f>
        <v>0</v>
      </c>
      <c r="R204" s="1" t="n">
        <v>30</v>
      </c>
      <c r="U204" s="1" t="n">
        <v>16</v>
      </c>
      <c r="W204" s="1" t="n">
        <f aca="false">SUM(Q204:V204)</f>
        <v>46</v>
      </c>
      <c r="AA204" s="9" t="n">
        <f aca="false">(R204)*(1+(J204)*0.2)</f>
        <v>42</v>
      </c>
      <c r="AC204" s="9"/>
      <c r="AD204" s="9" t="n">
        <f aca="false">(U204)*(1+(J204)*0.2)</f>
        <v>22.4</v>
      </c>
      <c r="AE204" s="20"/>
      <c r="AF204" s="9" t="n">
        <f aca="false">SUM(Z204:AE204)</f>
        <v>64.4</v>
      </c>
      <c r="AG204" s="10" t="s">
        <v>53</v>
      </c>
      <c r="AH204" s="11"/>
      <c r="AI204" s="11" t="n">
        <f aca="false">IF(AG204="yes",AA204*1.2,AA204)</f>
        <v>42</v>
      </c>
      <c r="AJ204" s="11"/>
      <c r="AK204" s="11"/>
      <c r="AL204" s="11" t="n">
        <f aca="false">IF(AG204="yes",AD204*1.2,AD204)</f>
        <v>22.4</v>
      </c>
      <c r="AM204" s="11"/>
      <c r="AN204" s="11" t="n">
        <f aca="false">SUM(AH204:AM204)</f>
        <v>64.4</v>
      </c>
      <c r="AO204" s="1"/>
      <c r="AP204" s="1"/>
      <c r="AQ204" s="1"/>
      <c r="AR204" s="1"/>
    </row>
    <row r="205" customFormat="false" ht="13.8" hidden="false" customHeight="false" outlineLevel="0" collapsed="false">
      <c r="A205" s="1" t="s">
        <v>307</v>
      </c>
      <c r="B205" s="1" t="n">
        <v>28</v>
      </c>
      <c r="C205" s="1" t="s">
        <v>301</v>
      </c>
      <c r="D205" s="1" t="s">
        <v>42</v>
      </c>
      <c r="E205" s="1" t="s">
        <v>302</v>
      </c>
      <c r="F205" s="1" t="n">
        <v>20</v>
      </c>
      <c r="G205" s="1" t="n">
        <v>1</v>
      </c>
      <c r="H205" s="1" t="n">
        <v>8</v>
      </c>
      <c r="I205" s="8" t="n">
        <v>1917938</v>
      </c>
      <c r="J205" s="1" t="n">
        <v>4</v>
      </c>
      <c r="K205" s="1" t="s">
        <v>96</v>
      </c>
      <c r="L205" s="1" t="n">
        <v>6</v>
      </c>
      <c r="O205" s="1" t="n">
        <v>3</v>
      </c>
      <c r="P205" s="1" t="n">
        <f aca="false">SUM(M205:O205)</f>
        <v>3</v>
      </c>
      <c r="U205" s="1" t="n">
        <v>42</v>
      </c>
      <c r="W205" s="1" t="n">
        <f aca="false">SUM(Q205:V205)</f>
        <v>42</v>
      </c>
      <c r="X205" s="1" t="n">
        <v>5</v>
      </c>
      <c r="AD205" s="9" t="n">
        <f aca="false">(U205)*(1+(J205)*0.2)</f>
        <v>75.6</v>
      </c>
      <c r="AF205" s="9" t="n">
        <f aca="false">SUM(Z205:AE205)</f>
        <v>75.6</v>
      </c>
      <c r="AG205" s="10" t="s">
        <v>47</v>
      </c>
      <c r="AH205" s="11"/>
      <c r="AI205" s="11"/>
      <c r="AJ205" s="11"/>
      <c r="AK205" s="11"/>
      <c r="AL205" s="11" t="n">
        <f aca="false">IF(AG205="yes",AD205*1.2,AD205)</f>
        <v>90.72</v>
      </c>
      <c r="AM205" s="11"/>
      <c r="AN205" s="11" t="n">
        <f aca="false">SUM(AH205:AM205)</f>
        <v>90.72</v>
      </c>
      <c r="AO205" s="1"/>
      <c r="AP205" s="1"/>
      <c r="AQ205" s="1"/>
      <c r="AR205" s="1"/>
    </row>
    <row r="206" customFormat="false" ht="13.8" hidden="false" customHeight="false" outlineLevel="0" collapsed="false">
      <c r="A206" s="1" t="s">
        <v>308</v>
      </c>
      <c r="B206" s="1" t="n">
        <v>19</v>
      </c>
      <c r="C206" s="1" t="s">
        <v>301</v>
      </c>
      <c r="D206" s="1" t="s">
        <v>42</v>
      </c>
      <c r="E206" s="1" t="s">
        <v>302</v>
      </c>
      <c r="F206" s="1" t="n">
        <v>20</v>
      </c>
      <c r="G206" s="1" t="n">
        <v>1</v>
      </c>
      <c r="H206" s="1" t="n">
        <v>5</v>
      </c>
      <c r="I206" s="8" t="n">
        <v>1141792</v>
      </c>
      <c r="J206" s="1" t="n">
        <v>3</v>
      </c>
      <c r="K206" s="1" t="s">
        <v>96</v>
      </c>
      <c r="L206" s="1" t="n">
        <v>6</v>
      </c>
      <c r="M206" s="1" t="n">
        <v>1</v>
      </c>
      <c r="N206" s="1" t="n">
        <v>1</v>
      </c>
      <c r="P206" s="1" t="n">
        <f aca="false">SUM(M206:O206)</f>
        <v>2</v>
      </c>
      <c r="R206" s="1" t="n">
        <v>11</v>
      </c>
      <c r="U206" s="1" t="n">
        <v>14</v>
      </c>
      <c r="W206" s="1" t="n">
        <f aca="false">SUM(Q206:V206)</f>
        <v>25</v>
      </c>
      <c r="X206" s="1" t="n">
        <v>3</v>
      </c>
      <c r="Y206" s="1" t="n">
        <v>3</v>
      </c>
      <c r="AA206" s="9" t="n">
        <f aca="false">(R206)*(1+(J206)*0.2)</f>
        <v>17.6</v>
      </c>
      <c r="AD206" s="9" t="n">
        <f aca="false">(U206)*(1+(J206)*0.2)</f>
        <v>22.4</v>
      </c>
      <c r="AF206" s="9" t="n">
        <f aca="false">SUM(Z206:AE206)</f>
        <v>40</v>
      </c>
      <c r="AG206" s="10" t="s">
        <v>47</v>
      </c>
      <c r="AH206" s="11"/>
      <c r="AI206" s="11" t="n">
        <f aca="false">IF(AG206="yes",AA206*1.2,AA206)</f>
        <v>21.12</v>
      </c>
      <c r="AJ206" s="11"/>
      <c r="AK206" s="11"/>
      <c r="AL206" s="11" t="n">
        <f aca="false">IF(AG206="yes",AD206*1.2,AD206)</f>
        <v>26.88</v>
      </c>
      <c r="AM206" s="11"/>
      <c r="AN206" s="11" t="n">
        <f aca="false">SUM(AH206:AM206)</f>
        <v>48</v>
      </c>
      <c r="AO206" s="1"/>
      <c r="AP206" s="1"/>
      <c r="AQ206" s="1"/>
      <c r="AR206" s="1"/>
    </row>
    <row r="207" customFormat="false" ht="13.8" hidden="false" customHeight="false" outlineLevel="0" collapsed="false">
      <c r="A207" s="1" t="s">
        <v>309</v>
      </c>
      <c r="B207" s="1" t="n">
        <v>26</v>
      </c>
      <c r="C207" s="1" t="s">
        <v>301</v>
      </c>
      <c r="D207" s="1" t="s">
        <v>42</v>
      </c>
      <c r="E207" s="1" t="s">
        <v>302</v>
      </c>
      <c r="F207" s="1" t="n">
        <v>3</v>
      </c>
      <c r="G207" s="1" t="n">
        <v>1</v>
      </c>
      <c r="H207" s="1" t="n">
        <v>11</v>
      </c>
      <c r="I207" s="8" t="n">
        <v>878872</v>
      </c>
      <c r="J207" s="1" t="n">
        <v>3</v>
      </c>
      <c r="K207" s="1" t="s">
        <v>46</v>
      </c>
      <c r="L207" s="1" t="n">
        <v>4</v>
      </c>
      <c r="O207" s="1" t="n">
        <v>1</v>
      </c>
      <c r="P207" s="1" t="n">
        <f aca="false">SUM(M207:O207)</f>
        <v>1</v>
      </c>
      <c r="W207" s="1" t="n">
        <f aca="false">SUM(Q207:V207)</f>
        <v>0</v>
      </c>
      <c r="AA207" s="9"/>
      <c r="AF207" s="9" t="n">
        <f aca="false">SUM(Z207:AE207)</f>
        <v>0</v>
      </c>
      <c r="AG207" s="10"/>
      <c r="AH207" s="11"/>
      <c r="AI207" s="11"/>
      <c r="AJ207" s="11"/>
      <c r="AK207" s="11"/>
      <c r="AL207" s="11"/>
      <c r="AM207" s="11"/>
      <c r="AN207" s="11" t="n">
        <f aca="false">SUM(AH207:AM207)</f>
        <v>0</v>
      </c>
      <c r="AO207" s="1"/>
      <c r="AP207" s="1"/>
      <c r="AQ207" s="1"/>
      <c r="AR207" s="1"/>
    </row>
    <row r="208" customFormat="false" ht="13.8" hidden="false" customHeight="false" outlineLevel="0" collapsed="false">
      <c r="A208" s="1" t="s">
        <v>310</v>
      </c>
      <c r="B208" s="1" t="n">
        <v>775</v>
      </c>
      <c r="C208" s="1" t="s">
        <v>301</v>
      </c>
      <c r="D208" s="1" t="s">
        <v>304</v>
      </c>
      <c r="E208" s="1" t="s">
        <v>302</v>
      </c>
      <c r="G208" s="1" t="n">
        <v>1</v>
      </c>
      <c r="H208" s="1" t="n">
        <v>3</v>
      </c>
      <c r="I208" s="8" t="n">
        <v>18767</v>
      </c>
      <c r="J208" s="1" t="n">
        <v>0</v>
      </c>
      <c r="K208" s="1" t="s">
        <v>76</v>
      </c>
      <c r="L208" s="1" t="n">
        <v>0</v>
      </c>
      <c r="P208" s="1" t="n">
        <f aca="false">SUM(M208:O208)</f>
        <v>0</v>
      </c>
      <c r="W208" s="1" t="n">
        <f aca="false">SUM(Q208:V208)</f>
        <v>0</v>
      </c>
      <c r="AF208" s="9" t="n">
        <f aca="false">SUM(Z208:AE208)</f>
        <v>0</v>
      </c>
      <c r="AG208" s="10"/>
      <c r="AH208" s="11"/>
      <c r="AI208" s="11"/>
      <c r="AJ208" s="11"/>
      <c r="AK208" s="11"/>
      <c r="AL208" s="11"/>
      <c r="AM208" s="11"/>
      <c r="AN208" s="11" t="n">
        <f aca="false">SUM(AH208:AM208)</f>
        <v>0</v>
      </c>
      <c r="AO208" s="1"/>
      <c r="AP208" s="1"/>
      <c r="AQ208" s="1"/>
      <c r="AR208" s="1"/>
    </row>
    <row r="209" customFormat="false" ht="13.8" hidden="false" customHeight="false" outlineLevel="0" collapsed="false">
      <c r="A209" s="1" t="s">
        <v>311</v>
      </c>
      <c r="B209" s="1" t="n">
        <v>556</v>
      </c>
      <c r="C209" s="1" t="s">
        <v>301</v>
      </c>
      <c r="D209" s="1" t="s">
        <v>73</v>
      </c>
      <c r="E209" s="1" t="s">
        <v>302</v>
      </c>
      <c r="F209" s="1" t="n">
        <v>1</v>
      </c>
      <c r="G209" s="1" t="n">
        <v>1</v>
      </c>
      <c r="H209" s="1" t="n">
        <v>4</v>
      </c>
      <c r="I209" s="8" t="n">
        <v>1664420</v>
      </c>
      <c r="J209" s="1" t="n">
        <v>2</v>
      </c>
      <c r="K209" s="1" t="s">
        <v>44</v>
      </c>
      <c r="L209" s="1" t="n">
        <v>2</v>
      </c>
      <c r="P209" s="1" t="n">
        <f aca="false">SUM(M209:O209)</f>
        <v>0</v>
      </c>
      <c r="W209" s="1" t="n">
        <f aca="false">SUM(Q209:V209)</f>
        <v>0</v>
      </c>
      <c r="AF209" s="9" t="n">
        <f aca="false">SUM(Z209:AE209)</f>
        <v>0</v>
      </c>
      <c r="AG209" s="10"/>
      <c r="AH209" s="11"/>
      <c r="AI209" s="11"/>
      <c r="AJ209" s="11"/>
      <c r="AK209" s="11"/>
      <c r="AL209" s="11"/>
      <c r="AM209" s="11"/>
      <c r="AN209" s="11" t="n">
        <f aca="false">SUM(AH209:AM209)</f>
        <v>0</v>
      </c>
      <c r="AO209" s="1"/>
      <c r="AP209" s="1"/>
      <c r="AQ209" s="1"/>
      <c r="AR209" s="1"/>
    </row>
    <row r="210" customFormat="false" ht="13.8" hidden="false" customHeight="false" outlineLevel="0" collapsed="false">
      <c r="A210" s="1" t="s">
        <v>312</v>
      </c>
      <c r="B210" s="1" t="n">
        <v>21</v>
      </c>
      <c r="C210" s="1" t="s">
        <v>301</v>
      </c>
      <c r="D210" s="1" t="s">
        <v>42</v>
      </c>
      <c r="E210" s="1" t="s">
        <v>302</v>
      </c>
      <c r="F210" s="1" t="n">
        <v>10</v>
      </c>
      <c r="G210" s="1" t="n">
        <v>1</v>
      </c>
      <c r="H210" s="1" t="n">
        <v>5</v>
      </c>
      <c r="I210" s="8" t="n">
        <v>1672349</v>
      </c>
      <c r="J210" s="1" t="n">
        <v>3</v>
      </c>
      <c r="K210" s="1" t="s">
        <v>96</v>
      </c>
      <c r="L210" s="1" t="n">
        <v>6</v>
      </c>
      <c r="M210" s="1" t="n">
        <v>1</v>
      </c>
      <c r="N210" s="1" t="n">
        <v>1</v>
      </c>
      <c r="O210" s="1" t="n">
        <v>1</v>
      </c>
      <c r="P210" s="1" t="n">
        <f aca="false">SUM(M210:O210)</f>
        <v>3</v>
      </c>
      <c r="R210" s="1" t="n">
        <v>60</v>
      </c>
      <c r="W210" s="1" t="n">
        <f aca="false">SUM(Q210:V210)</f>
        <v>60</v>
      </c>
      <c r="X210" s="1" t="n">
        <v>10</v>
      </c>
      <c r="Y210" s="1" t="n">
        <v>3</v>
      </c>
      <c r="AA210" s="9" t="n">
        <f aca="false">(R210)*(1+(J210)*0.2)</f>
        <v>96</v>
      </c>
      <c r="AF210" s="9" t="n">
        <f aca="false">SUM(Z210:AE210)</f>
        <v>96</v>
      </c>
      <c r="AG210" s="10" t="s">
        <v>47</v>
      </c>
      <c r="AH210" s="11"/>
      <c r="AI210" s="11" t="n">
        <f aca="false">IF(AG210="yes",AA210*1.2,AA210)</f>
        <v>115.2</v>
      </c>
      <c r="AJ210" s="11"/>
      <c r="AK210" s="11"/>
      <c r="AL210" s="11"/>
      <c r="AM210" s="11"/>
      <c r="AN210" s="11" t="n">
        <f aca="false">SUM(AH210:AM210)</f>
        <v>115.2</v>
      </c>
      <c r="AO210" s="1"/>
      <c r="AP210" s="1"/>
      <c r="AQ210" s="1"/>
      <c r="AR210" s="1"/>
    </row>
    <row r="211" customFormat="false" ht="13.8" hidden="false" customHeight="false" outlineLevel="0" collapsed="false">
      <c r="A211" s="1" t="s">
        <v>313</v>
      </c>
      <c r="B211" s="1" t="n">
        <v>27</v>
      </c>
      <c r="C211" s="1" t="s">
        <v>301</v>
      </c>
      <c r="D211" s="1" t="s">
        <v>42</v>
      </c>
      <c r="E211" s="1" t="s">
        <v>302</v>
      </c>
      <c r="F211" s="1" t="n">
        <v>5</v>
      </c>
      <c r="G211" s="1" t="n">
        <v>1</v>
      </c>
      <c r="H211" s="1" t="n">
        <v>12</v>
      </c>
      <c r="I211" s="8" t="n">
        <v>1372473</v>
      </c>
      <c r="J211" s="1" t="n">
        <v>4</v>
      </c>
      <c r="K211" s="1" t="s">
        <v>96</v>
      </c>
      <c r="L211" s="1" t="n">
        <v>6</v>
      </c>
      <c r="O211" s="1" t="n">
        <v>2</v>
      </c>
      <c r="P211" s="1" t="n">
        <f aca="false">SUM(M211:O211)</f>
        <v>2</v>
      </c>
      <c r="R211" s="1" t="n">
        <v>11</v>
      </c>
      <c r="W211" s="1" t="n">
        <f aca="false">SUM(Q211:V211)</f>
        <v>11</v>
      </c>
      <c r="X211" s="1" t="n">
        <v>2</v>
      </c>
      <c r="AA211" s="9" t="n">
        <f aca="false">(R211)*(1+(J211)*0.2)</f>
        <v>19.8</v>
      </c>
      <c r="AF211" s="9" t="n">
        <f aca="false">SUM(Z211:AE211)</f>
        <v>19.8</v>
      </c>
      <c r="AG211" s="10" t="s">
        <v>47</v>
      </c>
      <c r="AH211" s="11"/>
      <c r="AI211" s="11" t="n">
        <f aca="false">IF(AG211="yes",AA211*1.2,AA211)</f>
        <v>23.76</v>
      </c>
      <c r="AJ211" s="11"/>
      <c r="AK211" s="11"/>
      <c r="AL211" s="11"/>
      <c r="AM211" s="11"/>
      <c r="AN211" s="11" t="n">
        <f aca="false">SUM(AH211:AM211)</f>
        <v>23.76</v>
      </c>
      <c r="AO211" s="1"/>
      <c r="AP211" s="1"/>
      <c r="AQ211" s="1"/>
      <c r="AR211" s="1"/>
    </row>
    <row r="212" customFormat="false" ht="13.8" hidden="false" customHeight="false" outlineLevel="0" collapsed="false">
      <c r="A212" s="1" t="s">
        <v>314</v>
      </c>
      <c r="B212" s="1" t="n">
        <v>14</v>
      </c>
      <c r="C212" s="1" t="s">
        <v>301</v>
      </c>
      <c r="D212" s="1" t="s">
        <v>42</v>
      </c>
      <c r="E212" s="1" t="s">
        <v>302</v>
      </c>
      <c r="F212" s="1" t="n">
        <v>26</v>
      </c>
      <c r="G212" s="1" t="n">
        <v>1</v>
      </c>
      <c r="H212" s="1" t="n">
        <v>10</v>
      </c>
      <c r="I212" s="8" t="n">
        <v>2399526</v>
      </c>
      <c r="J212" s="1" t="n">
        <v>3</v>
      </c>
      <c r="K212" s="1" t="s">
        <v>96</v>
      </c>
      <c r="L212" s="1" t="n">
        <v>6</v>
      </c>
      <c r="N212" s="1" t="n">
        <v>5</v>
      </c>
      <c r="P212" s="1" t="n">
        <f aca="false">SUM(M212:O212)</f>
        <v>5</v>
      </c>
      <c r="W212" s="1" t="n">
        <f aca="false">SUM(Q212:V212)</f>
        <v>0</v>
      </c>
      <c r="X212" s="1" t="n">
        <v>5</v>
      </c>
      <c r="Y212" s="1" t="n">
        <v>15</v>
      </c>
      <c r="AD212" s="9"/>
      <c r="AF212" s="9" t="n">
        <f aca="false">SUM(Z212:AE212)</f>
        <v>0</v>
      </c>
      <c r="AG212" s="10"/>
      <c r="AH212" s="11"/>
      <c r="AI212" s="11"/>
      <c r="AJ212" s="11"/>
      <c r="AK212" s="11"/>
      <c r="AL212" s="11"/>
      <c r="AM212" s="11"/>
      <c r="AN212" s="11" t="n">
        <f aca="false">SUM(AH212:AM212)</f>
        <v>0</v>
      </c>
      <c r="AO212" s="1"/>
      <c r="AP212" s="1"/>
      <c r="AQ212" s="1"/>
      <c r="AR212" s="1"/>
    </row>
    <row r="213" customFormat="false" ht="13.8" hidden="false" customHeight="false" outlineLevel="0" collapsed="false">
      <c r="A213" s="1" t="s">
        <v>315</v>
      </c>
      <c r="B213" s="1" t="n">
        <v>741</v>
      </c>
      <c r="C213" s="1" t="s">
        <v>301</v>
      </c>
      <c r="D213" s="1" t="s">
        <v>73</v>
      </c>
      <c r="E213" s="1" t="s">
        <v>302</v>
      </c>
      <c r="F213" s="1" t="n">
        <v>1</v>
      </c>
      <c r="G213" s="1" t="n">
        <v>1</v>
      </c>
      <c r="H213" s="1" t="n">
        <v>28</v>
      </c>
      <c r="I213" s="8" t="n">
        <v>5251403</v>
      </c>
      <c r="J213" s="1" t="n">
        <v>1</v>
      </c>
      <c r="K213" s="1" t="s">
        <v>46</v>
      </c>
      <c r="L213" s="1" t="n">
        <v>4</v>
      </c>
      <c r="P213" s="1" t="n">
        <f aca="false">SUM(M213:O213)</f>
        <v>0</v>
      </c>
      <c r="W213" s="1" t="n">
        <f aca="false">SUM(Q213:V213)</f>
        <v>0</v>
      </c>
      <c r="Y213" s="1" t="n">
        <v>1</v>
      </c>
      <c r="AF213" s="9" t="n">
        <f aca="false">SUM(Z213:AE213)</f>
        <v>0</v>
      </c>
      <c r="AG213" s="10"/>
      <c r="AH213" s="11"/>
      <c r="AI213" s="11"/>
      <c r="AJ213" s="11"/>
      <c r="AK213" s="11"/>
      <c r="AL213" s="11"/>
      <c r="AM213" s="11"/>
      <c r="AN213" s="11" t="n">
        <f aca="false">SUM(AH213:AM213)</f>
        <v>0</v>
      </c>
      <c r="AO213" s="1"/>
      <c r="AP213" s="1"/>
      <c r="AQ213" s="1"/>
      <c r="AR213" s="1"/>
    </row>
    <row r="214" customFormat="false" ht="13.8" hidden="false" customHeight="false" outlineLevel="0" collapsed="false">
      <c r="A214" s="1" t="s">
        <v>316</v>
      </c>
      <c r="B214" s="1" t="n">
        <v>773</v>
      </c>
      <c r="C214" s="1" t="s">
        <v>301</v>
      </c>
      <c r="D214" s="1" t="s">
        <v>73</v>
      </c>
      <c r="E214" s="1" t="s">
        <v>302</v>
      </c>
      <c r="F214" s="1" t="n">
        <v>1</v>
      </c>
      <c r="G214" s="1" t="n">
        <v>1</v>
      </c>
      <c r="H214" s="1" t="n">
        <v>7</v>
      </c>
      <c r="I214" s="8" t="n">
        <v>2949378</v>
      </c>
      <c r="J214" s="1" t="n">
        <v>2</v>
      </c>
      <c r="K214" s="1" t="s">
        <v>44</v>
      </c>
      <c r="L214" s="1" t="n">
        <v>2</v>
      </c>
      <c r="O214" s="1" t="n">
        <v>1</v>
      </c>
      <c r="P214" s="1" t="n">
        <f aca="false">SUM(M214:O214)</f>
        <v>1</v>
      </c>
      <c r="W214" s="1" t="n">
        <f aca="false">SUM(Q214:V214)</f>
        <v>0</v>
      </c>
      <c r="X214" s="1" t="n">
        <v>1</v>
      </c>
      <c r="Y214" s="1" t="n">
        <v>1</v>
      </c>
      <c r="AF214" s="9" t="n">
        <f aca="false">SUM(Z214:AE214)</f>
        <v>0</v>
      </c>
      <c r="AG214" s="10"/>
      <c r="AH214" s="11"/>
      <c r="AI214" s="11"/>
      <c r="AJ214" s="11"/>
      <c r="AK214" s="11"/>
      <c r="AL214" s="11"/>
      <c r="AM214" s="11"/>
      <c r="AN214" s="11" t="n">
        <f aca="false">SUM(AH214:AM214)</f>
        <v>0</v>
      </c>
      <c r="AO214" s="1"/>
      <c r="AP214" s="1"/>
      <c r="AQ214" s="1"/>
      <c r="AR214" s="1"/>
    </row>
    <row r="215" customFormat="false" ht="13.8" hidden="false" customHeight="false" outlineLevel="0" collapsed="false">
      <c r="A215" s="1" t="s">
        <v>317</v>
      </c>
      <c r="B215" s="1" t="n">
        <v>461</v>
      </c>
      <c r="C215" s="1" t="s">
        <v>301</v>
      </c>
      <c r="D215" s="1" t="s">
        <v>73</v>
      </c>
      <c r="E215" s="1" t="s">
        <v>302</v>
      </c>
      <c r="F215" s="1" t="n">
        <v>10</v>
      </c>
      <c r="G215" s="1" t="n">
        <v>1</v>
      </c>
      <c r="H215" s="1" t="n">
        <v>17</v>
      </c>
      <c r="I215" s="8" t="n">
        <v>3201622</v>
      </c>
      <c r="J215" s="1" t="n">
        <v>2</v>
      </c>
      <c r="K215" s="1" t="s">
        <v>44</v>
      </c>
      <c r="L215" s="1" t="n">
        <v>2</v>
      </c>
      <c r="O215" s="1" t="n">
        <v>1</v>
      </c>
      <c r="P215" s="1" t="n">
        <f aca="false">SUM(M215:O215)</f>
        <v>1</v>
      </c>
      <c r="V215" s="1" t="n">
        <v>12</v>
      </c>
      <c r="W215" s="1" t="n">
        <f aca="false">SUM(Q215:V215)</f>
        <v>12</v>
      </c>
      <c r="X215" s="1" t="n">
        <v>4</v>
      </c>
      <c r="Y215" s="1" t="n">
        <v>4</v>
      </c>
      <c r="AE215" s="9" t="n">
        <f aca="false">(V215)*(1+(J215)*0.2)</f>
        <v>16.8</v>
      </c>
      <c r="AF215" s="9" t="n">
        <f aca="false">SUM(Z215:AE215)</f>
        <v>16.8</v>
      </c>
      <c r="AG215" s="10" t="s">
        <v>47</v>
      </c>
      <c r="AH215" s="11"/>
      <c r="AI215" s="11"/>
      <c r="AJ215" s="11"/>
      <c r="AK215" s="11"/>
      <c r="AL215" s="11"/>
      <c r="AM215" s="11" t="n">
        <f aca="false">IF(AG215="yes",AE215*1.2,AE215)</f>
        <v>20.16</v>
      </c>
      <c r="AN215" s="11" t="n">
        <f aca="false">SUM(AH215:AM215)</f>
        <v>20.16</v>
      </c>
      <c r="AO215" s="1"/>
      <c r="AP215" s="1"/>
      <c r="AQ215" s="1"/>
      <c r="AR215" s="1"/>
    </row>
    <row r="216" customFormat="false" ht="13.8" hidden="false" customHeight="false" outlineLevel="0" collapsed="false">
      <c r="A216" s="1" t="s">
        <v>318</v>
      </c>
      <c r="B216" s="1" t="n">
        <v>24</v>
      </c>
      <c r="C216" s="1" t="s">
        <v>301</v>
      </c>
      <c r="D216" s="1" t="s">
        <v>42</v>
      </c>
      <c r="E216" s="1" t="s">
        <v>302</v>
      </c>
      <c r="F216" s="1" t="n">
        <v>25</v>
      </c>
      <c r="G216" s="1" t="n">
        <v>1</v>
      </c>
      <c r="H216" s="1" t="n">
        <v>9</v>
      </c>
      <c r="I216" s="8" t="n">
        <v>1548188</v>
      </c>
      <c r="J216" s="1" t="n">
        <v>4</v>
      </c>
      <c r="K216" s="1" t="s">
        <v>120</v>
      </c>
      <c r="L216" s="1" t="n">
        <v>5</v>
      </c>
      <c r="O216" s="1" t="n">
        <v>2</v>
      </c>
      <c r="P216" s="1" t="n">
        <f aca="false">SUM(M216:O216)</f>
        <v>2</v>
      </c>
      <c r="W216" s="1" t="n">
        <f aca="false">SUM(Q216:V216)</f>
        <v>0</v>
      </c>
      <c r="AC216" s="9"/>
      <c r="AF216" s="9" t="n">
        <f aca="false">SUM(Z216:AE216)</f>
        <v>0</v>
      </c>
      <c r="AG216" s="10"/>
      <c r="AH216" s="11"/>
      <c r="AI216" s="11"/>
      <c r="AJ216" s="11"/>
      <c r="AK216" s="11"/>
      <c r="AL216" s="11"/>
      <c r="AM216" s="11"/>
      <c r="AN216" s="11" t="n">
        <f aca="false">SUM(AH216:AM216)</f>
        <v>0</v>
      </c>
      <c r="AO216" s="1"/>
      <c r="AP216" s="1"/>
      <c r="AQ216" s="1"/>
      <c r="AR216" s="1"/>
    </row>
    <row r="217" customFormat="false" ht="13.8" hidden="false" customHeight="false" outlineLevel="0" collapsed="false">
      <c r="A217" s="1" t="s">
        <v>319</v>
      </c>
      <c r="B217" s="1" t="n">
        <v>33</v>
      </c>
      <c r="C217" s="1" t="s">
        <v>301</v>
      </c>
      <c r="D217" s="1" t="s">
        <v>42</v>
      </c>
      <c r="E217" s="1" t="s">
        <v>302</v>
      </c>
      <c r="F217" s="1" t="n">
        <v>1</v>
      </c>
      <c r="G217" s="1" t="n">
        <v>1</v>
      </c>
      <c r="H217" s="1" t="n">
        <v>9</v>
      </c>
      <c r="I217" s="8" t="n">
        <v>637177</v>
      </c>
      <c r="J217" s="1" t="n">
        <v>3</v>
      </c>
      <c r="K217" s="1" t="s">
        <v>46</v>
      </c>
      <c r="L217" s="1" t="n">
        <v>4</v>
      </c>
      <c r="P217" s="1" t="n">
        <f aca="false">SUM(M217:O217)</f>
        <v>0</v>
      </c>
      <c r="W217" s="1" t="n">
        <f aca="false">SUM(Q217:V217)</f>
        <v>0</v>
      </c>
      <c r="AF217" s="9" t="n">
        <f aca="false">SUM(Z217:AE217)</f>
        <v>0</v>
      </c>
      <c r="AG217" s="10"/>
      <c r="AH217" s="11"/>
      <c r="AI217" s="11"/>
      <c r="AJ217" s="11"/>
      <c r="AK217" s="11"/>
      <c r="AL217" s="11"/>
      <c r="AM217" s="11"/>
      <c r="AN217" s="11" t="n">
        <f aca="false">SUM(AH217:AM217)</f>
        <v>0</v>
      </c>
      <c r="AO217" s="1"/>
      <c r="AP217" s="1"/>
      <c r="AQ217" s="1"/>
      <c r="AR217" s="1"/>
    </row>
    <row r="218" customFormat="false" ht="13.8" hidden="false" customHeight="false" outlineLevel="0" collapsed="false">
      <c r="A218" s="1" t="s">
        <v>320</v>
      </c>
      <c r="B218" s="1" t="n">
        <v>774</v>
      </c>
      <c r="C218" s="1" t="s">
        <v>301</v>
      </c>
      <c r="D218" s="1" t="s">
        <v>73</v>
      </c>
      <c r="E218" s="1" t="s">
        <v>302</v>
      </c>
      <c r="F218" s="1" t="n">
        <v>1</v>
      </c>
      <c r="G218" s="1" t="n">
        <v>1</v>
      </c>
      <c r="H218" s="1" t="n">
        <v>12</v>
      </c>
      <c r="I218" s="8" t="n">
        <v>1444217</v>
      </c>
      <c r="J218" s="1" t="n">
        <v>1</v>
      </c>
      <c r="K218" s="1" t="s">
        <v>51</v>
      </c>
      <c r="L218" s="1" t="n">
        <v>1</v>
      </c>
      <c r="P218" s="1" t="n">
        <f aca="false">SUM(M218:O218)</f>
        <v>0</v>
      </c>
      <c r="W218" s="1" t="n">
        <f aca="false">SUM(Q218:V218)</f>
        <v>0</v>
      </c>
      <c r="AF218" s="9" t="n">
        <f aca="false">SUM(Z218:AE218)</f>
        <v>0</v>
      </c>
      <c r="AG218" s="10"/>
      <c r="AH218" s="11"/>
      <c r="AI218" s="11"/>
      <c r="AJ218" s="11"/>
      <c r="AK218" s="11"/>
      <c r="AL218" s="11"/>
      <c r="AM218" s="11"/>
      <c r="AN218" s="11" t="n">
        <f aca="false">SUM(AH218:AM218)</f>
        <v>0</v>
      </c>
      <c r="AO218" s="1"/>
      <c r="AP218" s="1"/>
      <c r="AQ218" s="1"/>
      <c r="AR218" s="1"/>
    </row>
    <row r="219" customFormat="false" ht="13.8" hidden="false" customHeight="false" outlineLevel="0" collapsed="false">
      <c r="A219" s="1" t="s">
        <v>321</v>
      </c>
      <c r="B219" s="1" t="n">
        <v>18</v>
      </c>
      <c r="C219" s="1" t="s">
        <v>301</v>
      </c>
      <c r="D219" s="1" t="s">
        <v>42</v>
      </c>
      <c r="E219" s="1" t="s">
        <v>302</v>
      </c>
      <c r="F219" s="1" t="n">
        <v>11</v>
      </c>
      <c r="G219" s="1" t="n">
        <v>1</v>
      </c>
      <c r="H219" s="1" t="n">
        <v>12</v>
      </c>
      <c r="I219" s="8" t="n">
        <v>1372473</v>
      </c>
      <c r="J219" s="1" t="n">
        <v>4</v>
      </c>
      <c r="K219" s="1" t="s">
        <v>96</v>
      </c>
      <c r="L219" s="1" t="n">
        <v>6</v>
      </c>
      <c r="O219" s="1" t="n">
        <v>1</v>
      </c>
      <c r="P219" s="1" t="n">
        <f aca="false">SUM(M219:O219)</f>
        <v>1</v>
      </c>
      <c r="W219" s="1" t="n">
        <f aca="false">SUM(Q219:V219)</f>
        <v>0</v>
      </c>
      <c r="X219" s="1" t="n">
        <v>10</v>
      </c>
      <c r="AD219" s="9"/>
      <c r="AF219" s="9" t="n">
        <f aca="false">SUM(Z219:AE219)</f>
        <v>0</v>
      </c>
      <c r="AG219" s="10"/>
      <c r="AH219" s="11"/>
      <c r="AI219" s="11"/>
      <c r="AJ219" s="11"/>
      <c r="AK219" s="11"/>
      <c r="AL219" s="11"/>
      <c r="AM219" s="11"/>
      <c r="AN219" s="11" t="n">
        <f aca="false">SUM(AH219:AM219)</f>
        <v>0</v>
      </c>
      <c r="AO219" s="1"/>
      <c r="AP219" s="1"/>
      <c r="AQ219" s="1"/>
      <c r="AR219" s="1"/>
    </row>
    <row r="220" customFormat="false" ht="13.8" hidden="false" customHeight="false" outlineLevel="0" collapsed="false">
      <c r="A220" s="1" t="s">
        <v>322</v>
      </c>
      <c r="B220" s="1" t="n">
        <v>708</v>
      </c>
      <c r="C220" s="1" t="s">
        <v>301</v>
      </c>
      <c r="D220" s="1" t="s">
        <v>73</v>
      </c>
      <c r="E220" s="1" t="s">
        <v>302</v>
      </c>
      <c r="G220" s="1" t="n">
        <v>1</v>
      </c>
      <c r="H220" s="1" t="n">
        <v>1</v>
      </c>
      <c r="I220" s="8" t="n">
        <v>126858</v>
      </c>
      <c r="J220" s="1" t="n">
        <v>2</v>
      </c>
      <c r="K220" s="1" t="s">
        <v>84</v>
      </c>
      <c r="L220" s="1" t="n">
        <v>1</v>
      </c>
      <c r="P220" s="1" t="n">
        <f aca="false">SUM(M220:O220)</f>
        <v>0</v>
      </c>
      <c r="W220" s="1" t="n">
        <f aca="false">SUM(Q220:V220)</f>
        <v>0</v>
      </c>
      <c r="Y220" s="1" t="n">
        <v>1</v>
      </c>
      <c r="AC220" s="9"/>
      <c r="AF220" s="9" t="n">
        <f aca="false">SUM(Z220:AE220)</f>
        <v>0</v>
      </c>
      <c r="AG220" s="10"/>
      <c r="AH220" s="11"/>
      <c r="AI220" s="11"/>
      <c r="AJ220" s="11"/>
      <c r="AK220" s="11"/>
      <c r="AL220" s="11"/>
      <c r="AM220" s="11"/>
      <c r="AN220" s="11" t="n">
        <f aca="false">SUM(AH220:AM220)</f>
        <v>0</v>
      </c>
      <c r="AO220" s="1"/>
      <c r="AP220" s="1"/>
      <c r="AQ220" s="1"/>
      <c r="AR220" s="1"/>
    </row>
    <row r="221" customFormat="false" ht="13.8" hidden="false" customHeight="false" outlineLevel="0" collapsed="false">
      <c r="A221" s="1" t="s">
        <v>323</v>
      </c>
      <c r="B221" s="1" t="n">
        <v>460</v>
      </c>
      <c r="C221" s="1" t="s">
        <v>301</v>
      </c>
      <c r="D221" s="1" t="s">
        <v>73</v>
      </c>
      <c r="E221" s="1" t="s">
        <v>302</v>
      </c>
      <c r="F221" s="1" t="n">
        <v>4</v>
      </c>
      <c r="G221" s="1" t="n">
        <v>1</v>
      </c>
      <c r="H221" s="1" t="n">
        <v>11</v>
      </c>
      <c r="I221" s="8" t="n">
        <v>2346698</v>
      </c>
      <c r="J221" s="1" t="n">
        <v>2</v>
      </c>
      <c r="K221" s="1" t="s">
        <v>46</v>
      </c>
      <c r="L221" s="1" t="n">
        <v>4</v>
      </c>
      <c r="P221" s="1" t="n">
        <f aca="false">SUM(M221:O221)</f>
        <v>0</v>
      </c>
      <c r="W221" s="1" t="n">
        <f aca="false">SUM(Q221:V221)</f>
        <v>0</v>
      </c>
      <c r="Y221" s="1" t="n">
        <v>1</v>
      </c>
      <c r="AF221" s="9" t="n">
        <f aca="false">SUM(Z221:AE221)</f>
        <v>0</v>
      </c>
      <c r="AG221" s="10"/>
      <c r="AH221" s="11"/>
      <c r="AI221" s="11"/>
      <c r="AJ221" s="11"/>
      <c r="AK221" s="11"/>
      <c r="AL221" s="11"/>
      <c r="AM221" s="11"/>
      <c r="AN221" s="11" t="n">
        <f aca="false">SUM(AH221:AM221)</f>
        <v>0</v>
      </c>
      <c r="AO221" s="1"/>
      <c r="AP221" s="1"/>
      <c r="AQ221" s="1"/>
      <c r="AR221" s="1"/>
    </row>
    <row r="222" customFormat="false" ht="13.8" hidden="false" customHeight="false" outlineLevel="0" collapsed="false">
      <c r="A222" s="1" t="s">
        <v>324</v>
      </c>
      <c r="B222" s="1" t="n">
        <v>1</v>
      </c>
      <c r="C222" s="1" t="s">
        <v>301</v>
      </c>
      <c r="D222" s="1" t="s">
        <v>42</v>
      </c>
      <c r="E222" s="1" t="s">
        <v>302</v>
      </c>
      <c r="F222" s="1" t="n">
        <v>1</v>
      </c>
      <c r="G222" s="1" t="n">
        <v>1</v>
      </c>
      <c r="H222" s="1" t="n">
        <v>3</v>
      </c>
      <c r="I222" s="8" t="n">
        <v>323294</v>
      </c>
      <c r="J222" s="1" t="n">
        <v>2</v>
      </c>
      <c r="K222" s="1" t="s">
        <v>46</v>
      </c>
      <c r="L222" s="1" t="n">
        <v>4</v>
      </c>
      <c r="O222" s="1" t="n">
        <v>1</v>
      </c>
      <c r="P222" s="1" t="n">
        <f aca="false">SUM(M222:O222)</f>
        <v>1</v>
      </c>
      <c r="W222" s="1" t="n">
        <f aca="false">SUM(Q222:V222)</f>
        <v>0</v>
      </c>
      <c r="X222" s="1" t="n">
        <v>1</v>
      </c>
      <c r="Y222" s="1" t="n">
        <v>3</v>
      </c>
      <c r="AF222" s="9" t="n">
        <f aca="false">SUM(Z222:AE222)</f>
        <v>0</v>
      </c>
      <c r="AG222" s="10"/>
      <c r="AH222" s="11"/>
      <c r="AI222" s="11"/>
      <c r="AJ222" s="11"/>
      <c r="AK222" s="11"/>
      <c r="AL222" s="11"/>
      <c r="AM222" s="11"/>
      <c r="AN222" s="11" t="n">
        <f aca="false">SUM(AH222:AM222)</f>
        <v>0</v>
      </c>
      <c r="AO222" s="1"/>
      <c r="AP222" s="1"/>
      <c r="AQ222" s="1"/>
      <c r="AR222" s="1"/>
    </row>
    <row r="223" customFormat="false" ht="13.8" hidden="false" customHeight="false" outlineLevel="0" collapsed="false">
      <c r="A223" s="1" t="s">
        <v>325</v>
      </c>
      <c r="B223" s="1" t="n">
        <v>776</v>
      </c>
      <c r="C223" s="1" t="s">
        <v>301</v>
      </c>
      <c r="D223" s="1" t="s">
        <v>73</v>
      </c>
      <c r="E223" s="1" t="s">
        <v>302</v>
      </c>
      <c r="F223" s="1" t="n">
        <v>1</v>
      </c>
      <c r="G223" s="1" t="n">
        <v>1</v>
      </c>
      <c r="H223" s="1" t="n">
        <v>3</v>
      </c>
      <c r="I223" s="8" t="n">
        <v>1353213</v>
      </c>
      <c r="J223" s="1" t="n">
        <v>2</v>
      </c>
      <c r="K223" s="1" t="s">
        <v>51</v>
      </c>
      <c r="L223" s="1" t="n">
        <v>1</v>
      </c>
      <c r="P223" s="1" t="n">
        <f aca="false">SUM(M223:O223)</f>
        <v>0</v>
      </c>
      <c r="W223" s="1" t="n">
        <f aca="false">SUM(Q223:V223)</f>
        <v>0</v>
      </c>
      <c r="Y223" s="1" t="n">
        <v>1</v>
      </c>
      <c r="AF223" s="9" t="n">
        <f aca="false">SUM(Z223:AE223)</f>
        <v>0</v>
      </c>
      <c r="AG223" s="10"/>
      <c r="AH223" s="11"/>
      <c r="AI223" s="11"/>
      <c r="AJ223" s="11"/>
      <c r="AK223" s="11"/>
      <c r="AL223" s="11"/>
      <c r="AM223" s="11"/>
      <c r="AN223" s="11" t="n">
        <f aca="false">SUM(AH223:AM223)</f>
        <v>0</v>
      </c>
      <c r="AO223" s="1"/>
      <c r="AP223" s="1"/>
      <c r="AQ223" s="1"/>
      <c r="AR223" s="1"/>
    </row>
    <row r="224" customFormat="false" ht="13.8" hidden="false" customHeight="false" outlineLevel="0" collapsed="false">
      <c r="A224" s="1" t="s">
        <v>326</v>
      </c>
      <c r="B224" s="1" t="n">
        <v>554</v>
      </c>
      <c r="C224" s="1" t="s">
        <v>301</v>
      </c>
      <c r="D224" s="1" t="s">
        <v>73</v>
      </c>
      <c r="E224" s="1" t="s">
        <v>302</v>
      </c>
      <c r="F224" s="1" t="n">
        <v>5</v>
      </c>
      <c r="G224" s="1" t="n">
        <v>1</v>
      </c>
      <c r="H224" s="1" t="n">
        <v>5</v>
      </c>
      <c r="I224" s="8" t="n">
        <v>548466</v>
      </c>
      <c r="J224" s="1" t="n">
        <v>2</v>
      </c>
      <c r="K224" s="1" t="s">
        <v>44</v>
      </c>
      <c r="L224" s="1" t="n">
        <v>2</v>
      </c>
      <c r="P224" s="1" t="n">
        <f aca="false">SUM(M224:O224)</f>
        <v>0</v>
      </c>
      <c r="W224" s="1" t="n">
        <f aca="false">SUM(Q224:V224)</f>
        <v>0</v>
      </c>
      <c r="X224" s="1" t="n">
        <v>1</v>
      </c>
      <c r="AF224" s="9" t="n">
        <f aca="false">SUM(Z224:AE224)</f>
        <v>0</v>
      </c>
      <c r="AG224" s="10"/>
      <c r="AH224" s="11"/>
      <c r="AI224" s="11"/>
      <c r="AJ224" s="11"/>
      <c r="AK224" s="11"/>
      <c r="AL224" s="11"/>
      <c r="AM224" s="11"/>
      <c r="AN224" s="11" t="n">
        <f aca="false">SUM(AH224:AM224)</f>
        <v>0</v>
      </c>
      <c r="AO224" s="1"/>
      <c r="AP224" s="1"/>
      <c r="AQ224" s="1"/>
      <c r="AR224" s="1"/>
    </row>
    <row r="225" customFormat="false" ht="13.8" hidden="false" customHeight="false" outlineLevel="0" collapsed="false">
      <c r="A225" s="1" t="s">
        <v>327</v>
      </c>
      <c r="B225" s="1" t="n">
        <v>680</v>
      </c>
      <c r="C225" s="1" t="s">
        <v>301</v>
      </c>
      <c r="D225" s="1" t="s">
        <v>73</v>
      </c>
      <c r="E225" s="1" t="s">
        <v>302</v>
      </c>
      <c r="F225" s="1" t="n">
        <v>3</v>
      </c>
      <c r="G225" s="1" t="n">
        <v>1</v>
      </c>
      <c r="H225" s="1" t="n">
        <v>13</v>
      </c>
      <c r="I225" s="8" t="n">
        <v>324506</v>
      </c>
      <c r="J225" s="1" t="n">
        <v>1</v>
      </c>
      <c r="K225" s="1" t="s">
        <v>76</v>
      </c>
      <c r="L225" s="1" t="n">
        <v>0</v>
      </c>
      <c r="P225" s="1" t="n">
        <f aca="false">SUM(M225:O225)</f>
        <v>0</v>
      </c>
      <c r="W225" s="1" t="n">
        <f aca="false">SUM(Q225:V225)</f>
        <v>0</v>
      </c>
      <c r="AF225" s="9" t="n">
        <f aca="false">SUM(Z225:AE225)</f>
        <v>0</v>
      </c>
      <c r="AG225" s="10"/>
      <c r="AH225" s="11"/>
      <c r="AI225" s="11"/>
      <c r="AJ225" s="11"/>
      <c r="AK225" s="11"/>
      <c r="AL225" s="11"/>
      <c r="AM225" s="11"/>
      <c r="AN225" s="11" t="n">
        <f aca="false">SUM(AH225:AM225)</f>
        <v>0</v>
      </c>
      <c r="AO225" s="1"/>
      <c r="AP225" s="1"/>
      <c r="AQ225" s="1"/>
      <c r="AR225" s="1"/>
    </row>
    <row r="226" customFormat="false" ht="13.8" hidden="false" customHeight="false" outlineLevel="0" collapsed="false">
      <c r="A226" s="1" t="s">
        <v>328</v>
      </c>
      <c r="B226" s="1" t="n">
        <v>660</v>
      </c>
      <c r="C226" s="1" t="s">
        <v>301</v>
      </c>
      <c r="D226" s="1" t="s">
        <v>73</v>
      </c>
      <c r="E226" s="1" t="s">
        <v>302</v>
      </c>
      <c r="F226" s="1" t="n">
        <v>1</v>
      </c>
      <c r="G226" s="1" t="n">
        <v>1</v>
      </c>
      <c r="H226" s="1" t="n">
        <v>8</v>
      </c>
      <c r="I226" s="8" t="n">
        <v>1138309</v>
      </c>
      <c r="J226" s="1" t="n">
        <v>1</v>
      </c>
      <c r="K226" s="1" t="s">
        <v>51</v>
      </c>
      <c r="L226" s="1" t="n">
        <v>1</v>
      </c>
      <c r="P226" s="1" t="n">
        <f aca="false">SUM(M226:O226)</f>
        <v>0</v>
      </c>
      <c r="S226" s="1" t="n">
        <v>3</v>
      </c>
      <c r="W226" s="1" t="n">
        <f aca="false">SUM(Q226:V226)</f>
        <v>3</v>
      </c>
      <c r="AB226" s="9" t="n">
        <f aca="false">(S226)*(1+(J226)*0.2)</f>
        <v>3.6</v>
      </c>
      <c r="AF226" s="9" t="n">
        <f aca="false">SUM(Z226:AE226)</f>
        <v>3.6</v>
      </c>
      <c r="AG226" s="10" t="s">
        <v>53</v>
      </c>
      <c r="AH226" s="11"/>
      <c r="AI226" s="11"/>
      <c r="AJ226" s="11" t="n">
        <f aca="false">IF(AG226="yes",AB226*1.2,AB226)</f>
        <v>3.6</v>
      </c>
      <c r="AK226" s="11"/>
      <c r="AL226" s="11"/>
      <c r="AM226" s="11"/>
      <c r="AN226" s="11" t="n">
        <f aca="false">SUM(AH226:AM226)</f>
        <v>3.6</v>
      </c>
      <c r="AO226" s="1"/>
      <c r="AP226" s="1"/>
      <c r="AQ226" s="1"/>
      <c r="AR226" s="1"/>
    </row>
    <row r="227" customFormat="false" ht="13.8" hidden="false" customHeight="false" outlineLevel="0" collapsed="false">
      <c r="A227" s="1" t="s">
        <v>329</v>
      </c>
      <c r="B227" s="1" t="n">
        <v>17</v>
      </c>
      <c r="C227" s="1" t="s">
        <v>301</v>
      </c>
      <c r="D227" s="1" t="s">
        <v>42</v>
      </c>
      <c r="E227" s="1" t="s">
        <v>302</v>
      </c>
      <c r="F227" s="1" t="n">
        <v>10</v>
      </c>
      <c r="G227" s="1" t="n">
        <v>1</v>
      </c>
      <c r="H227" s="1" t="n">
        <v>10</v>
      </c>
      <c r="I227" s="8" t="n">
        <v>1519352</v>
      </c>
      <c r="J227" s="1" t="n">
        <v>4</v>
      </c>
      <c r="K227" s="1" t="s">
        <v>96</v>
      </c>
      <c r="L227" s="1" t="n">
        <v>6</v>
      </c>
      <c r="O227" s="1" t="n">
        <v>1</v>
      </c>
      <c r="P227" s="1" t="n">
        <f aca="false">SUM(M227:O227)</f>
        <v>1</v>
      </c>
      <c r="U227" s="1" t="n">
        <v>28</v>
      </c>
      <c r="W227" s="1" t="n">
        <f aca="false">SUM(Q227:V227)</f>
        <v>28</v>
      </c>
      <c r="X227" s="1" t="n">
        <v>5</v>
      </c>
      <c r="AC227" s="9"/>
      <c r="AD227" s="9" t="n">
        <f aca="false">(U227)*(1+(J227)*0.2)</f>
        <v>50.4</v>
      </c>
      <c r="AF227" s="9" t="n">
        <f aca="false">SUM(Z227:AE227)</f>
        <v>50.4</v>
      </c>
      <c r="AG227" s="10" t="s">
        <v>53</v>
      </c>
      <c r="AH227" s="11"/>
      <c r="AI227" s="11"/>
      <c r="AJ227" s="11"/>
      <c r="AK227" s="11"/>
      <c r="AL227" s="11" t="n">
        <f aca="false">IF(AG227="yes",AD227*1.2,AD227)</f>
        <v>50.4</v>
      </c>
      <c r="AM227" s="11"/>
      <c r="AN227" s="11" t="n">
        <f aca="false">SUM(AH227:AM227)</f>
        <v>50.4</v>
      </c>
      <c r="AO227" s="1"/>
      <c r="AP227" s="1"/>
      <c r="AQ227" s="1"/>
      <c r="AR227" s="1"/>
    </row>
    <row r="228" customFormat="false" ht="13.8" hidden="false" customHeight="false" outlineLevel="0" collapsed="false">
      <c r="A228" s="1" t="s">
        <v>330</v>
      </c>
      <c r="B228" s="1" t="n">
        <v>694</v>
      </c>
      <c r="C228" s="1" t="s">
        <v>301</v>
      </c>
      <c r="D228" s="1" t="s">
        <v>73</v>
      </c>
      <c r="E228" s="1" t="s">
        <v>302</v>
      </c>
      <c r="F228" s="1" t="n">
        <v>1</v>
      </c>
      <c r="G228" s="1" t="n">
        <v>1</v>
      </c>
      <c r="H228" s="1" t="n">
        <v>3</v>
      </c>
      <c r="I228" s="8" t="n">
        <v>444832</v>
      </c>
      <c r="J228" s="1" t="n">
        <v>2</v>
      </c>
      <c r="K228" s="1" t="s">
        <v>44</v>
      </c>
      <c r="L228" s="1" t="n">
        <v>2</v>
      </c>
      <c r="P228" s="1" t="n">
        <f aca="false">SUM(M228:O228)</f>
        <v>0</v>
      </c>
      <c r="W228" s="1" t="n">
        <f aca="false">SUM(Q228:V228)</f>
        <v>0</v>
      </c>
      <c r="X228" s="1" t="n">
        <v>1</v>
      </c>
      <c r="Y228" s="1" t="n">
        <v>4</v>
      </c>
      <c r="AF228" s="9" t="n">
        <f aca="false">SUM(Z228:AE228)</f>
        <v>0</v>
      </c>
      <c r="AG228" s="10"/>
      <c r="AH228" s="11"/>
      <c r="AI228" s="11"/>
      <c r="AJ228" s="11"/>
      <c r="AK228" s="11"/>
      <c r="AL228" s="11"/>
      <c r="AM228" s="11"/>
      <c r="AN228" s="11" t="n">
        <f aca="false">SUM(AH228:AM228)</f>
        <v>0</v>
      </c>
      <c r="AO228" s="1"/>
      <c r="AP228" s="1"/>
      <c r="AQ228" s="1"/>
      <c r="AR228" s="1"/>
    </row>
    <row r="229" customFormat="false" ht="13.8" hidden="false" customHeight="false" outlineLevel="0" collapsed="false">
      <c r="A229" s="1" t="s">
        <v>331</v>
      </c>
      <c r="B229" s="1" t="n">
        <v>310</v>
      </c>
      <c r="C229" s="1" t="s">
        <v>301</v>
      </c>
      <c r="D229" s="1" t="s">
        <v>73</v>
      </c>
      <c r="E229" s="1" t="s">
        <v>302</v>
      </c>
      <c r="F229" s="1" t="n">
        <v>1</v>
      </c>
      <c r="G229" s="1" t="n">
        <v>1</v>
      </c>
      <c r="H229" s="1" t="n">
        <v>2</v>
      </c>
      <c r="I229" s="8" t="n">
        <v>47399</v>
      </c>
      <c r="J229" s="1" t="n">
        <v>1</v>
      </c>
      <c r="K229" s="1" t="s">
        <v>51</v>
      </c>
      <c r="L229" s="1" t="n">
        <v>1</v>
      </c>
      <c r="P229" s="1" t="n">
        <f aca="false">SUM(M229:O229)</f>
        <v>0</v>
      </c>
      <c r="W229" s="1" t="n">
        <f aca="false">SUM(Q229:V229)</f>
        <v>0</v>
      </c>
      <c r="Y229" s="1" t="n">
        <v>1</v>
      </c>
      <c r="AE229" s="20"/>
      <c r="AF229" s="9" t="n">
        <f aca="false">SUM(Z229:AE229)</f>
        <v>0</v>
      </c>
      <c r="AG229" s="10"/>
      <c r="AH229" s="11"/>
      <c r="AI229" s="11"/>
      <c r="AJ229" s="11"/>
      <c r="AK229" s="11"/>
      <c r="AL229" s="11"/>
      <c r="AM229" s="11"/>
      <c r="AN229" s="11" t="n">
        <f aca="false">SUM(AH229:AM229)</f>
        <v>0</v>
      </c>
      <c r="AO229" s="1"/>
      <c r="AP229" s="1"/>
      <c r="AQ229" s="1"/>
      <c r="AR229" s="1"/>
    </row>
    <row r="230" customFormat="false" ht="13.8" hidden="false" customHeight="false" outlineLevel="0" collapsed="false">
      <c r="A230" s="1" t="s">
        <v>332</v>
      </c>
      <c r="B230" s="1" t="n">
        <v>320</v>
      </c>
      <c r="C230" s="1" t="s">
        <v>301</v>
      </c>
      <c r="D230" s="1" t="s">
        <v>73</v>
      </c>
      <c r="E230" s="1" t="s">
        <v>302</v>
      </c>
      <c r="G230" s="1" t="n">
        <v>1</v>
      </c>
      <c r="H230" s="1" t="n">
        <v>1</v>
      </c>
      <c r="I230" s="8" t="n">
        <v>286760</v>
      </c>
      <c r="J230" s="1" t="n">
        <v>3</v>
      </c>
      <c r="K230" s="1" t="s">
        <v>295</v>
      </c>
      <c r="L230" s="1" t="n">
        <v>0</v>
      </c>
      <c r="P230" s="1" t="n">
        <f aca="false">SUM(M230:O230)</f>
        <v>0</v>
      </c>
      <c r="W230" s="1" t="n">
        <f aca="false">SUM(Q230:V230)</f>
        <v>0</v>
      </c>
      <c r="Y230" s="1" t="n">
        <v>1</v>
      </c>
      <c r="AE230" s="20"/>
      <c r="AF230" s="9" t="n">
        <f aca="false">SUM(Z230:AE230)</f>
        <v>0</v>
      </c>
      <c r="AG230" s="10"/>
      <c r="AH230" s="11"/>
      <c r="AI230" s="11"/>
      <c r="AJ230" s="11"/>
      <c r="AK230" s="11"/>
      <c r="AL230" s="11"/>
      <c r="AM230" s="11"/>
      <c r="AN230" s="11" t="n">
        <f aca="false">SUM(AH230:AM230)</f>
        <v>0</v>
      </c>
      <c r="AO230" s="1"/>
      <c r="AP230" s="1"/>
      <c r="AQ230" s="1"/>
      <c r="AR230" s="1"/>
    </row>
    <row r="231" customFormat="false" ht="13.8" hidden="false" customHeight="false" outlineLevel="0" collapsed="false">
      <c r="A231" s="1" t="s">
        <v>333</v>
      </c>
      <c r="B231" s="1" t="n">
        <v>268</v>
      </c>
      <c r="C231" s="1" t="s">
        <v>301</v>
      </c>
      <c r="D231" s="1" t="s">
        <v>73</v>
      </c>
      <c r="E231" s="1" t="s">
        <v>302</v>
      </c>
      <c r="F231" s="1" t="n">
        <v>1</v>
      </c>
      <c r="G231" s="1" t="n">
        <v>1</v>
      </c>
      <c r="H231" s="1" t="n">
        <v>2</v>
      </c>
      <c r="I231" s="8" t="n">
        <v>85336</v>
      </c>
      <c r="J231" s="1" t="n">
        <v>2</v>
      </c>
      <c r="K231" s="1" t="s">
        <v>295</v>
      </c>
      <c r="L231" s="1" t="n">
        <v>0</v>
      </c>
      <c r="P231" s="1" t="n">
        <f aca="false">SUM(M231:O231)</f>
        <v>0</v>
      </c>
      <c r="W231" s="1" t="n">
        <f aca="false">SUM(Q231:V231)</f>
        <v>0</v>
      </c>
      <c r="X231" s="1" t="n">
        <v>2</v>
      </c>
      <c r="Y231" s="1" t="n">
        <v>2</v>
      </c>
      <c r="AD231" s="9"/>
      <c r="AE231" s="20"/>
      <c r="AF231" s="9" t="n">
        <f aca="false">SUM(Z231:AE231)</f>
        <v>0</v>
      </c>
      <c r="AG231" s="10"/>
      <c r="AH231" s="11"/>
      <c r="AI231" s="11"/>
      <c r="AJ231" s="11"/>
      <c r="AK231" s="11"/>
      <c r="AL231" s="11"/>
      <c r="AM231" s="11"/>
      <c r="AN231" s="11" t="n">
        <f aca="false">SUM(AH231:AM231)</f>
        <v>0</v>
      </c>
      <c r="AO231" s="1"/>
      <c r="AP231" s="1"/>
      <c r="AQ231" s="1"/>
      <c r="AR231" s="1"/>
    </row>
    <row r="232" customFormat="false" ht="13.8" hidden="false" customHeight="false" outlineLevel="0" collapsed="false">
      <c r="A232" s="1" t="s">
        <v>334</v>
      </c>
      <c r="B232" s="1" t="n">
        <v>665</v>
      </c>
      <c r="C232" s="1" t="s">
        <v>301</v>
      </c>
      <c r="D232" s="1" t="s">
        <v>73</v>
      </c>
      <c r="E232" s="1" t="s">
        <v>302</v>
      </c>
      <c r="F232" s="1" t="n">
        <v>1</v>
      </c>
      <c r="G232" s="1" t="n">
        <v>1</v>
      </c>
      <c r="H232" s="1" t="n">
        <v>12</v>
      </c>
      <c r="I232" s="8" t="n">
        <v>428346</v>
      </c>
      <c r="J232" s="1" t="n">
        <v>2</v>
      </c>
      <c r="K232" s="1" t="s">
        <v>51</v>
      </c>
      <c r="L232" s="1" t="n">
        <v>1</v>
      </c>
      <c r="P232" s="1" t="n">
        <f aca="false">SUM(M232:O232)</f>
        <v>0</v>
      </c>
      <c r="W232" s="1" t="n">
        <f aca="false">SUM(Q232:V232)</f>
        <v>0</v>
      </c>
      <c r="AE232" s="20"/>
      <c r="AF232" s="9" t="n">
        <f aca="false">SUM(Z232:AE232)</f>
        <v>0</v>
      </c>
      <c r="AG232" s="10"/>
      <c r="AH232" s="11"/>
      <c r="AI232" s="11"/>
      <c r="AJ232" s="11"/>
      <c r="AK232" s="11"/>
      <c r="AL232" s="11"/>
      <c r="AM232" s="11"/>
      <c r="AN232" s="11" t="n">
        <f aca="false">SUM(AH232:AM232)</f>
        <v>0</v>
      </c>
      <c r="AO232" s="1"/>
      <c r="AP232" s="1"/>
      <c r="AQ232" s="1"/>
      <c r="AR232" s="1"/>
    </row>
    <row r="233" customFormat="false" ht="13.8" hidden="false" customHeight="false" outlineLevel="0" collapsed="false">
      <c r="A233" s="1" t="s">
        <v>335</v>
      </c>
      <c r="B233" s="1" t="n">
        <v>539</v>
      </c>
      <c r="C233" s="1" t="s">
        <v>301</v>
      </c>
      <c r="D233" s="1" t="s">
        <v>73</v>
      </c>
      <c r="E233" s="1" t="s">
        <v>302</v>
      </c>
      <c r="F233" s="1" t="n">
        <v>1</v>
      </c>
      <c r="G233" s="1" t="n">
        <v>1</v>
      </c>
      <c r="H233" s="1" t="n">
        <v>4</v>
      </c>
      <c r="I233" s="8" t="n">
        <v>410252</v>
      </c>
      <c r="J233" s="1" t="n">
        <v>2</v>
      </c>
      <c r="K233" s="1" t="s">
        <v>51</v>
      </c>
      <c r="L233" s="1" t="n">
        <v>1</v>
      </c>
      <c r="P233" s="1" t="n">
        <f aca="false">SUM(M233:O233)</f>
        <v>0</v>
      </c>
      <c r="W233" s="1" t="n">
        <f aca="false">SUM(Q233:V233)</f>
        <v>0</v>
      </c>
      <c r="Y233" s="1" t="n">
        <v>1</v>
      </c>
      <c r="AF233" s="9" t="n">
        <f aca="false">SUM(Z233:AE233)</f>
        <v>0</v>
      </c>
      <c r="AG233" s="10"/>
      <c r="AH233" s="11"/>
      <c r="AI233" s="11"/>
      <c r="AJ233" s="11"/>
      <c r="AK233" s="11"/>
      <c r="AL233" s="11"/>
      <c r="AM233" s="11"/>
      <c r="AN233" s="11" t="n">
        <f aca="false">SUM(AH233:AM233)</f>
        <v>0</v>
      </c>
      <c r="AO233" s="1"/>
      <c r="AP233" s="1"/>
      <c r="AQ233" s="1"/>
      <c r="AR233" s="1"/>
    </row>
    <row r="234" customFormat="false" ht="13.8" hidden="false" customHeight="false" outlineLevel="0" collapsed="false">
      <c r="A234" s="1" t="s">
        <v>336</v>
      </c>
      <c r="B234" s="1" t="n">
        <v>898</v>
      </c>
      <c r="C234" s="1" t="s">
        <v>301</v>
      </c>
      <c r="D234" s="1" t="s">
        <v>73</v>
      </c>
      <c r="E234" s="1" t="s">
        <v>302</v>
      </c>
      <c r="G234" s="1" t="n">
        <v>1</v>
      </c>
      <c r="H234" s="1" t="n">
        <v>5</v>
      </c>
      <c r="I234" s="8" t="n">
        <v>499327</v>
      </c>
      <c r="J234" s="1" t="n">
        <v>2</v>
      </c>
      <c r="K234" s="1" t="s">
        <v>76</v>
      </c>
      <c r="L234" s="1" t="n">
        <v>0</v>
      </c>
      <c r="P234" s="1" t="n">
        <f aca="false">SUM(M234:O234)</f>
        <v>0</v>
      </c>
      <c r="W234" s="1" t="n">
        <f aca="false">SUM(Q234:V234)</f>
        <v>0</v>
      </c>
      <c r="AF234" s="9" t="n">
        <f aca="false">SUM(Z234:AE234)</f>
        <v>0</v>
      </c>
      <c r="AG234" s="10"/>
      <c r="AH234" s="11"/>
      <c r="AI234" s="11"/>
      <c r="AJ234" s="11"/>
      <c r="AK234" s="11"/>
      <c r="AL234" s="11"/>
      <c r="AM234" s="11"/>
      <c r="AN234" s="11" t="n">
        <f aca="false">SUM(AH234:AM234)</f>
        <v>0</v>
      </c>
      <c r="AO234" s="1"/>
      <c r="AP234" s="1"/>
      <c r="AQ234" s="1"/>
      <c r="AR234" s="1"/>
    </row>
    <row r="235" customFormat="false" ht="13.8" hidden="false" customHeight="false" outlineLevel="0" collapsed="false">
      <c r="A235" s="1" t="s">
        <v>337</v>
      </c>
      <c r="B235" s="1" t="n">
        <v>728</v>
      </c>
      <c r="C235" s="1" t="s">
        <v>301</v>
      </c>
      <c r="D235" s="1" t="s">
        <v>73</v>
      </c>
      <c r="E235" s="1" t="s">
        <v>302</v>
      </c>
      <c r="G235" s="1" t="n">
        <v>1</v>
      </c>
      <c r="H235" s="1" t="n">
        <v>1</v>
      </c>
      <c r="I235" s="8" t="n">
        <v>200244</v>
      </c>
      <c r="J235" s="1" t="n">
        <v>2</v>
      </c>
      <c r="K235" s="1" t="s">
        <v>295</v>
      </c>
      <c r="L235" s="1" t="n">
        <v>0</v>
      </c>
      <c r="P235" s="1" t="n">
        <f aca="false">SUM(M235:O235)</f>
        <v>0</v>
      </c>
      <c r="W235" s="1" t="n">
        <f aca="false">SUM(Q235:V235)</f>
        <v>0</v>
      </c>
      <c r="Y235" s="1" t="n">
        <v>1</v>
      </c>
      <c r="AD235" s="9"/>
      <c r="AF235" s="9" t="n">
        <f aca="false">SUM(Z235:AE235)</f>
        <v>0</v>
      </c>
      <c r="AG235" s="10"/>
      <c r="AH235" s="11"/>
      <c r="AI235" s="11"/>
      <c r="AJ235" s="11"/>
      <c r="AK235" s="11"/>
      <c r="AL235" s="11"/>
      <c r="AM235" s="11"/>
      <c r="AN235" s="11" t="n">
        <f aca="false">SUM(AH235:AM235)</f>
        <v>0</v>
      </c>
      <c r="AO235" s="1"/>
      <c r="AP235" s="1"/>
      <c r="AQ235" s="1"/>
      <c r="AR235" s="1"/>
    </row>
    <row r="236" customFormat="false" ht="13.8" hidden="false" customHeight="false" outlineLevel="0" collapsed="false">
      <c r="A236" s="1" t="s">
        <v>338</v>
      </c>
      <c r="B236" s="1" t="n">
        <v>780</v>
      </c>
      <c r="C236" s="1" t="s">
        <v>301</v>
      </c>
      <c r="D236" s="1" t="s">
        <v>73</v>
      </c>
      <c r="E236" s="1" t="s">
        <v>302</v>
      </c>
      <c r="F236" s="1" t="n">
        <v>1</v>
      </c>
      <c r="G236" s="1" t="n">
        <v>1</v>
      </c>
      <c r="H236" s="1" t="n">
        <v>6</v>
      </c>
      <c r="I236" s="8" t="n">
        <v>195279</v>
      </c>
      <c r="J236" s="1" t="n">
        <v>2</v>
      </c>
      <c r="K236" s="1" t="s">
        <v>51</v>
      </c>
      <c r="L236" s="1" t="n">
        <v>1</v>
      </c>
      <c r="P236" s="1" t="n">
        <f aca="false">SUM(M236:O236)</f>
        <v>0</v>
      </c>
      <c r="W236" s="1" t="n">
        <f aca="false">SUM(Q236:V236)</f>
        <v>0</v>
      </c>
      <c r="Y236" s="1" t="n">
        <v>1</v>
      </c>
      <c r="AF236" s="9" t="n">
        <f aca="false">SUM(Z236:AE236)</f>
        <v>0</v>
      </c>
      <c r="AG236" s="10"/>
      <c r="AH236" s="11"/>
      <c r="AI236" s="11"/>
      <c r="AJ236" s="11"/>
      <c r="AK236" s="11"/>
      <c r="AL236" s="11"/>
      <c r="AM236" s="11"/>
      <c r="AN236" s="11" t="n">
        <f aca="false">SUM(AH236:AM236)</f>
        <v>0</v>
      </c>
      <c r="AO236" s="1"/>
      <c r="AP236" s="1"/>
      <c r="AQ236" s="1"/>
      <c r="AR236" s="1"/>
    </row>
    <row r="237" customFormat="false" ht="13.8" hidden="false" customHeight="false" outlineLevel="0" collapsed="false">
      <c r="A237" s="1" t="s">
        <v>339</v>
      </c>
      <c r="B237" s="1" t="n">
        <v>799</v>
      </c>
      <c r="C237" s="1" t="s">
        <v>301</v>
      </c>
      <c r="D237" s="1" t="s">
        <v>73</v>
      </c>
      <c r="E237" s="1" t="s">
        <v>302</v>
      </c>
      <c r="F237" s="1" t="n">
        <v>1</v>
      </c>
      <c r="G237" s="1" t="n">
        <v>1</v>
      </c>
      <c r="H237" s="1" t="n">
        <v>1</v>
      </c>
      <c r="I237" s="8" t="n">
        <v>234665</v>
      </c>
      <c r="J237" s="1" t="n">
        <v>1</v>
      </c>
      <c r="K237" s="1" t="s">
        <v>295</v>
      </c>
      <c r="L237" s="1" t="n">
        <v>0</v>
      </c>
      <c r="P237" s="1" t="n">
        <f aca="false">SUM(M237:O237)</f>
        <v>0</v>
      </c>
      <c r="W237" s="1" t="n">
        <f aca="false">SUM(Q237:V237)</f>
        <v>0</v>
      </c>
      <c r="AF237" s="9" t="n">
        <f aca="false">SUM(Z237:AE237)</f>
        <v>0</v>
      </c>
      <c r="AG237" s="10"/>
      <c r="AH237" s="11"/>
      <c r="AI237" s="11"/>
      <c r="AJ237" s="11"/>
      <c r="AK237" s="11"/>
      <c r="AL237" s="11"/>
      <c r="AM237" s="11"/>
      <c r="AN237" s="11" t="n">
        <f aca="false">SUM(AH237:AM237)</f>
        <v>0</v>
      </c>
      <c r="AO237" s="1"/>
      <c r="AP237" s="1"/>
      <c r="AQ237" s="1"/>
      <c r="AR237" s="1"/>
    </row>
    <row r="238" customFormat="false" ht="13.8" hidden="false" customHeight="false" outlineLevel="0" collapsed="false">
      <c r="A238" s="1" t="s">
        <v>340</v>
      </c>
      <c r="B238" s="1" t="n">
        <v>16</v>
      </c>
      <c r="C238" s="1" t="s">
        <v>301</v>
      </c>
      <c r="D238" s="1" t="s">
        <v>42</v>
      </c>
      <c r="E238" s="1" t="s">
        <v>302</v>
      </c>
      <c r="F238" s="1" t="n">
        <v>50</v>
      </c>
      <c r="G238" s="1" t="n">
        <v>1</v>
      </c>
      <c r="H238" s="1" t="n">
        <v>9</v>
      </c>
      <c r="I238" s="8" t="n">
        <v>7047092</v>
      </c>
      <c r="J238" s="1" t="n">
        <v>4</v>
      </c>
      <c r="K238" s="1" t="s">
        <v>109</v>
      </c>
      <c r="L238" s="1" t="n">
        <v>10</v>
      </c>
      <c r="M238" s="1" t="n">
        <v>4</v>
      </c>
      <c r="O238" s="1" t="n">
        <v>4</v>
      </c>
      <c r="P238" s="1" t="n">
        <f aca="false">SUM(M238:O238)</f>
        <v>8</v>
      </c>
      <c r="W238" s="1" t="n">
        <f aca="false">SUM(Q238:V238)</f>
        <v>0</v>
      </c>
      <c r="X238" s="1" t="n">
        <v>5</v>
      </c>
      <c r="AF238" s="9" t="n">
        <f aca="false">SUM(Z238:AE238)</f>
        <v>0</v>
      </c>
      <c r="AG238" s="10"/>
      <c r="AH238" s="11"/>
      <c r="AI238" s="11"/>
      <c r="AJ238" s="11"/>
      <c r="AK238" s="11"/>
      <c r="AL238" s="11"/>
      <c r="AM238" s="11"/>
      <c r="AN238" s="11" t="n">
        <f aca="false">SUM(AH238:AM238)</f>
        <v>0</v>
      </c>
      <c r="AO238" s="1"/>
      <c r="AP238" s="1"/>
      <c r="AQ238" s="1"/>
      <c r="AR238" s="1"/>
    </row>
    <row r="239" customFormat="false" ht="13.8" hidden="false" customHeight="false" outlineLevel="0" collapsed="false">
      <c r="A239" s="1" t="s">
        <v>341</v>
      </c>
      <c r="B239" s="1" t="n">
        <v>779</v>
      </c>
      <c r="C239" s="1" t="s">
        <v>301</v>
      </c>
      <c r="D239" s="1" t="s">
        <v>73</v>
      </c>
      <c r="E239" s="1" t="s">
        <v>302</v>
      </c>
      <c r="F239" s="1" t="n">
        <v>1</v>
      </c>
      <c r="G239" s="1" t="n">
        <v>1</v>
      </c>
      <c r="H239" s="1" t="n">
        <v>6</v>
      </c>
      <c r="I239" s="8" t="n">
        <v>3855435</v>
      </c>
      <c r="J239" s="1" t="n">
        <v>2</v>
      </c>
      <c r="K239" s="1" t="s">
        <v>51</v>
      </c>
      <c r="L239" s="1" t="n">
        <v>1</v>
      </c>
      <c r="P239" s="1" t="n">
        <f aca="false">SUM(M239:O239)</f>
        <v>0</v>
      </c>
      <c r="W239" s="1" t="n">
        <f aca="false">SUM(Q239:V239)</f>
        <v>0</v>
      </c>
      <c r="Y239" s="1" t="n">
        <v>1</v>
      </c>
      <c r="AF239" s="9" t="n">
        <f aca="false">SUM(Z239:AE239)</f>
        <v>0</v>
      </c>
      <c r="AG239" s="10"/>
      <c r="AH239" s="11"/>
      <c r="AI239" s="11"/>
      <c r="AJ239" s="11"/>
      <c r="AK239" s="11"/>
      <c r="AL239" s="11"/>
      <c r="AM239" s="11"/>
      <c r="AN239" s="11" t="n">
        <f aca="false">SUM(AH239:AM239)</f>
        <v>0</v>
      </c>
      <c r="AO239" s="1"/>
      <c r="AP239" s="1"/>
      <c r="AQ239" s="1"/>
      <c r="AR239" s="1"/>
    </row>
    <row r="240" customFormat="false" ht="13.8" hidden="false" customHeight="false" outlineLevel="0" collapsed="false">
      <c r="A240" s="1" t="s">
        <v>342</v>
      </c>
      <c r="B240" s="1" t="n">
        <v>899</v>
      </c>
      <c r="C240" s="1" t="s">
        <v>301</v>
      </c>
      <c r="D240" s="1" t="s">
        <v>73</v>
      </c>
      <c r="E240" s="1" t="s">
        <v>302</v>
      </c>
      <c r="G240" s="1" t="n">
        <v>1</v>
      </c>
      <c r="H240" s="1" t="n">
        <v>6</v>
      </c>
      <c r="I240" s="8" t="n">
        <v>1165095</v>
      </c>
      <c r="J240" s="1" t="n">
        <v>2</v>
      </c>
      <c r="K240" s="1" t="s">
        <v>51</v>
      </c>
      <c r="L240" s="1" t="n">
        <v>1</v>
      </c>
      <c r="P240" s="1" t="n">
        <f aca="false">SUM(M240:O240)</f>
        <v>0</v>
      </c>
      <c r="W240" s="1" t="n">
        <f aca="false">SUM(Q240:V240)</f>
        <v>0</v>
      </c>
      <c r="AF240" s="9" t="n">
        <f aca="false">SUM(Z240:AE240)</f>
        <v>0</v>
      </c>
      <c r="AG240" s="10"/>
      <c r="AH240" s="11"/>
      <c r="AI240" s="11"/>
      <c r="AJ240" s="11"/>
      <c r="AK240" s="11"/>
      <c r="AL240" s="11"/>
      <c r="AM240" s="11"/>
      <c r="AN240" s="11" t="n">
        <f aca="false">SUM(AH240:AM240)</f>
        <v>0</v>
      </c>
      <c r="AO240" s="1"/>
      <c r="AP240" s="1"/>
      <c r="AQ240" s="1"/>
      <c r="AR240" s="1"/>
    </row>
    <row r="241" customFormat="false" ht="13.8" hidden="false" customHeight="false" outlineLevel="0" collapsed="false">
      <c r="A241" s="1" t="s">
        <v>343</v>
      </c>
      <c r="B241" s="1" t="n">
        <v>713</v>
      </c>
      <c r="C241" s="1" t="s">
        <v>301</v>
      </c>
      <c r="D241" s="1" t="s">
        <v>304</v>
      </c>
      <c r="E241" s="1" t="s">
        <v>302</v>
      </c>
      <c r="G241" s="1" t="n">
        <v>1</v>
      </c>
      <c r="H241" s="1" t="n">
        <v>1</v>
      </c>
      <c r="I241" s="8" t="n">
        <v>96</v>
      </c>
      <c r="J241" s="1" t="n">
        <v>1</v>
      </c>
      <c r="K241" s="1" t="s">
        <v>261</v>
      </c>
      <c r="L241" s="1" t="n">
        <v>0</v>
      </c>
      <c r="P241" s="1" t="n">
        <f aca="false">SUM(M241:O241)</f>
        <v>0</v>
      </c>
      <c r="W241" s="1" t="n">
        <f aca="false">SUM(Q241:V241)</f>
        <v>0</v>
      </c>
      <c r="Y241" s="1" t="n">
        <v>1</v>
      </c>
      <c r="AF241" s="9" t="n">
        <f aca="false">SUM(Z241:AE241)</f>
        <v>0</v>
      </c>
      <c r="AG241" s="10"/>
      <c r="AH241" s="11"/>
      <c r="AI241" s="11"/>
      <c r="AJ241" s="11"/>
      <c r="AK241" s="11"/>
      <c r="AL241" s="11"/>
      <c r="AM241" s="11"/>
      <c r="AN241" s="11" t="n">
        <f aca="false">SUM(AH241:AM241)</f>
        <v>0</v>
      </c>
      <c r="AO241" s="1"/>
      <c r="AP241" s="1"/>
      <c r="AQ241" s="1"/>
      <c r="AR241" s="1"/>
    </row>
    <row r="242" customFormat="false" ht="13.8" hidden="false" customHeight="false" outlineLevel="0" collapsed="false">
      <c r="A242" s="1" t="s">
        <v>344</v>
      </c>
      <c r="B242" s="1" t="n">
        <v>22</v>
      </c>
      <c r="C242" s="1" t="s">
        <v>301</v>
      </c>
      <c r="D242" s="1" t="s">
        <v>42</v>
      </c>
      <c r="E242" s="1" t="s">
        <v>302</v>
      </c>
      <c r="F242" s="1" t="n">
        <v>1</v>
      </c>
      <c r="G242" s="1" t="n">
        <v>1</v>
      </c>
      <c r="H242" s="1" t="n">
        <v>11</v>
      </c>
      <c r="I242" s="8" t="n">
        <v>1693264</v>
      </c>
      <c r="J242" s="1" t="n">
        <v>3</v>
      </c>
      <c r="K242" s="1" t="s">
        <v>46</v>
      </c>
      <c r="L242" s="1" t="n">
        <v>4</v>
      </c>
      <c r="O242" s="1" t="n">
        <v>2</v>
      </c>
      <c r="P242" s="1" t="n">
        <f aca="false">SUM(M242:O242)</f>
        <v>2</v>
      </c>
      <c r="R242" s="1" t="n">
        <v>50</v>
      </c>
      <c r="U242" s="1" t="n">
        <v>27</v>
      </c>
      <c r="W242" s="1" t="n">
        <f aca="false">SUM(Q242:V242)</f>
        <v>77</v>
      </c>
      <c r="X242" s="1" t="n">
        <v>2</v>
      </c>
      <c r="AA242" s="9" t="n">
        <f aca="false">(R242)*(1+(J242)*0.2)</f>
        <v>80</v>
      </c>
      <c r="AD242" s="9" t="n">
        <f aca="false">(U242)*(1+(J242)*0.2)</f>
        <v>43.2</v>
      </c>
      <c r="AE242" s="20"/>
      <c r="AF242" s="9" t="n">
        <f aca="false">SUM(Z242:AE242)</f>
        <v>123.2</v>
      </c>
      <c r="AG242" s="10" t="s">
        <v>47</v>
      </c>
      <c r="AH242" s="11"/>
      <c r="AI242" s="11" t="n">
        <f aca="false">IF(AG242="yes",AA242*1.2,AA242)</f>
        <v>96</v>
      </c>
      <c r="AJ242" s="11"/>
      <c r="AK242" s="11"/>
      <c r="AL242" s="11" t="n">
        <f aca="false">IF(AG242="yes",AD242*1.2,AD242)</f>
        <v>51.84</v>
      </c>
      <c r="AM242" s="11"/>
      <c r="AN242" s="11" t="n">
        <f aca="false">SUM(AH242:AM242)</f>
        <v>147.84</v>
      </c>
      <c r="AO242" s="1"/>
      <c r="AP242" s="1"/>
      <c r="AQ242" s="1"/>
      <c r="AR242" s="1"/>
    </row>
    <row r="243" customFormat="false" ht="13.8" hidden="false" customHeight="false" outlineLevel="0" collapsed="false">
      <c r="A243" s="1" t="s">
        <v>345</v>
      </c>
      <c r="B243" s="1" t="n">
        <v>670</v>
      </c>
      <c r="C243" s="1" t="s">
        <v>301</v>
      </c>
      <c r="D243" s="1" t="s">
        <v>73</v>
      </c>
      <c r="E243" s="1" t="s">
        <v>302</v>
      </c>
      <c r="F243" s="1" t="n">
        <v>1</v>
      </c>
      <c r="G243" s="1" t="n">
        <v>1</v>
      </c>
      <c r="H243" s="1" t="n">
        <v>33</v>
      </c>
      <c r="I243" s="8" t="n">
        <v>1185445</v>
      </c>
      <c r="J243" s="1" t="n">
        <v>1</v>
      </c>
      <c r="K243" s="1" t="s">
        <v>51</v>
      </c>
      <c r="L243" s="1" t="n">
        <v>1</v>
      </c>
      <c r="P243" s="1" t="n">
        <f aca="false">SUM(M243:O243)</f>
        <v>0</v>
      </c>
      <c r="W243" s="1" t="n">
        <f aca="false">SUM(Q243:V243)</f>
        <v>0</v>
      </c>
      <c r="AF243" s="9" t="n">
        <f aca="false">SUM(Z243:AE243)</f>
        <v>0</v>
      </c>
      <c r="AG243" s="10"/>
      <c r="AH243" s="11"/>
      <c r="AI243" s="11"/>
      <c r="AJ243" s="11"/>
      <c r="AK243" s="11"/>
      <c r="AL243" s="11"/>
      <c r="AM243" s="11"/>
      <c r="AN243" s="11" t="n">
        <f aca="false">SUM(AH243:AM243)</f>
        <v>0</v>
      </c>
      <c r="AO243" s="1"/>
      <c r="AP243" s="1"/>
      <c r="AQ243" s="1"/>
      <c r="AR243" s="1"/>
    </row>
    <row r="244" customFormat="false" ht="13.8" hidden="false" customHeight="false" outlineLevel="0" collapsed="false">
      <c r="A244" s="1" t="s">
        <v>346</v>
      </c>
      <c r="B244" s="1" t="n">
        <v>553</v>
      </c>
      <c r="C244" s="1" t="s">
        <v>301</v>
      </c>
      <c r="D244" s="1" t="s">
        <v>73</v>
      </c>
      <c r="E244" s="1" t="s">
        <v>302</v>
      </c>
      <c r="F244" s="1" t="n">
        <v>5</v>
      </c>
      <c r="G244" s="1" t="n">
        <v>1</v>
      </c>
      <c r="H244" s="1" t="n">
        <v>3</v>
      </c>
      <c r="I244" s="8" t="n">
        <v>1105348</v>
      </c>
      <c r="J244" s="1" t="n">
        <v>2</v>
      </c>
      <c r="K244" s="1" t="s">
        <v>46</v>
      </c>
      <c r="L244" s="1" t="n">
        <v>4</v>
      </c>
      <c r="O244" s="1" t="n">
        <v>1</v>
      </c>
      <c r="P244" s="1" t="n">
        <f aca="false">SUM(M244:O244)</f>
        <v>1</v>
      </c>
      <c r="W244" s="1" t="n">
        <f aca="false">SUM(Q244:V244)</f>
        <v>0</v>
      </c>
      <c r="X244" s="1" t="n">
        <v>5</v>
      </c>
      <c r="Y244" s="1" t="n">
        <v>3</v>
      </c>
      <c r="AF244" s="9" t="n">
        <f aca="false">SUM(Z244:AE244)</f>
        <v>0</v>
      </c>
      <c r="AG244" s="10"/>
      <c r="AH244" s="11"/>
      <c r="AI244" s="11"/>
      <c r="AJ244" s="11"/>
      <c r="AK244" s="11"/>
      <c r="AL244" s="11"/>
      <c r="AM244" s="11"/>
      <c r="AN244" s="11" t="n">
        <f aca="false">SUM(AH244:AM244)</f>
        <v>0</v>
      </c>
      <c r="AO244" s="1"/>
      <c r="AP244" s="1"/>
      <c r="AQ244" s="1"/>
      <c r="AR244" s="1"/>
    </row>
    <row r="245" customFormat="false" ht="13.8" hidden="false" customHeight="false" outlineLevel="0" collapsed="false">
      <c r="A245" s="1" t="s">
        <v>347</v>
      </c>
      <c r="B245" s="1" t="n">
        <v>25</v>
      </c>
      <c r="C245" s="1" t="s">
        <v>301</v>
      </c>
      <c r="D245" s="1" t="s">
        <v>42</v>
      </c>
      <c r="E245" s="1" t="s">
        <v>302</v>
      </c>
      <c r="F245" s="1" t="n">
        <v>5</v>
      </c>
      <c r="G245" s="1" t="n">
        <v>1</v>
      </c>
      <c r="H245" s="1" t="n">
        <v>13</v>
      </c>
      <c r="I245" s="8" t="n">
        <v>1345340</v>
      </c>
      <c r="J245" s="1" t="n">
        <v>3</v>
      </c>
      <c r="K245" s="1" t="s">
        <v>120</v>
      </c>
      <c r="L245" s="1" t="n">
        <v>5</v>
      </c>
      <c r="P245" s="1" t="n">
        <f aca="false">SUM(M245:O245)</f>
        <v>0</v>
      </c>
      <c r="W245" s="1" t="n">
        <f aca="false">SUM(Q245:V245)</f>
        <v>0</v>
      </c>
      <c r="AF245" s="9" t="n">
        <f aca="false">SUM(Z245:AE245)</f>
        <v>0</v>
      </c>
      <c r="AG245" s="10"/>
      <c r="AH245" s="11"/>
      <c r="AI245" s="11"/>
      <c r="AJ245" s="11"/>
      <c r="AK245" s="11"/>
      <c r="AL245" s="11"/>
      <c r="AM245" s="11"/>
      <c r="AN245" s="11" t="n">
        <f aca="false">SUM(AH245:AM245)</f>
        <v>0</v>
      </c>
      <c r="AO245" s="1"/>
      <c r="AP245" s="1"/>
      <c r="AQ245" s="1"/>
      <c r="AR245" s="1"/>
    </row>
    <row r="246" customFormat="false" ht="13.8" hidden="false" customHeight="false" outlineLevel="0" collapsed="false">
      <c r="A246" s="1" t="s">
        <v>348</v>
      </c>
      <c r="B246" s="1" t="n">
        <v>30</v>
      </c>
      <c r="C246" s="1" t="s">
        <v>301</v>
      </c>
      <c r="D246" s="1" t="s">
        <v>42</v>
      </c>
      <c r="E246" s="1" t="s">
        <v>302</v>
      </c>
      <c r="F246" s="1" t="n">
        <v>5</v>
      </c>
      <c r="G246" s="1" t="n">
        <v>1</v>
      </c>
      <c r="H246" s="1" t="n">
        <v>11</v>
      </c>
      <c r="I246" s="8" t="n">
        <v>1390095</v>
      </c>
      <c r="J246" s="1" t="n">
        <v>4</v>
      </c>
      <c r="K246" s="1" t="s">
        <v>96</v>
      </c>
      <c r="L246" s="1" t="n">
        <v>6</v>
      </c>
      <c r="N246" s="1" t="n">
        <v>1</v>
      </c>
      <c r="O246" s="1" t="n">
        <v>1</v>
      </c>
      <c r="P246" s="1" t="n">
        <f aca="false">SUM(M246:O246)</f>
        <v>2</v>
      </c>
      <c r="W246" s="1" t="n">
        <f aca="false">SUM(Q246:V246)</f>
        <v>0</v>
      </c>
      <c r="X246" s="1" t="n">
        <v>2</v>
      </c>
      <c r="AF246" s="9" t="n">
        <f aca="false">SUM(Z246:AE246)</f>
        <v>0</v>
      </c>
      <c r="AG246" s="10"/>
      <c r="AH246" s="11"/>
      <c r="AI246" s="11"/>
      <c r="AJ246" s="11"/>
      <c r="AK246" s="11"/>
      <c r="AL246" s="11"/>
      <c r="AM246" s="11"/>
      <c r="AN246" s="11" t="n">
        <f aca="false">SUM(AH246:AM246)</f>
        <v>0</v>
      </c>
      <c r="AO246" s="1"/>
      <c r="AP246" s="1"/>
      <c r="AQ246" s="1"/>
      <c r="AR246" s="1"/>
    </row>
    <row r="247" customFormat="false" ht="13.8" hidden="false" customHeight="false" outlineLevel="0" collapsed="false">
      <c r="A247" s="1" t="s">
        <v>349</v>
      </c>
      <c r="B247" s="1" t="n">
        <v>543</v>
      </c>
      <c r="C247" s="1" t="s">
        <v>301</v>
      </c>
      <c r="D247" s="1" t="s">
        <v>73</v>
      </c>
      <c r="E247" s="1" t="s">
        <v>302</v>
      </c>
      <c r="F247" s="1" t="n">
        <v>1</v>
      </c>
      <c r="G247" s="1" t="n">
        <v>1</v>
      </c>
      <c r="H247" s="1" t="n">
        <v>10</v>
      </c>
      <c r="I247" s="8" t="n">
        <v>3699121</v>
      </c>
      <c r="J247" s="1" t="n">
        <v>1</v>
      </c>
      <c r="K247" s="1" t="s">
        <v>44</v>
      </c>
      <c r="L247" s="1" t="n">
        <v>2</v>
      </c>
      <c r="P247" s="1" t="n">
        <f aca="false">SUM(M247:O247)</f>
        <v>0</v>
      </c>
      <c r="W247" s="1" t="n">
        <f aca="false">SUM(Q247:V247)</f>
        <v>0</v>
      </c>
      <c r="X247" s="1" t="n">
        <v>1</v>
      </c>
      <c r="Y247" s="1" t="n">
        <v>1</v>
      </c>
      <c r="AF247" s="9" t="n">
        <f aca="false">SUM(Z247:AE247)</f>
        <v>0</v>
      </c>
      <c r="AG247" s="10"/>
      <c r="AH247" s="11"/>
      <c r="AI247" s="11"/>
      <c r="AJ247" s="11"/>
      <c r="AK247" s="11"/>
      <c r="AL247" s="11"/>
      <c r="AM247" s="11"/>
      <c r="AN247" s="11" t="n">
        <f aca="false">SUM(AH247:AM247)</f>
        <v>0</v>
      </c>
      <c r="AO247" s="1"/>
      <c r="AP247" s="1"/>
      <c r="AQ247" s="1"/>
      <c r="AR247" s="1"/>
    </row>
    <row r="248" customFormat="false" ht="13.8" hidden="false" customHeight="false" outlineLevel="0" collapsed="false">
      <c r="A248" s="1" t="s">
        <v>350</v>
      </c>
      <c r="B248" s="1" t="n">
        <v>462</v>
      </c>
      <c r="C248" s="1" t="s">
        <v>301</v>
      </c>
      <c r="D248" s="1" t="s">
        <v>73</v>
      </c>
      <c r="E248" s="1" t="s">
        <v>302</v>
      </c>
      <c r="F248" s="1" t="n">
        <v>1</v>
      </c>
      <c r="G248" s="1" t="n">
        <v>1</v>
      </c>
      <c r="H248" s="1" t="n">
        <v>14</v>
      </c>
      <c r="I248" s="8" t="n">
        <v>1867829</v>
      </c>
      <c r="J248" s="1" t="n">
        <v>1</v>
      </c>
      <c r="K248" s="1" t="s">
        <v>76</v>
      </c>
      <c r="L248" s="1" t="n">
        <v>0</v>
      </c>
      <c r="P248" s="1" t="n">
        <f aca="false">SUM(M248:O248)</f>
        <v>0</v>
      </c>
      <c r="W248" s="1" t="n">
        <f aca="false">SUM(Q248:V248)</f>
        <v>0</v>
      </c>
      <c r="Z248" s="12"/>
      <c r="AA248" s="9"/>
      <c r="AF248" s="9" t="n">
        <f aca="false">SUM(Z248:AE248)</f>
        <v>0</v>
      </c>
      <c r="AG248" s="10"/>
      <c r="AH248" s="11"/>
      <c r="AI248" s="11"/>
      <c r="AJ248" s="11"/>
      <c r="AK248" s="11"/>
      <c r="AL248" s="11"/>
      <c r="AM248" s="11"/>
      <c r="AN248" s="11" t="n">
        <f aca="false">SUM(AH248:AM248)</f>
        <v>0</v>
      </c>
      <c r="AO248" s="1"/>
      <c r="AP248" s="1"/>
      <c r="AQ248" s="1"/>
      <c r="AR248" s="1"/>
    </row>
    <row r="249" customFormat="false" ht="13.8" hidden="false" customHeight="false" outlineLevel="0" collapsed="false">
      <c r="A249" s="1" t="s">
        <v>351</v>
      </c>
      <c r="B249" s="1" t="n">
        <v>557</v>
      </c>
      <c r="C249" s="1" t="s">
        <v>301</v>
      </c>
      <c r="D249" s="1" t="s">
        <v>73</v>
      </c>
      <c r="E249" s="1" t="s">
        <v>302</v>
      </c>
      <c r="F249" s="1" t="n">
        <v>1</v>
      </c>
      <c r="G249" s="1" t="n">
        <v>1</v>
      </c>
      <c r="H249" s="1" t="n">
        <v>5</v>
      </c>
      <c r="I249" s="8" t="n">
        <v>225275</v>
      </c>
      <c r="J249" s="1" t="n">
        <v>1</v>
      </c>
      <c r="K249" s="1" t="s">
        <v>51</v>
      </c>
      <c r="L249" s="1" t="n">
        <v>1</v>
      </c>
      <c r="P249" s="1" t="n">
        <f aca="false">SUM(M249:O249)</f>
        <v>0</v>
      </c>
      <c r="W249" s="1" t="n">
        <f aca="false">SUM(Q249:V249)</f>
        <v>0</v>
      </c>
      <c r="AF249" s="9" t="n">
        <f aca="false">SUM(Z249:AE249)</f>
        <v>0</v>
      </c>
      <c r="AG249" s="10"/>
      <c r="AH249" s="11"/>
      <c r="AI249" s="11"/>
      <c r="AJ249" s="11"/>
      <c r="AK249" s="11"/>
      <c r="AL249" s="11"/>
      <c r="AM249" s="11"/>
      <c r="AN249" s="11" t="n">
        <f aca="false">SUM(AH249:AM249)</f>
        <v>0</v>
      </c>
      <c r="AO249" s="1"/>
      <c r="AP249" s="1"/>
      <c r="AQ249" s="1"/>
      <c r="AR249" s="1"/>
    </row>
    <row r="250" customFormat="false" ht="13.8" hidden="false" customHeight="false" outlineLevel="0" collapsed="false">
      <c r="A250" s="1" t="s">
        <v>352</v>
      </c>
      <c r="B250" s="1" t="n">
        <v>786</v>
      </c>
      <c r="C250" s="1" t="s">
        <v>301</v>
      </c>
      <c r="D250" s="1" t="s">
        <v>304</v>
      </c>
      <c r="E250" s="1" t="s">
        <v>302</v>
      </c>
      <c r="G250" s="1" t="n">
        <v>1</v>
      </c>
      <c r="H250" s="1" t="n">
        <v>7</v>
      </c>
      <c r="I250" s="8" t="n">
        <v>124352</v>
      </c>
      <c r="J250" s="1" t="n">
        <v>0</v>
      </c>
      <c r="K250" s="1" t="s">
        <v>76</v>
      </c>
      <c r="L250" s="1" t="n">
        <v>0</v>
      </c>
      <c r="P250" s="1" t="n">
        <f aca="false">SUM(M250:O250)</f>
        <v>0</v>
      </c>
      <c r="W250" s="1" t="n">
        <f aca="false">SUM(Q250:V250)</f>
        <v>0</v>
      </c>
      <c r="AF250" s="9" t="n">
        <f aca="false">SUM(Z250:AE250)</f>
        <v>0</v>
      </c>
      <c r="AG250" s="10"/>
      <c r="AH250" s="11"/>
      <c r="AI250" s="11"/>
      <c r="AJ250" s="11"/>
      <c r="AK250" s="11"/>
      <c r="AL250" s="11"/>
      <c r="AM250" s="11"/>
      <c r="AN250" s="11" t="n">
        <f aca="false">SUM(AH250:AM250)</f>
        <v>0</v>
      </c>
      <c r="AO250" s="1"/>
      <c r="AP250" s="1"/>
      <c r="AQ250" s="1"/>
      <c r="AR250" s="1"/>
    </row>
    <row r="251" customFormat="false" ht="13.8" hidden="false" customHeight="false" outlineLevel="0" collapsed="false">
      <c r="A251" s="1" t="s">
        <v>353</v>
      </c>
      <c r="B251" s="1" t="n">
        <v>772</v>
      </c>
      <c r="C251" s="1" t="s">
        <v>301</v>
      </c>
      <c r="D251" s="1" t="s">
        <v>73</v>
      </c>
      <c r="E251" s="1" t="s">
        <v>302</v>
      </c>
      <c r="F251" s="1" t="n">
        <v>2</v>
      </c>
      <c r="G251" s="1" t="n">
        <v>1</v>
      </c>
      <c r="H251" s="1" t="n">
        <v>5</v>
      </c>
      <c r="I251" s="8" t="n">
        <v>747326</v>
      </c>
      <c r="J251" s="1" t="n">
        <v>2</v>
      </c>
      <c r="K251" s="1" t="s">
        <v>51</v>
      </c>
      <c r="L251" s="1" t="n">
        <v>1</v>
      </c>
      <c r="P251" s="1" t="n">
        <f aca="false">SUM(M251:O251)</f>
        <v>0</v>
      </c>
      <c r="S251" s="1" t="n">
        <v>1</v>
      </c>
      <c r="W251" s="1" t="n">
        <f aca="false">SUM(Q251:V251)</f>
        <v>1</v>
      </c>
      <c r="Y251" s="1" t="n">
        <v>1</v>
      </c>
      <c r="AB251" s="9" t="n">
        <f aca="false">(S251)*(1+(J251)*0.2)</f>
        <v>1.4</v>
      </c>
      <c r="AF251" s="9" t="n">
        <f aca="false">SUM(Z251:AE251)</f>
        <v>1.4</v>
      </c>
      <c r="AG251" s="10" t="s">
        <v>47</v>
      </c>
      <c r="AH251" s="11"/>
      <c r="AI251" s="11"/>
      <c r="AJ251" s="11" t="n">
        <f aca="false">IF(AG251="yes",AB251*1.2,AB251)</f>
        <v>1.68</v>
      </c>
      <c r="AK251" s="11"/>
      <c r="AL251" s="11"/>
      <c r="AM251" s="11"/>
      <c r="AN251" s="11" t="n">
        <f aca="false">SUM(AH251:AM251)</f>
        <v>1.68</v>
      </c>
      <c r="AO251" s="1"/>
      <c r="AP251" s="1"/>
      <c r="AQ251" s="1"/>
      <c r="AR251" s="1"/>
    </row>
    <row r="252" customFormat="false" ht="13.8" hidden="false" customHeight="false" outlineLevel="0" collapsed="false">
      <c r="A252" s="1" t="s">
        <v>354</v>
      </c>
      <c r="B252" s="1" t="n">
        <v>31</v>
      </c>
      <c r="C252" s="1" t="s">
        <v>301</v>
      </c>
      <c r="D252" s="1" t="s">
        <v>42</v>
      </c>
      <c r="E252" s="1" t="s">
        <v>302</v>
      </c>
      <c r="F252" s="1" t="n">
        <v>5</v>
      </c>
      <c r="G252" s="1" t="n">
        <v>1</v>
      </c>
      <c r="H252" s="1" t="n">
        <v>18</v>
      </c>
      <c r="I252" s="8" t="n">
        <v>1827228</v>
      </c>
      <c r="J252" s="1" t="n">
        <v>3</v>
      </c>
      <c r="K252" s="1" t="s">
        <v>96</v>
      </c>
      <c r="L252" s="1" t="n">
        <v>6</v>
      </c>
      <c r="M252" s="1" t="n">
        <v>1</v>
      </c>
      <c r="O252" s="1" t="n">
        <v>1</v>
      </c>
      <c r="P252" s="1" t="n">
        <f aca="false">SUM(M252:O252)</f>
        <v>2</v>
      </c>
      <c r="W252" s="1" t="n">
        <f aca="false">SUM(Q252:V252)</f>
        <v>0</v>
      </c>
      <c r="X252" s="1" t="n">
        <v>2</v>
      </c>
      <c r="AF252" s="9" t="n">
        <f aca="false">SUM(Z252:AE252)</f>
        <v>0</v>
      </c>
      <c r="AG252" s="10"/>
      <c r="AH252" s="11"/>
      <c r="AI252" s="11"/>
      <c r="AJ252" s="11"/>
      <c r="AK252" s="11"/>
      <c r="AL252" s="11"/>
      <c r="AM252" s="11"/>
      <c r="AN252" s="11" t="n">
        <f aca="false">SUM(AH252:AM252)</f>
        <v>0</v>
      </c>
      <c r="AO252" s="1"/>
      <c r="AP252" s="1"/>
      <c r="AQ252" s="1"/>
      <c r="AR252" s="1"/>
    </row>
    <row r="253" customFormat="false" ht="13.8" hidden="false" customHeight="false" outlineLevel="0" collapsed="false">
      <c r="A253" s="1" t="s">
        <v>355</v>
      </c>
      <c r="B253" s="1" t="n">
        <v>734</v>
      </c>
      <c r="C253" s="1" t="s">
        <v>301</v>
      </c>
      <c r="D253" s="1" t="s">
        <v>73</v>
      </c>
      <c r="E253" s="1" t="s">
        <v>302</v>
      </c>
      <c r="G253" s="1" t="n">
        <v>1</v>
      </c>
      <c r="H253" s="1" t="n">
        <v>1</v>
      </c>
      <c r="I253" s="8" t="n">
        <v>5173</v>
      </c>
      <c r="J253" s="1" t="n">
        <v>2</v>
      </c>
      <c r="K253" s="1" t="s">
        <v>261</v>
      </c>
      <c r="L253" s="1" t="n">
        <v>0</v>
      </c>
      <c r="P253" s="1" t="n">
        <f aca="false">SUM(M253:O253)</f>
        <v>0</v>
      </c>
      <c r="W253" s="1" t="n">
        <f aca="false">SUM(Q253:V253)</f>
        <v>0</v>
      </c>
      <c r="Y253" s="1" t="n">
        <v>1</v>
      </c>
      <c r="AF253" s="9" t="n">
        <f aca="false">SUM(Z253:AE253)</f>
        <v>0</v>
      </c>
      <c r="AG253" s="10"/>
      <c r="AH253" s="11"/>
      <c r="AI253" s="11"/>
      <c r="AJ253" s="11"/>
      <c r="AK253" s="11"/>
      <c r="AL253" s="11"/>
      <c r="AM253" s="11"/>
      <c r="AN253" s="11" t="n">
        <f aca="false">SUM(AH253:AM253)</f>
        <v>0</v>
      </c>
      <c r="AO253" s="1"/>
      <c r="AP253" s="1"/>
      <c r="AQ253" s="1"/>
      <c r="AR253" s="1"/>
    </row>
    <row r="254" customFormat="false" ht="13.8" hidden="false" customHeight="false" outlineLevel="0" collapsed="false">
      <c r="A254" s="1" t="s">
        <v>356</v>
      </c>
      <c r="B254" s="1" t="n">
        <v>635</v>
      </c>
      <c r="C254" s="1" t="s">
        <v>301</v>
      </c>
      <c r="D254" s="1" t="s">
        <v>73</v>
      </c>
      <c r="E254" s="1" t="s">
        <v>302</v>
      </c>
      <c r="F254" s="1" t="n">
        <v>2</v>
      </c>
      <c r="G254" s="1" t="n">
        <v>1</v>
      </c>
      <c r="H254" s="1" t="n">
        <v>9</v>
      </c>
      <c r="I254" s="8" t="n">
        <v>51939</v>
      </c>
      <c r="J254" s="1" t="n">
        <v>2</v>
      </c>
      <c r="K254" s="1" t="s">
        <v>84</v>
      </c>
      <c r="L254" s="1" t="n">
        <v>1</v>
      </c>
      <c r="P254" s="1" t="n">
        <f aca="false">SUM(M254:O254)</f>
        <v>0</v>
      </c>
      <c r="V254" s="1" t="n">
        <v>90</v>
      </c>
      <c r="W254" s="1" t="n">
        <f aca="false">SUM(Q254:V254)</f>
        <v>90</v>
      </c>
      <c r="Y254" s="1" t="n">
        <v>3</v>
      </c>
      <c r="AE254" s="9" t="n">
        <f aca="false">(V254)*(1+(J254)*0.2)</f>
        <v>126</v>
      </c>
      <c r="AF254" s="9" t="n">
        <f aca="false">SUM(Z254:AE254)</f>
        <v>126</v>
      </c>
      <c r="AG254" s="10" t="s">
        <v>47</v>
      </c>
      <c r="AH254" s="11"/>
      <c r="AI254" s="11"/>
      <c r="AJ254" s="11"/>
      <c r="AK254" s="11"/>
      <c r="AL254" s="11"/>
      <c r="AM254" s="11" t="n">
        <f aca="false">IF(AG254="yes",AE254*1.2,AE254)</f>
        <v>151.2</v>
      </c>
      <c r="AN254" s="11" t="n">
        <f aca="false">SUM(AH254:AM254)</f>
        <v>151.2</v>
      </c>
      <c r="AO254" s="1"/>
      <c r="AP254" s="1"/>
      <c r="AQ254" s="1"/>
      <c r="AR254" s="1"/>
    </row>
    <row r="255" customFormat="false" ht="13.8" hidden="false" customHeight="false" outlineLevel="0" collapsed="false">
      <c r="A255" s="1" t="s">
        <v>357</v>
      </c>
      <c r="B255" s="1" t="n">
        <v>781</v>
      </c>
      <c r="C255" s="1" t="s">
        <v>301</v>
      </c>
      <c r="D255" s="1" t="s">
        <v>73</v>
      </c>
      <c r="E255" s="1" t="s">
        <v>302</v>
      </c>
      <c r="F255" s="1" t="n">
        <v>1</v>
      </c>
      <c r="G255" s="1" t="n">
        <v>1</v>
      </c>
      <c r="H255" s="1" t="n">
        <v>3</v>
      </c>
      <c r="I255" s="8" t="n">
        <v>544481</v>
      </c>
      <c r="J255" s="1" t="n">
        <v>2</v>
      </c>
      <c r="K255" s="13" t="s">
        <v>44</v>
      </c>
      <c r="L255" s="13" t="n">
        <v>2</v>
      </c>
      <c r="P255" s="1" t="n">
        <f aca="false">SUM(M255:O255)</f>
        <v>0</v>
      </c>
      <c r="W255" s="1" t="n">
        <f aca="false">SUM(Q255:V255)</f>
        <v>0</v>
      </c>
      <c r="AF255" s="9" t="n">
        <f aca="false">SUM(Z255:AE255)</f>
        <v>0</v>
      </c>
      <c r="AG255" s="10"/>
      <c r="AH255" s="11"/>
      <c r="AI255" s="11"/>
      <c r="AJ255" s="11"/>
      <c r="AK255" s="11"/>
      <c r="AL255" s="11"/>
      <c r="AM255" s="11"/>
      <c r="AN255" s="11" t="n">
        <f aca="false">SUM(AH255:AM255)</f>
        <v>0</v>
      </c>
      <c r="AO255" s="1"/>
      <c r="AP255" s="1"/>
      <c r="AQ255" s="1"/>
      <c r="AR255" s="1"/>
    </row>
    <row r="256" customFormat="false" ht="13.8" hidden="false" customHeight="false" outlineLevel="0" collapsed="false">
      <c r="A256" s="1" t="s">
        <v>358</v>
      </c>
      <c r="B256" s="1" t="n">
        <v>29</v>
      </c>
      <c r="C256" s="1" t="s">
        <v>301</v>
      </c>
      <c r="D256" s="1" t="s">
        <v>42</v>
      </c>
      <c r="E256" s="1" t="s">
        <v>302</v>
      </c>
      <c r="F256" s="1" t="n">
        <v>30</v>
      </c>
      <c r="G256" s="1" t="n">
        <v>1</v>
      </c>
      <c r="H256" s="1" t="n">
        <v>8</v>
      </c>
      <c r="I256" s="8" t="n">
        <v>2980033</v>
      </c>
      <c r="J256" s="1" t="n">
        <v>4</v>
      </c>
      <c r="K256" s="1" t="s">
        <v>57</v>
      </c>
      <c r="L256" s="1" t="n">
        <v>8</v>
      </c>
      <c r="O256" s="1" t="n">
        <v>3</v>
      </c>
      <c r="P256" s="1" t="n">
        <f aca="false">SUM(M256:O256)</f>
        <v>3</v>
      </c>
      <c r="R256" s="1" t="n">
        <v>8</v>
      </c>
      <c r="U256" s="1" t="n">
        <v>24</v>
      </c>
      <c r="W256" s="1" t="n">
        <f aca="false">SUM(Q256:V256)</f>
        <v>32</v>
      </c>
      <c r="X256" s="1" t="n">
        <v>10</v>
      </c>
      <c r="Y256" s="1" t="n">
        <v>6</v>
      </c>
      <c r="AA256" s="9" t="n">
        <f aca="false">(R256)*(1+(J256)*0.2)</f>
        <v>14.4</v>
      </c>
      <c r="AD256" s="9" t="n">
        <f aca="false">(U256)*(1+(J256)*0.2)</f>
        <v>43.2</v>
      </c>
      <c r="AF256" s="9" t="n">
        <f aca="false">SUM(Z256:AE256)</f>
        <v>57.6</v>
      </c>
      <c r="AG256" s="10" t="s">
        <v>47</v>
      </c>
      <c r="AH256" s="11"/>
      <c r="AI256" s="11" t="n">
        <f aca="false">IF(AG256="yes",AA256*1.2,AA256)</f>
        <v>17.28</v>
      </c>
      <c r="AJ256" s="11"/>
      <c r="AK256" s="11"/>
      <c r="AL256" s="11" t="n">
        <f aca="false">IF(AG256="yes",AD256*1.2,AD256)</f>
        <v>51.84</v>
      </c>
      <c r="AM256" s="11"/>
      <c r="AN256" s="11" t="n">
        <f aca="false">SUM(AH256:AM256)</f>
        <v>69.12</v>
      </c>
      <c r="AO256" s="1"/>
      <c r="AP256" s="1"/>
      <c r="AQ256" s="1"/>
      <c r="AR256" s="1"/>
    </row>
    <row r="257" customFormat="false" ht="13.8" hidden="false" customHeight="false" outlineLevel="0" collapsed="false">
      <c r="A257" s="1" t="s">
        <v>359</v>
      </c>
      <c r="B257" s="1" t="n">
        <v>15</v>
      </c>
      <c r="C257" s="1" t="s">
        <v>301</v>
      </c>
      <c r="D257" s="1" t="s">
        <v>42</v>
      </c>
      <c r="E257" s="1" t="s">
        <v>302</v>
      </c>
      <c r="F257" s="1" t="n">
        <v>21</v>
      </c>
      <c r="G257" s="1" t="n">
        <v>1</v>
      </c>
      <c r="H257" s="1" t="n">
        <v>15</v>
      </c>
      <c r="I257" s="8" t="n">
        <v>2334947</v>
      </c>
      <c r="J257" s="1" t="n">
        <v>4</v>
      </c>
      <c r="K257" s="1" t="s">
        <v>96</v>
      </c>
      <c r="L257" s="1" t="n">
        <v>6</v>
      </c>
      <c r="O257" s="1" t="n">
        <v>2</v>
      </c>
      <c r="P257" s="1" t="n">
        <f aca="false">SUM(M257:O257)</f>
        <v>2</v>
      </c>
      <c r="U257" s="1" t="n">
        <v>21</v>
      </c>
      <c r="W257" s="1" t="n">
        <f aca="false">SUM(Q257:V257)</f>
        <v>21</v>
      </c>
      <c r="X257" s="1" t="n">
        <v>6</v>
      </c>
      <c r="Y257" s="1" t="n">
        <v>9</v>
      </c>
      <c r="AD257" s="9" t="n">
        <f aca="false">(U257)*(1+(J257)*0.2)</f>
        <v>37.8</v>
      </c>
      <c r="AF257" s="9" t="n">
        <f aca="false">SUM(Z257:AE257)</f>
        <v>37.8</v>
      </c>
      <c r="AG257" s="10" t="s">
        <v>47</v>
      </c>
      <c r="AH257" s="11"/>
      <c r="AI257" s="11"/>
      <c r="AJ257" s="11"/>
      <c r="AK257" s="11"/>
      <c r="AL257" s="11" t="n">
        <f aca="false">IF(AG257="yes",AD257*1.2,AD257)</f>
        <v>45.36</v>
      </c>
      <c r="AM257" s="11"/>
      <c r="AN257" s="11" t="n">
        <f aca="false">SUM(AH257:AM257)</f>
        <v>45.36</v>
      </c>
      <c r="AO257" s="1"/>
      <c r="AP257" s="1"/>
      <c r="AQ257" s="1"/>
      <c r="AR257" s="1"/>
    </row>
    <row r="258" customFormat="false" ht="13.8" hidden="false" customHeight="false" outlineLevel="0" collapsed="false">
      <c r="A258" s="1" t="s">
        <v>360</v>
      </c>
      <c r="B258" s="1" t="n">
        <v>785</v>
      </c>
      <c r="C258" s="1" t="s">
        <v>301</v>
      </c>
      <c r="D258" s="1" t="s">
        <v>42</v>
      </c>
      <c r="E258" s="1" t="s">
        <v>302</v>
      </c>
      <c r="F258" s="1" t="n">
        <v>5</v>
      </c>
      <c r="G258" s="1" t="n">
        <v>1</v>
      </c>
      <c r="H258" s="1" t="n">
        <v>7</v>
      </c>
      <c r="I258" s="8" t="n">
        <v>1581929</v>
      </c>
      <c r="J258" s="1" t="n">
        <v>4</v>
      </c>
      <c r="K258" s="1" t="s">
        <v>46</v>
      </c>
      <c r="L258" s="1" t="n">
        <v>4</v>
      </c>
      <c r="O258" s="1" t="n">
        <v>1</v>
      </c>
      <c r="P258" s="1" t="n">
        <f aca="false">SUM(M258:O258)</f>
        <v>1</v>
      </c>
      <c r="R258" s="1" t="n">
        <v>4</v>
      </c>
      <c r="U258" s="1" t="n">
        <v>12</v>
      </c>
      <c r="W258" s="1" t="n">
        <f aca="false">SUM(Q258:V258)</f>
        <v>16</v>
      </c>
      <c r="AA258" s="9" t="n">
        <f aca="false">(R258)*(1+(J258)*0.2)</f>
        <v>7.2</v>
      </c>
      <c r="AD258" s="9" t="n">
        <f aca="false">(U258)*(1+(J258)*0.2)</f>
        <v>21.6</v>
      </c>
      <c r="AE258" s="20"/>
      <c r="AF258" s="9" t="n">
        <f aca="false">SUM(Z258:AE258)</f>
        <v>28.8</v>
      </c>
      <c r="AG258" s="10" t="s">
        <v>47</v>
      </c>
      <c r="AH258" s="11"/>
      <c r="AI258" s="11" t="n">
        <f aca="false">IF(AG258="yes",AA258*1.2,AA258)</f>
        <v>8.64</v>
      </c>
      <c r="AJ258" s="11"/>
      <c r="AK258" s="11"/>
      <c r="AL258" s="11" t="n">
        <f aca="false">IF(AG258="yes",AD258*1.2,AD258)</f>
        <v>25.92</v>
      </c>
      <c r="AM258" s="11"/>
      <c r="AN258" s="11" t="n">
        <f aca="false">SUM(AH258:AM258)</f>
        <v>34.56</v>
      </c>
      <c r="AO258" s="1"/>
      <c r="AP258" s="1"/>
      <c r="AQ258" s="1"/>
      <c r="AR258" s="1"/>
    </row>
    <row r="259" customFormat="false" ht="13.8" hidden="false" customHeight="false" outlineLevel="0" collapsed="false">
      <c r="A259" s="1" t="s">
        <v>361</v>
      </c>
      <c r="B259" s="1" t="n">
        <v>23</v>
      </c>
      <c r="C259" s="1" t="s">
        <v>301</v>
      </c>
      <c r="D259" s="1" t="s">
        <v>42</v>
      </c>
      <c r="E259" s="1" t="s">
        <v>302</v>
      </c>
      <c r="F259" s="1" t="n">
        <v>5</v>
      </c>
      <c r="G259" s="1" t="n">
        <v>1</v>
      </c>
      <c r="H259" s="1" t="n">
        <v>10</v>
      </c>
      <c r="I259" s="8" t="n">
        <v>1605057</v>
      </c>
      <c r="J259" s="1" t="n">
        <v>3</v>
      </c>
      <c r="K259" s="1" t="s">
        <v>46</v>
      </c>
      <c r="L259" s="1" t="n">
        <v>4</v>
      </c>
      <c r="O259" s="1" t="n">
        <v>1</v>
      </c>
      <c r="P259" s="1" t="n">
        <f aca="false">SUM(M259:O259)</f>
        <v>1</v>
      </c>
      <c r="U259" s="1" t="n">
        <v>12</v>
      </c>
      <c r="W259" s="1" t="n">
        <f aca="false">SUM(Q259:V259)</f>
        <v>12</v>
      </c>
      <c r="Y259" s="1" t="n">
        <v>3</v>
      </c>
      <c r="AD259" s="9" t="n">
        <f aca="false">(U259)*(1+(J259)*0.2)</f>
        <v>19.2</v>
      </c>
      <c r="AE259" s="20"/>
      <c r="AF259" s="9" t="n">
        <f aca="false">SUM(Z259:AE259)</f>
        <v>19.2</v>
      </c>
      <c r="AG259" s="10" t="s">
        <v>47</v>
      </c>
      <c r="AH259" s="11"/>
      <c r="AI259" s="11"/>
      <c r="AJ259" s="11"/>
      <c r="AK259" s="11"/>
      <c r="AL259" s="11" t="n">
        <f aca="false">IF(AG259="yes",AD259*1.2,AD259)</f>
        <v>23.04</v>
      </c>
      <c r="AM259" s="11"/>
      <c r="AN259" s="11" t="n">
        <f aca="false">SUM(AH259:AM259)</f>
        <v>23.04</v>
      </c>
      <c r="AO259" s="1"/>
      <c r="AP259" s="1"/>
      <c r="AQ259" s="1"/>
      <c r="AR259" s="1"/>
    </row>
    <row r="260" customFormat="false" ht="13.8" hidden="false" customHeight="false" outlineLevel="0" collapsed="false">
      <c r="A260" s="1" t="s">
        <v>362</v>
      </c>
      <c r="B260" s="1" t="n">
        <v>806</v>
      </c>
      <c r="C260" s="1" t="s">
        <v>301</v>
      </c>
      <c r="D260" s="1" t="s">
        <v>42</v>
      </c>
      <c r="E260" s="1" t="s">
        <v>302</v>
      </c>
      <c r="F260" s="1" t="n">
        <v>3</v>
      </c>
      <c r="G260" s="1" t="n">
        <v>1</v>
      </c>
      <c r="H260" s="1" t="n">
        <v>3</v>
      </c>
      <c r="I260" s="8" t="n">
        <v>281066</v>
      </c>
      <c r="J260" s="1" t="n">
        <v>3</v>
      </c>
      <c r="K260" s="1" t="s">
        <v>46</v>
      </c>
      <c r="L260" s="1" t="n">
        <v>4</v>
      </c>
      <c r="P260" s="1" t="n">
        <f aca="false">SUM(M260:O260)</f>
        <v>0</v>
      </c>
      <c r="W260" s="1" t="n">
        <f aca="false">SUM(Q260:V260)</f>
        <v>0</v>
      </c>
      <c r="AF260" s="9" t="n">
        <f aca="false">SUM(Z260:AE260)</f>
        <v>0</v>
      </c>
      <c r="AG260" s="10"/>
      <c r="AH260" s="11"/>
      <c r="AI260" s="11"/>
      <c r="AJ260" s="11"/>
      <c r="AK260" s="11"/>
      <c r="AL260" s="11"/>
      <c r="AM260" s="11"/>
      <c r="AN260" s="11" t="n">
        <f aca="false">SUM(AH260:AM260)</f>
        <v>0</v>
      </c>
      <c r="AO260" s="1"/>
      <c r="AP260" s="1"/>
      <c r="AQ260" s="1"/>
      <c r="AR260" s="1"/>
    </row>
    <row r="261" customFormat="false" ht="13.8" hidden="false" customHeight="false" outlineLevel="0" collapsed="false">
      <c r="A261" s="1" t="s">
        <v>363</v>
      </c>
      <c r="B261" s="1" t="n">
        <v>706</v>
      </c>
      <c r="C261" s="1" t="s">
        <v>301</v>
      </c>
      <c r="D261" s="1" t="s">
        <v>73</v>
      </c>
      <c r="E261" s="1" t="s">
        <v>302</v>
      </c>
      <c r="G261" s="1" t="n">
        <v>1</v>
      </c>
      <c r="H261" s="1" t="n">
        <v>1</v>
      </c>
      <c r="I261" s="8" t="n">
        <v>186865</v>
      </c>
      <c r="J261" s="1" t="n">
        <v>2</v>
      </c>
      <c r="K261" s="1" t="s">
        <v>84</v>
      </c>
      <c r="L261" s="1" t="n">
        <v>1</v>
      </c>
      <c r="P261" s="1" t="n">
        <f aca="false">SUM(M261:O261)</f>
        <v>0</v>
      </c>
      <c r="W261" s="1" t="n">
        <f aca="false">SUM(Q261:V261)</f>
        <v>0</v>
      </c>
      <c r="Y261" s="1" t="n">
        <v>1</v>
      </c>
      <c r="AD261" s="9"/>
      <c r="AF261" s="9" t="n">
        <f aca="false">SUM(Z261:AE261)</f>
        <v>0</v>
      </c>
      <c r="AG261" s="10"/>
      <c r="AH261" s="11"/>
      <c r="AI261" s="11"/>
      <c r="AJ261" s="11"/>
      <c r="AK261" s="11"/>
      <c r="AL261" s="11"/>
      <c r="AM261" s="11"/>
      <c r="AN261" s="11" t="n">
        <f aca="false">SUM(AH261:AM261)</f>
        <v>0</v>
      </c>
      <c r="AO261" s="1"/>
      <c r="AP261" s="1"/>
      <c r="AQ261" s="1"/>
      <c r="AR261" s="1"/>
    </row>
    <row r="262" customFormat="false" ht="13.8" hidden="false" customHeight="false" outlineLevel="0" collapsed="false">
      <c r="A262" s="1" t="s">
        <v>364</v>
      </c>
      <c r="B262" s="1" t="n">
        <v>20</v>
      </c>
      <c r="C262" s="1" t="s">
        <v>301</v>
      </c>
      <c r="D262" s="1" t="s">
        <v>42</v>
      </c>
      <c r="E262" s="1" t="s">
        <v>302</v>
      </c>
      <c r="F262" s="1" t="n">
        <v>10</v>
      </c>
      <c r="G262" s="1" t="n">
        <v>1</v>
      </c>
      <c r="H262" s="1" t="n">
        <v>13</v>
      </c>
      <c r="I262" s="8" t="n">
        <v>2976829</v>
      </c>
      <c r="J262" s="1" t="n">
        <v>4</v>
      </c>
      <c r="K262" s="1" t="s">
        <v>96</v>
      </c>
      <c r="L262" s="1" t="n">
        <v>6</v>
      </c>
      <c r="M262" s="1" t="n">
        <v>1</v>
      </c>
      <c r="O262" s="1" t="n">
        <v>2</v>
      </c>
      <c r="P262" s="1" t="n">
        <f aca="false">SUM(M262:O262)</f>
        <v>3</v>
      </c>
      <c r="R262" s="1" t="n">
        <v>35</v>
      </c>
      <c r="U262" s="1" t="n">
        <v>32</v>
      </c>
      <c r="W262" s="1" t="n">
        <f aca="false">SUM(Q262:V262)</f>
        <v>67</v>
      </c>
      <c r="X262" s="1" t="n">
        <v>4</v>
      </c>
      <c r="AA262" s="9" t="n">
        <f aca="false">(R262)*(1+(J262)*0.2)</f>
        <v>63</v>
      </c>
      <c r="AD262" s="9" t="n">
        <f aca="false">(U262)*(1+(J262)*0.2)</f>
        <v>57.6</v>
      </c>
      <c r="AF262" s="9" t="n">
        <f aca="false">SUM(Z262:AE262)</f>
        <v>120.6</v>
      </c>
      <c r="AG262" s="10" t="s">
        <v>47</v>
      </c>
      <c r="AH262" s="11"/>
      <c r="AI262" s="11" t="n">
        <f aca="false">IF(AG262="yes",AA262*1.2,AA262)</f>
        <v>75.6</v>
      </c>
      <c r="AJ262" s="11"/>
      <c r="AK262" s="11"/>
      <c r="AL262" s="11" t="n">
        <f aca="false">IF(AG262="yes",AD262*1.2,AD262)</f>
        <v>69.12</v>
      </c>
      <c r="AM262" s="11"/>
      <c r="AN262" s="11" t="n">
        <f aca="false">SUM(AH262:AM262)</f>
        <v>144.72</v>
      </c>
      <c r="AO262" s="1"/>
      <c r="AP262" s="1"/>
      <c r="AQ262" s="1"/>
      <c r="AR262" s="1"/>
    </row>
    <row r="263" customFormat="false" ht="13.8" hidden="false" customHeight="false" outlineLevel="0" collapsed="false">
      <c r="A263" s="1" t="s">
        <v>365</v>
      </c>
      <c r="B263" s="1" t="n">
        <v>735</v>
      </c>
      <c r="C263" s="1" t="s">
        <v>301</v>
      </c>
      <c r="D263" s="1" t="s">
        <v>42</v>
      </c>
      <c r="E263" s="1" t="s">
        <v>302</v>
      </c>
      <c r="F263" s="1" t="n">
        <v>6</v>
      </c>
      <c r="G263" s="1" t="n">
        <v>1</v>
      </c>
      <c r="H263" s="1" t="n">
        <v>11</v>
      </c>
      <c r="I263" s="8" t="n">
        <v>908608</v>
      </c>
      <c r="J263" s="1" t="n">
        <v>2</v>
      </c>
      <c r="K263" s="1" t="s">
        <v>46</v>
      </c>
      <c r="L263" s="1" t="n">
        <v>4</v>
      </c>
      <c r="P263" s="1" t="n">
        <f aca="false">SUM(M263:O263)</f>
        <v>0</v>
      </c>
      <c r="W263" s="1" t="n">
        <f aca="false">SUM(Q263:V263)</f>
        <v>0</v>
      </c>
      <c r="Y263" s="1" t="n">
        <v>2</v>
      </c>
      <c r="AF263" s="9" t="n">
        <f aca="false">SUM(Z263:AE263)</f>
        <v>0</v>
      </c>
      <c r="AG263" s="10"/>
      <c r="AH263" s="11"/>
      <c r="AI263" s="11"/>
      <c r="AJ263" s="11"/>
      <c r="AK263" s="11"/>
      <c r="AL263" s="11"/>
      <c r="AM263" s="11"/>
      <c r="AN263" s="11" t="n">
        <f aca="false">SUM(AH263:AM263)</f>
        <v>0</v>
      </c>
      <c r="AO263" s="1"/>
      <c r="AP263" s="1"/>
      <c r="AQ263" s="1"/>
      <c r="AR263" s="1"/>
    </row>
    <row r="264" customFormat="false" ht="13.8" hidden="false" customHeight="false" outlineLevel="0" collapsed="false">
      <c r="A264" s="1" t="s">
        <v>366</v>
      </c>
      <c r="B264" s="1" t="n">
        <v>272</v>
      </c>
      <c r="C264" s="1" t="s">
        <v>301</v>
      </c>
      <c r="D264" s="1" t="s">
        <v>73</v>
      </c>
      <c r="E264" s="1" t="s">
        <v>302</v>
      </c>
      <c r="F264" s="1" t="n">
        <v>5</v>
      </c>
      <c r="G264" s="1" t="n">
        <v>1</v>
      </c>
      <c r="H264" s="1" t="n">
        <v>6</v>
      </c>
      <c r="I264" s="8" t="n">
        <v>1640000</v>
      </c>
      <c r="J264" s="1" t="n">
        <v>2</v>
      </c>
      <c r="K264" s="1" t="s">
        <v>51</v>
      </c>
      <c r="L264" s="1" t="n">
        <v>1</v>
      </c>
      <c r="P264" s="1" t="n">
        <f aca="false">SUM(M264:O264)</f>
        <v>0</v>
      </c>
      <c r="U264" s="1" t="n">
        <v>3</v>
      </c>
      <c r="W264" s="1" t="n">
        <f aca="false">SUM(Q264:V264)</f>
        <v>3</v>
      </c>
      <c r="X264" s="1" t="n">
        <v>4</v>
      </c>
      <c r="Y264" s="1" t="n">
        <v>3</v>
      </c>
      <c r="AD264" s="9" t="n">
        <f aca="false">(U264)*(1+(J264)*0.2)</f>
        <v>4.2</v>
      </c>
      <c r="AF264" s="9" t="n">
        <f aca="false">SUM(Z264:AE264)</f>
        <v>4.2</v>
      </c>
      <c r="AG264" s="10" t="s">
        <v>47</v>
      </c>
      <c r="AH264" s="11"/>
      <c r="AI264" s="11"/>
      <c r="AJ264" s="11"/>
      <c r="AK264" s="11"/>
      <c r="AL264" s="11" t="n">
        <f aca="false">IF(AG264="yes",AD264*1.2,AD264)</f>
        <v>5.04</v>
      </c>
      <c r="AM264" s="11"/>
      <c r="AN264" s="11" t="n">
        <f aca="false">SUM(AH264:AM264)</f>
        <v>5.04</v>
      </c>
      <c r="AO264" s="1"/>
      <c r="AP264" s="1"/>
      <c r="AQ264" s="1"/>
      <c r="AR264" s="1"/>
    </row>
    <row r="265" customFormat="false" ht="13.8" hidden="false" customHeight="false" outlineLevel="0" collapsed="false">
      <c r="A265" s="1" t="s">
        <v>367</v>
      </c>
      <c r="B265" s="1" t="n">
        <v>286</v>
      </c>
      <c r="C265" s="1" t="s">
        <v>301</v>
      </c>
      <c r="D265" s="1" t="s">
        <v>73</v>
      </c>
      <c r="E265" s="1" t="s">
        <v>302</v>
      </c>
      <c r="F265" s="1" t="n">
        <v>3</v>
      </c>
      <c r="G265" s="1" t="n">
        <v>1</v>
      </c>
      <c r="H265" s="1" t="n">
        <v>29</v>
      </c>
      <c r="I265" s="8" t="n">
        <v>5251403</v>
      </c>
      <c r="J265" s="1" t="n">
        <v>2</v>
      </c>
      <c r="K265" s="1" t="s">
        <v>46</v>
      </c>
      <c r="L265" s="1" t="n">
        <v>4</v>
      </c>
      <c r="O265" s="1" t="n">
        <v>1</v>
      </c>
      <c r="P265" s="1" t="n">
        <f aca="false">SUM(M265:O265)</f>
        <v>1</v>
      </c>
      <c r="S265" s="1" t="n">
        <v>55</v>
      </c>
      <c r="W265" s="1" t="n">
        <f aca="false">SUM(Q265:V265)</f>
        <v>55</v>
      </c>
      <c r="X265" s="1" t="n">
        <v>2</v>
      </c>
      <c r="Y265" s="1" t="n">
        <v>4</v>
      </c>
      <c r="AB265" s="9" t="n">
        <f aca="false">(S265)*(1+(J265)*0.2)</f>
        <v>77</v>
      </c>
      <c r="AD265" s="9"/>
      <c r="AF265" s="9" t="n">
        <f aca="false">SUM(Z265:AE265)</f>
        <v>77</v>
      </c>
      <c r="AG265" s="10" t="s">
        <v>47</v>
      </c>
      <c r="AH265" s="11"/>
      <c r="AI265" s="11"/>
      <c r="AJ265" s="11" t="n">
        <f aca="false">IF(AG265="yes",AB265*1.2,AB265)</f>
        <v>92.4</v>
      </c>
      <c r="AK265" s="11"/>
      <c r="AL265" s="11"/>
      <c r="AM265" s="11"/>
      <c r="AN265" s="11" t="n">
        <f aca="false">SUM(AH265:AM265)</f>
        <v>92.4</v>
      </c>
      <c r="AO265" s="1"/>
      <c r="AP265" s="1"/>
      <c r="AQ265" s="1"/>
      <c r="AR265" s="1"/>
    </row>
    <row r="266" customFormat="false" ht="13.8" hidden="false" customHeight="false" outlineLevel="0" collapsed="false">
      <c r="A266" s="1" t="s">
        <v>368</v>
      </c>
      <c r="B266" s="1" t="n">
        <v>515</v>
      </c>
      <c r="C266" s="1" t="s">
        <v>301</v>
      </c>
      <c r="D266" s="1" t="s">
        <v>304</v>
      </c>
      <c r="E266" s="1" t="s">
        <v>302</v>
      </c>
      <c r="G266" s="1" t="n">
        <v>1</v>
      </c>
      <c r="H266" s="1" t="n">
        <v>9</v>
      </c>
      <c r="I266" s="8" t="n">
        <v>1458134</v>
      </c>
      <c r="J266" s="13" t="n">
        <v>0</v>
      </c>
      <c r="K266" s="13" t="s">
        <v>76</v>
      </c>
      <c r="L266" s="13" t="n">
        <v>0</v>
      </c>
      <c r="P266" s="1" t="n">
        <f aca="false">SUM(M266:O266)</f>
        <v>0</v>
      </c>
      <c r="W266" s="1" t="n">
        <f aca="false">SUM(Q266:V266)</f>
        <v>0</v>
      </c>
      <c r="AF266" s="9" t="n">
        <f aca="false">SUM(Z266:AE266)</f>
        <v>0</v>
      </c>
      <c r="AG266" s="10"/>
      <c r="AH266" s="11"/>
      <c r="AI266" s="11"/>
      <c r="AJ266" s="11"/>
      <c r="AK266" s="11"/>
      <c r="AL266" s="11"/>
      <c r="AM266" s="11"/>
      <c r="AN266" s="11" t="n">
        <f aca="false">SUM(AH266:AM266)</f>
        <v>0</v>
      </c>
      <c r="AO266" s="1"/>
      <c r="AP266" s="1"/>
      <c r="AQ266" s="1"/>
      <c r="AR266" s="1"/>
    </row>
    <row r="267" customFormat="false" ht="13.8" hidden="false" customHeight="false" outlineLevel="0" collapsed="false">
      <c r="A267" s="1" t="s">
        <v>369</v>
      </c>
      <c r="B267" s="1" t="n">
        <v>730</v>
      </c>
      <c r="C267" s="1" t="s">
        <v>301</v>
      </c>
      <c r="D267" s="1" t="s">
        <v>304</v>
      </c>
      <c r="E267" s="1" t="s">
        <v>302</v>
      </c>
      <c r="G267" s="1" t="n">
        <v>1</v>
      </c>
      <c r="H267" s="1" t="n">
        <v>1</v>
      </c>
      <c r="I267" s="8" t="n">
        <v>3430</v>
      </c>
      <c r="J267" s="1" t="n">
        <v>2</v>
      </c>
      <c r="K267" s="1" t="s">
        <v>261</v>
      </c>
      <c r="L267" s="1" t="n">
        <v>0</v>
      </c>
      <c r="P267" s="1" t="n">
        <f aca="false">SUM(M267:O267)</f>
        <v>0</v>
      </c>
      <c r="W267" s="1" t="n">
        <f aca="false">SUM(Q267:V267)</f>
        <v>0</v>
      </c>
      <c r="Y267" s="1" t="n">
        <v>1</v>
      </c>
      <c r="AD267" s="9"/>
      <c r="AF267" s="9" t="n">
        <f aca="false">SUM(Z267:AE267)</f>
        <v>0</v>
      </c>
      <c r="AG267" s="10"/>
      <c r="AH267" s="11"/>
      <c r="AI267" s="11"/>
      <c r="AJ267" s="11"/>
      <c r="AK267" s="11"/>
      <c r="AL267" s="11"/>
      <c r="AM267" s="11"/>
      <c r="AN267" s="11" t="n">
        <f aca="false">SUM(AH267:AM267)</f>
        <v>0</v>
      </c>
      <c r="AO267" s="1"/>
      <c r="AP267" s="1"/>
      <c r="AQ267" s="1"/>
      <c r="AR267" s="1"/>
    </row>
    <row r="268" customFormat="false" ht="13.8" hidden="false" customHeight="false" outlineLevel="0" collapsed="false">
      <c r="A268" s="1" t="s">
        <v>370</v>
      </c>
      <c r="B268" s="1" t="n">
        <v>641</v>
      </c>
      <c r="C268" s="1" t="s">
        <v>301</v>
      </c>
      <c r="D268" s="1" t="s">
        <v>73</v>
      </c>
      <c r="E268" s="1" t="s">
        <v>302</v>
      </c>
      <c r="F268" s="1" t="n">
        <v>1</v>
      </c>
      <c r="G268" s="1" t="n">
        <v>1</v>
      </c>
      <c r="H268" s="1" t="n">
        <v>2</v>
      </c>
      <c r="I268" s="8" t="n">
        <v>105915</v>
      </c>
      <c r="J268" s="1" t="n">
        <v>2</v>
      </c>
      <c r="K268" s="1" t="s">
        <v>84</v>
      </c>
      <c r="L268" s="1" t="n">
        <v>1</v>
      </c>
      <c r="P268" s="1" t="n">
        <f aca="false">SUM(M268:O268)</f>
        <v>0</v>
      </c>
      <c r="W268" s="1" t="n">
        <f aca="false">SUM(Q268:V268)</f>
        <v>0</v>
      </c>
      <c r="X268" s="1" t="n">
        <v>1</v>
      </c>
      <c r="Y268" s="1" t="n">
        <v>1</v>
      </c>
      <c r="AD268" s="9"/>
      <c r="AE268" s="20"/>
      <c r="AF268" s="9" t="n">
        <f aca="false">SUM(Z268:AE268)</f>
        <v>0</v>
      </c>
      <c r="AG268" s="10"/>
      <c r="AH268" s="11"/>
      <c r="AI268" s="11"/>
      <c r="AJ268" s="11"/>
      <c r="AK268" s="11"/>
      <c r="AL268" s="11"/>
      <c r="AM268" s="11"/>
      <c r="AN268" s="11" t="n">
        <f aca="false">SUM(AH268:AM268)</f>
        <v>0</v>
      </c>
      <c r="AO268" s="1"/>
      <c r="AP268" s="1"/>
      <c r="AQ268" s="1"/>
      <c r="AR268" s="1"/>
    </row>
    <row r="269" customFormat="false" ht="13.8" hidden="false" customHeight="false" outlineLevel="0" collapsed="false">
      <c r="A269" s="1" t="s">
        <v>371</v>
      </c>
      <c r="B269" s="1" t="n">
        <v>513</v>
      </c>
      <c r="C269" s="1" t="s">
        <v>301</v>
      </c>
      <c r="D269" s="1" t="s">
        <v>73</v>
      </c>
      <c r="E269" s="1" t="s">
        <v>302</v>
      </c>
      <c r="F269" s="1" t="n">
        <v>1</v>
      </c>
      <c r="G269" s="1" t="n">
        <v>1</v>
      </c>
      <c r="H269" s="1" t="n">
        <v>22</v>
      </c>
      <c r="I269" s="8" t="n">
        <v>812477</v>
      </c>
      <c r="J269" s="1" t="n">
        <v>1</v>
      </c>
      <c r="K269" s="1" t="s">
        <v>76</v>
      </c>
      <c r="L269" s="1" t="n">
        <v>0</v>
      </c>
      <c r="P269" s="1" t="n">
        <f aca="false">SUM(M269:O269)</f>
        <v>0</v>
      </c>
      <c r="W269" s="1" t="n">
        <f aca="false">SUM(Q269:V269)</f>
        <v>0</v>
      </c>
      <c r="AF269" s="9" t="n">
        <f aca="false">SUM(Z269:AE269)</f>
        <v>0</v>
      </c>
      <c r="AG269" s="10"/>
      <c r="AH269" s="11"/>
      <c r="AI269" s="11"/>
      <c r="AJ269" s="11"/>
      <c r="AK269" s="11"/>
      <c r="AL269" s="11"/>
      <c r="AM269" s="11"/>
      <c r="AN269" s="11" t="n">
        <f aca="false">SUM(AH269:AM269)</f>
        <v>0</v>
      </c>
      <c r="AO269" s="1"/>
      <c r="AP269" s="1"/>
      <c r="AQ269" s="1"/>
      <c r="AR269" s="1"/>
    </row>
    <row r="270" customFormat="false" ht="13.8" hidden="false" customHeight="false" outlineLevel="0" collapsed="false">
      <c r="A270" s="1" t="s">
        <v>372</v>
      </c>
      <c r="B270" s="1" t="n">
        <v>777</v>
      </c>
      <c r="C270" s="1" t="s">
        <v>301</v>
      </c>
      <c r="D270" s="1" t="s">
        <v>73</v>
      </c>
      <c r="E270" s="1" t="s">
        <v>302</v>
      </c>
      <c r="F270" s="1" t="n">
        <v>1</v>
      </c>
      <c r="G270" s="1" t="n">
        <v>1</v>
      </c>
      <c r="H270" s="1" t="n">
        <v>3</v>
      </c>
      <c r="I270" s="8" t="n">
        <v>1102690</v>
      </c>
      <c r="J270" s="1" t="n">
        <v>2</v>
      </c>
      <c r="K270" s="1" t="s">
        <v>51</v>
      </c>
      <c r="L270" s="1" t="n">
        <v>1</v>
      </c>
      <c r="P270" s="1" t="n">
        <f aca="false">SUM(M270:O270)</f>
        <v>0</v>
      </c>
      <c r="W270" s="1" t="n">
        <f aca="false">SUM(Q270:V270)</f>
        <v>0</v>
      </c>
      <c r="Y270" s="1" t="n">
        <v>1</v>
      </c>
      <c r="AF270" s="9" t="n">
        <f aca="false">SUM(Z270:AE270)</f>
        <v>0</v>
      </c>
      <c r="AG270" s="10"/>
      <c r="AH270" s="11"/>
      <c r="AI270" s="11"/>
      <c r="AJ270" s="11"/>
      <c r="AK270" s="11"/>
      <c r="AL270" s="11"/>
      <c r="AM270" s="11"/>
      <c r="AN270" s="11" t="n">
        <f aca="false">SUM(AH270:AM270)</f>
        <v>0</v>
      </c>
      <c r="AO270" s="1"/>
      <c r="AP270" s="1"/>
      <c r="AQ270" s="1"/>
      <c r="AR270" s="1"/>
    </row>
    <row r="271" customFormat="false" ht="13.8" hidden="false" customHeight="false" outlineLevel="0" collapsed="false">
      <c r="A271" s="1" t="s">
        <v>373</v>
      </c>
      <c r="B271" s="1" t="n">
        <v>782</v>
      </c>
      <c r="C271" s="1" t="s">
        <v>301</v>
      </c>
      <c r="D271" s="1" t="s">
        <v>304</v>
      </c>
      <c r="E271" s="1" t="s">
        <v>302</v>
      </c>
      <c r="G271" s="1" t="n">
        <v>1</v>
      </c>
      <c r="H271" s="1" t="n">
        <v>4</v>
      </c>
      <c r="I271" s="8" t="n">
        <v>79340</v>
      </c>
      <c r="J271" s="1" t="n">
        <v>0</v>
      </c>
      <c r="K271" s="1" t="s">
        <v>76</v>
      </c>
      <c r="L271" s="1" t="n">
        <v>0</v>
      </c>
      <c r="P271" s="1" t="n">
        <f aca="false">SUM(M271:O271)</f>
        <v>0</v>
      </c>
      <c r="W271" s="1" t="n">
        <f aca="false">SUM(Q271:V271)</f>
        <v>0</v>
      </c>
      <c r="AF271" s="9" t="n">
        <f aca="false">SUM(Z271:AE271)</f>
        <v>0</v>
      </c>
      <c r="AG271" s="10"/>
      <c r="AH271" s="11"/>
      <c r="AI271" s="11"/>
      <c r="AJ271" s="11"/>
      <c r="AK271" s="11"/>
      <c r="AL271" s="11"/>
      <c r="AM271" s="11"/>
      <c r="AN271" s="11" t="n">
        <f aca="false">SUM(AH271:AM271)</f>
        <v>0</v>
      </c>
      <c r="AO271" s="1"/>
      <c r="AP271" s="1"/>
      <c r="AQ271" s="1"/>
      <c r="AR271" s="1"/>
    </row>
    <row r="272" customFormat="false" ht="13.8" hidden="false" customHeight="false" outlineLevel="0" collapsed="false">
      <c r="A272" s="1" t="s">
        <v>374</v>
      </c>
      <c r="B272" s="1" t="n">
        <v>671</v>
      </c>
      <c r="C272" s="1" t="s">
        <v>301</v>
      </c>
      <c r="D272" s="1" t="s">
        <v>73</v>
      </c>
      <c r="E272" s="1" t="s">
        <v>302</v>
      </c>
      <c r="F272" s="1" t="n">
        <v>1</v>
      </c>
      <c r="G272" s="1" t="n">
        <v>1</v>
      </c>
      <c r="H272" s="1" t="n">
        <v>33</v>
      </c>
      <c r="I272" s="8" t="n">
        <v>11542072</v>
      </c>
      <c r="J272" s="1" t="n">
        <v>2</v>
      </c>
      <c r="K272" s="1" t="s">
        <v>46</v>
      </c>
      <c r="L272" s="1" t="n">
        <v>4</v>
      </c>
      <c r="O272" s="1" t="n">
        <v>1</v>
      </c>
      <c r="P272" s="1" t="n">
        <f aca="false">SUM(M272:O272)</f>
        <v>1</v>
      </c>
      <c r="T272" s="1" t="n">
        <v>27</v>
      </c>
      <c r="V272" s="1" t="n">
        <v>6</v>
      </c>
      <c r="W272" s="1" t="n">
        <f aca="false">SUM(Q272:V272)</f>
        <v>33</v>
      </c>
      <c r="X272" s="1" t="n">
        <v>1</v>
      </c>
      <c r="Y272" s="1" t="n">
        <v>1</v>
      </c>
      <c r="Z272" s="12"/>
      <c r="AC272" s="9" t="n">
        <f aca="false">(T272)*(1+(J272)*0.2)</f>
        <v>37.8</v>
      </c>
      <c r="AE272" s="9" t="n">
        <f aca="false">(V272)*(1+(J272)*0.2)</f>
        <v>8.4</v>
      </c>
      <c r="AF272" s="9" t="n">
        <f aca="false">SUM(Z272:AE272)</f>
        <v>46.2</v>
      </c>
      <c r="AG272" s="10" t="s">
        <v>47</v>
      </c>
      <c r="AH272" s="11"/>
      <c r="AI272" s="11"/>
      <c r="AJ272" s="11"/>
      <c r="AK272" s="11" t="n">
        <f aca="false">IF(AG272="yes",AC272*1.2,AC272)</f>
        <v>45.36</v>
      </c>
      <c r="AL272" s="11"/>
      <c r="AM272" s="11" t="n">
        <f aca="false">IF(AG272="yes",AE272*1.2,AE272)</f>
        <v>10.08</v>
      </c>
      <c r="AN272" s="11" t="n">
        <f aca="false">SUM(AH272:AM272)</f>
        <v>55.44</v>
      </c>
      <c r="AO272" s="1"/>
      <c r="AP272" s="1"/>
      <c r="AQ272" s="1"/>
      <c r="AR272" s="1"/>
    </row>
    <row r="273" customFormat="false" ht="13.8" hidden="false" customHeight="false" outlineLevel="0" collapsed="false">
      <c r="A273" s="1" t="s">
        <v>375</v>
      </c>
      <c r="B273" s="1" t="n">
        <v>458</v>
      </c>
      <c r="C273" s="1" t="s">
        <v>301</v>
      </c>
      <c r="D273" s="1" t="s">
        <v>73</v>
      </c>
      <c r="E273" s="1" t="s">
        <v>302</v>
      </c>
      <c r="F273" s="1" t="n">
        <v>12</v>
      </c>
      <c r="G273" s="1" t="n">
        <v>1</v>
      </c>
      <c r="H273" s="1" t="n">
        <v>12</v>
      </c>
      <c r="I273" s="8" t="n">
        <v>1985361</v>
      </c>
      <c r="J273" s="1" t="n">
        <v>2</v>
      </c>
      <c r="K273" s="1" t="s">
        <v>46</v>
      </c>
      <c r="L273" s="1" t="n">
        <v>4</v>
      </c>
      <c r="O273" s="1" t="n">
        <v>1</v>
      </c>
      <c r="P273" s="1" t="n">
        <f aca="false">SUM(M273:O273)</f>
        <v>1</v>
      </c>
      <c r="U273" s="1" t="n">
        <v>31</v>
      </c>
      <c r="W273" s="1" t="n">
        <f aca="false">SUM(Q273:V273)</f>
        <v>31</v>
      </c>
      <c r="X273" s="1" t="n">
        <v>8</v>
      </c>
      <c r="Y273" s="1" t="n">
        <v>8</v>
      </c>
      <c r="AD273" s="9" t="n">
        <f aca="false">(U273)*(1+(J273)*0.2)</f>
        <v>43.4</v>
      </c>
      <c r="AF273" s="9" t="n">
        <f aca="false">SUM(Z273:AE273)</f>
        <v>43.4</v>
      </c>
      <c r="AG273" s="10" t="s">
        <v>47</v>
      </c>
      <c r="AH273" s="11"/>
      <c r="AI273" s="11"/>
      <c r="AJ273" s="11"/>
      <c r="AK273" s="11"/>
      <c r="AL273" s="11" t="n">
        <f aca="false">IF(AG273="yes",AD273*1.2,AD273)</f>
        <v>52.08</v>
      </c>
      <c r="AM273" s="11"/>
      <c r="AN273" s="11" t="n">
        <f aca="false">SUM(AH273:AM273)</f>
        <v>52.08</v>
      </c>
      <c r="AO273" s="1"/>
      <c r="AP273" s="1"/>
      <c r="AQ273" s="1"/>
      <c r="AR273" s="1"/>
    </row>
    <row r="274" customFormat="false" ht="13.8" hidden="false" customHeight="false" outlineLevel="0" collapsed="false">
      <c r="A274" s="1" t="s">
        <v>376</v>
      </c>
      <c r="B274" s="1" t="n">
        <v>778</v>
      </c>
      <c r="C274" s="1" t="s">
        <v>301</v>
      </c>
      <c r="D274" s="1" t="s">
        <v>73</v>
      </c>
      <c r="E274" s="1" t="s">
        <v>302</v>
      </c>
      <c r="F274" s="1" t="n">
        <v>1</v>
      </c>
      <c r="G274" s="1" t="n">
        <v>1</v>
      </c>
      <c r="H274" s="1" t="n">
        <v>6</v>
      </c>
      <c r="I274" s="8" t="n">
        <v>3190073</v>
      </c>
      <c r="J274" s="1" t="n">
        <v>2</v>
      </c>
      <c r="K274" s="1" t="s">
        <v>51</v>
      </c>
      <c r="L274" s="1" t="n">
        <v>1</v>
      </c>
      <c r="P274" s="1" t="n">
        <f aca="false">SUM(M274:O274)</f>
        <v>0</v>
      </c>
      <c r="W274" s="1" t="n">
        <f aca="false">SUM(Q274:V274)</f>
        <v>0</v>
      </c>
      <c r="AF274" s="9" t="n">
        <f aca="false">SUM(Z274:AE274)</f>
        <v>0</v>
      </c>
      <c r="AG274" s="10"/>
      <c r="AH274" s="11"/>
      <c r="AI274" s="11"/>
      <c r="AJ274" s="11"/>
      <c r="AK274" s="11"/>
      <c r="AL274" s="11"/>
      <c r="AM274" s="11"/>
      <c r="AN274" s="11" t="n">
        <f aca="false">SUM(AH274:AM274)</f>
        <v>0</v>
      </c>
      <c r="AO274" s="1"/>
      <c r="AP274" s="1"/>
      <c r="AQ274" s="1"/>
      <c r="AR274" s="1"/>
    </row>
    <row r="275" customFormat="false" ht="13.8" hidden="false" customHeight="false" outlineLevel="0" collapsed="false">
      <c r="A275" s="1" t="s">
        <v>377</v>
      </c>
      <c r="B275" s="1" t="n">
        <v>851</v>
      </c>
      <c r="C275" s="1" t="s">
        <v>301</v>
      </c>
      <c r="D275" s="1" t="s">
        <v>42</v>
      </c>
      <c r="E275" s="1" t="s">
        <v>302</v>
      </c>
      <c r="F275" s="1" t="n">
        <v>1</v>
      </c>
      <c r="G275" s="1" t="n">
        <v>1</v>
      </c>
      <c r="H275" s="1" t="n">
        <v>4</v>
      </c>
      <c r="I275" s="8" t="n">
        <v>485592</v>
      </c>
      <c r="J275" s="1" t="n">
        <v>3</v>
      </c>
      <c r="K275" s="1" t="s">
        <v>120</v>
      </c>
      <c r="L275" s="1" t="n">
        <v>5</v>
      </c>
      <c r="N275" s="1" t="n">
        <v>3</v>
      </c>
      <c r="P275" s="1" t="n">
        <f aca="false">SUM(M275:O275)</f>
        <v>3</v>
      </c>
      <c r="W275" s="1" t="n">
        <f aca="false">SUM(Q275:V275)</f>
        <v>0</v>
      </c>
      <c r="Y275" s="1" t="n">
        <v>10</v>
      </c>
      <c r="Z275" s="12"/>
      <c r="AF275" s="9" t="n">
        <f aca="false">SUM(Z275:AE275)</f>
        <v>0</v>
      </c>
      <c r="AG275" s="10"/>
      <c r="AH275" s="11"/>
      <c r="AI275" s="11"/>
      <c r="AJ275" s="11"/>
      <c r="AK275" s="11"/>
      <c r="AL275" s="11"/>
      <c r="AM275" s="11"/>
      <c r="AN275" s="11" t="n">
        <f aca="false">SUM(AH275:AM275)</f>
        <v>0</v>
      </c>
      <c r="AO275" s="1"/>
      <c r="AP275" s="1"/>
      <c r="AQ275" s="1"/>
      <c r="AR275" s="1"/>
    </row>
    <row r="276" customFormat="false" ht="13.8" hidden="false" customHeight="false" outlineLevel="0" collapsed="false">
      <c r="A276" s="1" t="s">
        <v>378</v>
      </c>
      <c r="B276" s="1" t="n">
        <v>64</v>
      </c>
      <c r="C276" s="1" t="s">
        <v>379</v>
      </c>
      <c r="D276" s="1" t="s">
        <v>42</v>
      </c>
      <c r="E276" s="1" t="s">
        <v>380</v>
      </c>
      <c r="F276" s="1" t="n">
        <v>55</v>
      </c>
      <c r="G276" s="1" t="n">
        <v>1</v>
      </c>
      <c r="H276" s="1" t="n">
        <v>16</v>
      </c>
      <c r="I276" s="8" t="n">
        <v>7273897</v>
      </c>
      <c r="J276" s="1" t="n">
        <v>4</v>
      </c>
      <c r="K276" s="1" t="s">
        <v>381</v>
      </c>
      <c r="L276" s="1" t="n">
        <v>12</v>
      </c>
      <c r="M276" s="1" t="n">
        <v>5</v>
      </c>
      <c r="O276" s="1" t="n">
        <v>4</v>
      </c>
      <c r="P276" s="1" t="n">
        <f aca="false">SUM(M276:O276)</f>
        <v>9</v>
      </c>
      <c r="W276" s="1" t="n">
        <f aca="false">SUM(Q276:V276)</f>
        <v>0</v>
      </c>
      <c r="X276" s="1" t="n">
        <v>6</v>
      </c>
      <c r="AF276" s="9" t="n">
        <f aca="false">SUM(Z276:AE276)</f>
        <v>0</v>
      </c>
      <c r="AG276" s="10"/>
      <c r="AH276" s="11"/>
      <c r="AI276" s="11"/>
      <c r="AJ276" s="11"/>
      <c r="AK276" s="11"/>
      <c r="AL276" s="11"/>
      <c r="AM276" s="11"/>
      <c r="AN276" s="11" t="n">
        <f aca="false">SUM(AH276:AM276)</f>
        <v>0</v>
      </c>
      <c r="AO276" s="1"/>
      <c r="AP276" s="1"/>
      <c r="AQ276" s="1"/>
      <c r="AR276" s="1"/>
    </row>
    <row r="277" customFormat="false" ht="13.8" hidden="false" customHeight="false" outlineLevel="0" collapsed="false">
      <c r="A277" s="1" t="s">
        <v>382</v>
      </c>
      <c r="B277" s="1" t="n">
        <v>5</v>
      </c>
      <c r="C277" s="1" t="s">
        <v>379</v>
      </c>
      <c r="D277" s="1" t="s">
        <v>42</v>
      </c>
      <c r="E277" s="1" t="s">
        <v>380</v>
      </c>
      <c r="F277" s="1" t="n">
        <v>3</v>
      </c>
      <c r="G277" s="1" t="n">
        <v>1</v>
      </c>
      <c r="H277" s="1" t="n">
        <v>11</v>
      </c>
      <c r="I277" s="8" t="n">
        <v>1239619</v>
      </c>
      <c r="J277" s="1" t="n">
        <v>3</v>
      </c>
      <c r="K277" s="1" t="s">
        <v>46</v>
      </c>
      <c r="L277" s="1" t="n">
        <v>4</v>
      </c>
      <c r="P277" s="1" t="n">
        <f aca="false">SUM(M277:O277)</f>
        <v>0</v>
      </c>
      <c r="W277" s="1" t="n">
        <f aca="false">SUM(Q277:V277)</f>
        <v>0</v>
      </c>
      <c r="AF277" s="9" t="n">
        <f aca="false">SUM(Z277:AE277)</f>
        <v>0</v>
      </c>
      <c r="AG277" s="10"/>
      <c r="AH277" s="11"/>
      <c r="AI277" s="11"/>
      <c r="AJ277" s="11"/>
      <c r="AK277" s="11"/>
      <c r="AL277" s="11"/>
      <c r="AM277" s="11"/>
      <c r="AN277" s="11" t="n">
        <f aca="false">SUM(AH277:AM277)</f>
        <v>0</v>
      </c>
      <c r="AO277" s="1"/>
      <c r="AP277" s="1"/>
      <c r="AQ277" s="1"/>
      <c r="AR277" s="1"/>
    </row>
    <row r="278" customFormat="false" ht="13.8" hidden="false" customHeight="false" outlineLevel="0" collapsed="false">
      <c r="A278" s="1" t="s">
        <v>383</v>
      </c>
      <c r="B278" s="1" t="n">
        <v>54</v>
      </c>
      <c r="C278" s="1" t="s">
        <v>379</v>
      </c>
      <c r="D278" s="1" t="s">
        <v>42</v>
      </c>
      <c r="E278" s="1" t="s">
        <v>380</v>
      </c>
      <c r="F278" s="1" t="n">
        <v>10</v>
      </c>
      <c r="G278" s="1" t="n">
        <v>1</v>
      </c>
      <c r="H278" s="1" t="n">
        <v>12</v>
      </c>
      <c r="I278" s="8" t="n">
        <v>2511221</v>
      </c>
      <c r="J278" s="1" t="n">
        <v>4</v>
      </c>
      <c r="K278" s="1" t="s">
        <v>96</v>
      </c>
      <c r="L278" s="1" t="n">
        <v>6</v>
      </c>
      <c r="O278" s="1" t="n">
        <v>2</v>
      </c>
      <c r="P278" s="1" t="n">
        <f aca="false">SUM(M278:O278)</f>
        <v>2</v>
      </c>
      <c r="W278" s="1" t="n">
        <f aca="false">SUM(Q278:V278)</f>
        <v>0</v>
      </c>
      <c r="Z278" s="12"/>
      <c r="AF278" s="9" t="n">
        <f aca="false">SUM(Z278:AE278)</f>
        <v>0</v>
      </c>
      <c r="AG278" s="10"/>
      <c r="AH278" s="11"/>
      <c r="AI278" s="11"/>
      <c r="AJ278" s="11"/>
      <c r="AK278" s="11"/>
      <c r="AL278" s="11"/>
      <c r="AM278" s="11"/>
      <c r="AN278" s="11" t="n">
        <f aca="false">SUM(AH278:AM278)</f>
        <v>0</v>
      </c>
      <c r="AO278" s="1"/>
      <c r="AP278" s="1"/>
      <c r="AQ278" s="1"/>
      <c r="AR278" s="1"/>
    </row>
    <row r="279" customFormat="false" ht="13.8" hidden="false" customHeight="false" outlineLevel="0" collapsed="false">
      <c r="A279" s="1" t="s">
        <v>384</v>
      </c>
      <c r="B279" s="1" t="n">
        <v>59</v>
      </c>
      <c r="C279" s="1" t="s">
        <v>379</v>
      </c>
      <c r="D279" s="1" t="s">
        <v>42</v>
      </c>
      <c r="E279" s="1" t="s">
        <v>380</v>
      </c>
      <c r="F279" s="1" t="n">
        <v>15</v>
      </c>
      <c r="G279" s="1" t="n">
        <v>1</v>
      </c>
      <c r="H279" s="1" t="n">
        <v>18</v>
      </c>
      <c r="I279" s="8" t="n">
        <v>2441262</v>
      </c>
      <c r="J279" s="1" t="n">
        <v>4</v>
      </c>
      <c r="K279" s="1" t="s">
        <v>57</v>
      </c>
      <c r="L279" s="1" t="n">
        <v>8</v>
      </c>
      <c r="M279" s="1" t="n">
        <v>2</v>
      </c>
      <c r="N279" s="1" t="n">
        <v>2</v>
      </c>
      <c r="O279" s="1" t="n">
        <v>1</v>
      </c>
      <c r="P279" s="1" t="n">
        <f aca="false">SUM(M279:O279)</f>
        <v>5</v>
      </c>
      <c r="Q279" s="1" t="n">
        <v>2</v>
      </c>
      <c r="W279" s="1" t="n">
        <f aca="false">SUM(Q279:V279)</f>
        <v>2</v>
      </c>
      <c r="Y279" s="1" t="n">
        <v>1</v>
      </c>
      <c r="Z279" s="1" t="n">
        <f aca="false">(Q279)*(1+(J279)*0.2)</f>
        <v>3.6</v>
      </c>
      <c r="AE279" s="20"/>
      <c r="AF279" s="9" t="n">
        <f aca="false">SUM(Z279:AE279)</f>
        <v>3.6</v>
      </c>
      <c r="AG279" s="10" t="s">
        <v>47</v>
      </c>
      <c r="AH279" s="11" t="n">
        <f aca="false">IF(AG279="yes",Z279*1.2,Z279)</f>
        <v>4.32</v>
      </c>
      <c r="AI279" s="11"/>
      <c r="AJ279" s="11"/>
      <c r="AK279" s="11"/>
      <c r="AL279" s="11"/>
      <c r="AM279" s="11"/>
      <c r="AN279" s="11" t="n">
        <f aca="false">SUM(AH279:AM279)</f>
        <v>4.32</v>
      </c>
      <c r="AO279" s="1"/>
      <c r="AP279" s="1"/>
      <c r="AQ279" s="1"/>
      <c r="AR279" s="1"/>
    </row>
    <row r="280" customFormat="false" ht="13.8" hidden="false" customHeight="false" outlineLevel="0" collapsed="false">
      <c r="A280" s="1" t="s">
        <v>385</v>
      </c>
      <c r="B280" s="1" t="n">
        <v>55</v>
      </c>
      <c r="C280" s="1" t="s">
        <v>379</v>
      </c>
      <c r="D280" s="1" t="s">
        <v>42</v>
      </c>
      <c r="E280" s="1" t="s">
        <v>380</v>
      </c>
      <c r="F280" s="1" t="n">
        <v>23</v>
      </c>
      <c r="G280" s="1" t="n">
        <v>1</v>
      </c>
      <c r="H280" s="1" t="n">
        <v>14</v>
      </c>
      <c r="I280" s="8" t="n">
        <v>3802872</v>
      </c>
      <c r="J280" s="1" t="n">
        <v>4</v>
      </c>
      <c r="K280" s="1" t="s">
        <v>57</v>
      </c>
      <c r="L280" s="1" t="n">
        <v>8</v>
      </c>
      <c r="M280" s="1" t="n">
        <v>1</v>
      </c>
      <c r="O280" s="1" t="n">
        <v>2</v>
      </c>
      <c r="P280" s="1" t="n">
        <f aca="false">SUM(M280:O280)</f>
        <v>3</v>
      </c>
      <c r="W280" s="1" t="n">
        <f aca="false">SUM(Q280:V280)</f>
        <v>0</v>
      </c>
      <c r="Z280" s="12"/>
      <c r="AC280" s="9"/>
      <c r="AF280" s="9" t="n">
        <f aca="false">SUM(Z280:AE280)</f>
        <v>0</v>
      </c>
      <c r="AG280" s="10"/>
      <c r="AH280" s="11"/>
      <c r="AI280" s="11"/>
      <c r="AJ280" s="11"/>
      <c r="AK280" s="11"/>
      <c r="AL280" s="11"/>
      <c r="AM280" s="11"/>
      <c r="AN280" s="11" t="n">
        <f aca="false">SUM(AH280:AM280)</f>
        <v>0</v>
      </c>
      <c r="AO280" s="1"/>
      <c r="AP280" s="1"/>
      <c r="AQ280" s="1"/>
      <c r="AR280" s="1"/>
    </row>
    <row r="281" customFormat="false" ht="13.8" hidden="false" customHeight="false" outlineLevel="0" collapsed="false">
      <c r="A281" s="1" t="s">
        <v>386</v>
      </c>
      <c r="B281" s="1" t="n">
        <v>63</v>
      </c>
      <c r="C281" s="1" t="s">
        <v>379</v>
      </c>
      <c r="D281" s="1" t="s">
        <v>42</v>
      </c>
      <c r="E281" s="1" t="s">
        <v>380</v>
      </c>
      <c r="F281" s="1" t="n">
        <v>8</v>
      </c>
      <c r="G281" s="1" t="n">
        <v>1</v>
      </c>
      <c r="H281" s="1" t="n">
        <v>14</v>
      </c>
      <c r="I281" s="8" t="n">
        <v>1125790</v>
      </c>
      <c r="J281" s="1" t="n">
        <v>3</v>
      </c>
      <c r="K281" s="1" t="s">
        <v>46</v>
      </c>
      <c r="L281" s="1" t="n">
        <v>4</v>
      </c>
      <c r="O281" s="1" t="n">
        <v>1</v>
      </c>
      <c r="P281" s="1" t="n">
        <f aca="false">SUM(M281:O281)</f>
        <v>1</v>
      </c>
      <c r="R281" s="1" t="n">
        <v>6</v>
      </c>
      <c r="U281" s="1" t="n">
        <v>7</v>
      </c>
      <c r="W281" s="1" t="n">
        <f aca="false">SUM(Q281:V281)</f>
        <v>13</v>
      </c>
      <c r="X281" s="1" t="n">
        <v>3</v>
      </c>
      <c r="Y281" s="1" t="n">
        <v>5</v>
      </c>
      <c r="AA281" s="9" t="n">
        <f aca="false">(R281)*(1+(J281)*0.2)</f>
        <v>9.6</v>
      </c>
      <c r="AD281" s="9" t="n">
        <f aca="false">(U281)*(1+(J281)*0.2)</f>
        <v>11.2</v>
      </c>
      <c r="AE281" s="20"/>
      <c r="AF281" s="9" t="n">
        <f aca="false">SUM(Z281:AE281)</f>
        <v>20.8</v>
      </c>
      <c r="AG281" s="10" t="s">
        <v>47</v>
      </c>
      <c r="AH281" s="11"/>
      <c r="AI281" s="11" t="n">
        <f aca="false">IF(AG281="yes",AA281*1.2,AA281)</f>
        <v>11.52</v>
      </c>
      <c r="AJ281" s="11"/>
      <c r="AK281" s="11"/>
      <c r="AL281" s="11" t="n">
        <f aca="false">IF(AG281="yes",AD281*1.2,AD281)</f>
        <v>13.44</v>
      </c>
      <c r="AM281" s="11"/>
      <c r="AN281" s="11" t="n">
        <f aca="false">SUM(AH281:AM281)</f>
        <v>24.96</v>
      </c>
      <c r="AO281" s="1"/>
      <c r="AP281" s="1"/>
      <c r="AQ281" s="1"/>
      <c r="AR281" s="1"/>
    </row>
    <row r="282" customFormat="false" ht="13.8" hidden="false" customHeight="false" outlineLevel="0" collapsed="false">
      <c r="A282" s="1" t="s">
        <v>387</v>
      </c>
      <c r="B282" s="1" t="n">
        <v>58</v>
      </c>
      <c r="C282" s="1" t="s">
        <v>379</v>
      </c>
      <c r="D282" s="1" t="s">
        <v>42</v>
      </c>
      <c r="E282" s="1" t="s">
        <v>380</v>
      </c>
      <c r="F282" s="1" t="n">
        <v>30</v>
      </c>
      <c r="G282" s="1" t="n">
        <v>1</v>
      </c>
      <c r="H282" s="1" t="n">
        <v>6</v>
      </c>
      <c r="I282" s="8" t="n">
        <v>3099409</v>
      </c>
      <c r="J282" s="1" t="n">
        <v>3</v>
      </c>
      <c r="K282" s="1" t="s">
        <v>57</v>
      </c>
      <c r="L282" s="1" t="n">
        <v>8</v>
      </c>
      <c r="M282" s="1" t="n">
        <v>1</v>
      </c>
      <c r="N282" s="1" t="n">
        <v>6</v>
      </c>
      <c r="P282" s="1" t="n">
        <f aca="false">SUM(M282:O282)</f>
        <v>7</v>
      </c>
      <c r="W282" s="1" t="n">
        <f aca="false">SUM(Q282:V282)</f>
        <v>0</v>
      </c>
      <c r="X282" s="1" t="n">
        <v>5</v>
      </c>
      <c r="Y282" s="1" t="n">
        <v>8</v>
      </c>
      <c r="AF282" s="9" t="n">
        <f aca="false">SUM(Z282:AE282)</f>
        <v>0</v>
      </c>
      <c r="AG282" s="10"/>
      <c r="AH282" s="11"/>
      <c r="AI282" s="11"/>
      <c r="AJ282" s="11"/>
      <c r="AK282" s="11"/>
      <c r="AL282" s="11"/>
      <c r="AM282" s="11"/>
      <c r="AN282" s="11" t="n">
        <f aca="false">SUM(AH282:AM282)</f>
        <v>0</v>
      </c>
      <c r="AO282" s="1"/>
      <c r="AP282" s="1"/>
      <c r="AQ282" s="1"/>
      <c r="AR282" s="1"/>
    </row>
    <row r="283" customFormat="false" ht="13.8" hidden="false" customHeight="false" outlineLevel="0" collapsed="false">
      <c r="A283" s="1" t="s">
        <v>388</v>
      </c>
      <c r="B283" s="1" t="n">
        <v>763</v>
      </c>
      <c r="C283" s="1" t="s">
        <v>379</v>
      </c>
      <c r="D283" s="1" t="s">
        <v>42</v>
      </c>
      <c r="E283" s="1" t="s">
        <v>380</v>
      </c>
      <c r="F283" s="1" t="n">
        <v>10</v>
      </c>
      <c r="G283" s="1" t="n">
        <v>1</v>
      </c>
      <c r="H283" s="1" t="n">
        <v>6</v>
      </c>
      <c r="I283" s="8" t="n">
        <v>2142847</v>
      </c>
      <c r="J283" s="1" t="n">
        <v>3</v>
      </c>
      <c r="K283" s="1" t="s">
        <v>96</v>
      </c>
      <c r="L283" s="1" t="n">
        <v>6</v>
      </c>
      <c r="O283" s="1" t="n">
        <v>2</v>
      </c>
      <c r="P283" s="1" t="n">
        <f aca="false">SUM(M283:O283)</f>
        <v>2</v>
      </c>
      <c r="W283" s="1" t="n">
        <f aca="false">SUM(Q283:V283)</f>
        <v>0</v>
      </c>
      <c r="X283" s="1" t="n">
        <v>6</v>
      </c>
      <c r="Y283" s="1" t="n">
        <v>5</v>
      </c>
      <c r="AF283" s="9" t="n">
        <f aca="false">SUM(Z283:AE283)</f>
        <v>0</v>
      </c>
      <c r="AG283" s="10"/>
      <c r="AH283" s="11"/>
      <c r="AI283" s="11"/>
      <c r="AJ283" s="11"/>
      <c r="AK283" s="11"/>
      <c r="AL283" s="11"/>
      <c r="AM283" s="11"/>
      <c r="AN283" s="11" t="n">
        <f aca="false">SUM(AH283:AM283)</f>
        <v>0</v>
      </c>
      <c r="AO283" s="1"/>
      <c r="AP283" s="1"/>
      <c r="AQ283" s="1"/>
      <c r="AR283" s="1"/>
    </row>
    <row r="284" customFormat="false" ht="13.8" hidden="false" customHeight="false" outlineLevel="0" collapsed="false">
      <c r="A284" s="1" t="s">
        <v>389</v>
      </c>
      <c r="B284" s="1" t="n">
        <v>61</v>
      </c>
      <c r="C284" s="1" t="s">
        <v>379</v>
      </c>
      <c r="D284" s="1" t="s">
        <v>42</v>
      </c>
      <c r="E284" s="1" t="s">
        <v>380</v>
      </c>
      <c r="F284" s="1" t="n">
        <v>8</v>
      </c>
      <c r="G284" s="1" t="n">
        <v>1</v>
      </c>
      <c r="H284" s="1" t="n">
        <v>6</v>
      </c>
      <c r="I284" s="8" t="n">
        <v>837374</v>
      </c>
      <c r="J284" s="1" t="n">
        <v>3</v>
      </c>
      <c r="K284" s="1" t="s">
        <v>46</v>
      </c>
      <c r="L284" s="1" t="n">
        <v>4</v>
      </c>
      <c r="M284" s="1" t="n">
        <v>3</v>
      </c>
      <c r="P284" s="1" t="n">
        <f aca="false">SUM(M284:O284)</f>
        <v>3</v>
      </c>
      <c r="W284" s="1" t="n">
        <f aca="false">SUM(Q284:V284)</f>
        <v>0</v>
      </c>
      <c r="X284" s="1" t="n">
        <v>3</v>
      </c>
      <c r="Y284" s="1" t="n">
        <v>6</v>
      </c>
      <c r="AF284" s="9" t="n">
        <f aca="false">SUM(Z284:AE284)</f>
        <v>0</v>
      </c>
      <c r="AG284" s="10"/>
      <c r="AH284" s="11"/>
      <c r="AI284" s="11"/>
      <c r="AJ284" s="11"/>
      <c r="AK284" s="11"/>
      <c r="AL284" s="11"/>
      <c r="AM284" s="11"/>
      <c r="AN284" s="11" t="n">
        <f aca="false">SUM(AH284:AM284)</f>
        <v>0</v>
      </c>
      <c r="AO284" s="1"/>
      <c r="AP284" s="1"/>
      <c r="AQ284" s="1"/>
      <c r="AR284" s="1"/>
    </row>
    <row r="285" customFormat="false" ht="13.8" hidden="false" customHeight="false" outlineLevel="0" collapsed="false">
      <c r="A285" s="1" t="s">
        <v>390</v>
      </c>
      <c r="B285" s="1" t="n">
        <v>42</v>
      </c>
      <c r="C285" s="1" t="s">
        <v>379</v>
      </c>
      <c r="D285" s="1" t="s">
        <v>42</v>
      </c>
      <c r="E285" s="1" t="s">
        <v>380</v>
      </c>
      <c r="F285" s="1" t="n">
        <v>6</v>
      </c>
      <c r="G285" s="1" t="n">
        <v>1</v>
      </c>
      <c r="H285" s="1" t="n">
        <v>9</v>
      </c>
      <c r="I285" s="8" t="n">
        <v>3031435</v>
      </c>
      <c r="J285" s="1" t="n">
        <v>4</v>
      </c>
      <c r="K285" s="1" t="s">
        <v>109</v>
      </c>
      <c r="L285" s="1" t="n">
        <v>10</v>
      </c>
      <c r="O285" s="1" t="n">
        <v>3</v>
      </c>
      <c r="P285" s="1" t="n">
        <f aca="false">SUM(M285:O285)</f>
        <v>3</v>
      </c>
      <c r="R285" s="1" t="n">
        <v>14</v>
      </c>
      <c r="U285" s="1" t="n">
        <v>50</v>
      </c>
      <c r="W285" s="1" t="n">
        <f aca="false">SUM(Q285:V285)</f>
        <v>64</v>
      </c>
      <c r="AA285" s="9" t="n">
        <f aca="false">(R285)*(1+(J285)*0.2)</f>
        <v>25.2</v>
      </c>
      <c r="AD285" s="9" t="n">
        <f aca="false">(U285)*(1+(J285)*0.2)</f>
        <v>90</v>
      </c>
      <c r="AF285" s="9" t="n">
        <f aca="false">SUM(Z285:AE285)</f>
        <v>115.2</v>
      </c>
      <c r="AG285" s="10" t="s">
        <v>47</v>
      </c>
      <c r="AH285" s="11"/>
      <c r="AI285" s="11" t="n">
        <f aca="false">IF(AG285="yes",AA285*1.2,AA285)</f>
        <v>30.24</v>
      </c>
      <c r="AJ285" s="11"/>
      <c r="AK285" s="11"/>
      <c r="AL285" s="11" t="n">
        <f aca="false">IF(AG285="yes",AD285*1.2,AD285)</f>
        <v>108</v>
      </c>
      <c r="AM285" s="11"/>
      <c r="AN285" s="11" t="n">
        <f aca="false">SUM(AH285:AM285)</f>
        <v>138.24</v>
      </c>
      <c r="AO285" s="1"/>
      <c r="AP285" s="1"/>
      <c r="AQ285" s="1"/>
      <c r="AR285" s="1"/>
    </row>
    <row r="286" customFormat="false" ht="13.8" hidden="false" customHeight="false" outlineLevel="0" collapsed="false">
      <c r="A286" s="1" t="s">
        <v>391</v>
      </c>
      <c r="B286" s="1" t="n">
        <v>53</v>
      </c>
      <c r="C286" s="1" t="s">
        <v>379</v>
      </c>
      <c r="D286" s="1" t="s">
        <v>42</v>
      </c>
      <c r="E286" s="1" t="s">
        <v>380</v>
      </c>
      <c r="F286" s="1" t="n">
        <v>3</v>
      </c>
      <c r="G286" s="1" t="n">
        <v>1</v>
      </c>
      <c r="H286" s="1" t="n">
        <v>10</v>
      </c>
      <c r="I286" s="8" t="n">
        <v>1455139</v>
      </c>
      <c r="J286" s="1" t="n">
        <v>3</v>
      </c>
      <c r="K286" s="1" t="s">
        <v>96</v>
      </c>
      <c r="L286" s="1" t="n">
        <v>6</v>
      </c>
      <c r="P286" s="1" t="n">
        <f aca="false">SUM(M286:O286)</f>
        <v>0</v>
      </c>
      <c r="W286" s="1" t="n">
        <f aca="false">SUM(Q286:V286)</f>
        <v>0</v>
      </c>
      <c r="AF286" s="9" t="n">
        <f aca="false">SUM(Z286:AE286)</f>
        <v>0</v>
      </c>
      <c r="AG286" s="10"/>
      <c r="AH286" s="11"/>
      <c r="AI286" s="11"/>
      <c r="AJ286" s="11"/>
      <c r="AK286" s="11"/>
      <c r="AL286" s="11"/>
      <c r="AM286" s="11"/>
      <c r="AN286" s="11" t="n">
        <f aca="false">SUM(AH286:AM286)</f>
        <v>0</v>
      </c>
      <c r="AO286" s="1"/>
      <c r="AP286" s="1"/>
      <c r="AQ286" s="1"/>
      <c r="AR286" s="1"/>
    </row>
    <row r="287" customFormat="false" ht="13.8" hidden="false" customHeight="false" outlineLevel="0" collapsed="false">
      <c r="A287" s="1" t="s">
        <v>392</v>
      </c>
      <c r="B287" s="1" t="n">
        <v>66</v>
      </c>
      <c r="C287" s="1" t="s">
        <v>379</v>
      </c>
      <c r="D287" s="1" t="s">
        <v>42</v>
      </c>
      <c r="E287" s="1" t="s">
        <v>380</v>
      </c>
      <c r="F287" s="1" t="n">
        <v>10</v>
      </c>
      <c r="G287" s="1" t="n">
        <v>1</v>
      </c>
      <c r="H287" s="1" t="n">
        <v>12</v>
      </c>
      <c r="I287" s="8" t="n">
        <v>3056452</v>
      </c>
      <c r="J287" s="1" t="n">
        <v>3</v>
      </c>
      <c r="K287" s="1" t="s">
        <v>57</v>
      </c>
      <c r="L287" s="1" t="n">
        <v>8</v>
      </c>
      <c r="O287" s="1" t="n">
        <v>1</v>
      </c>
      <c r="P287" s="1" t="n">
        <f aca="false">SUM(M287:O287)</f>
        <v>1</v>
      </c>
      <c r="R287" s="1" t="n">
        <v>16</v>
      </c>
      <c r="U287" s="1" t="n">
        <v>10</v>
      </c>
      <c r="W287" s="1" t="n">
        <f aca="false">SUM(Q287:V287)</f>
        <v>26</v>
      </c>
      <c r="X287" s="1" t="n">
        <v>6</v>
      </c>
      <c r="AA287" s="9" t="n">
        <f aca="false">(R287)*(1+(J287)*0.2)</f>
        <v>25.6</v>
      </c>
      <c r="AD287" s="9" t="n">
        <f aca="false">(U287)*(1+(J287)*0.2)</f>
        <v>16</v>
      </c>
      <c r="AF287" s="9" t="n">
        <f aca="false">SUM(Z287:AE287)</f>
        <v>41.6</v>
      </c>
      <c r="AG287" s="10" t="s">
        <v>47</v>
      </c>
      <c r="AH287" s="11"/>
      <c r="AI287" s="11" t="n">
        <f aca="false">IF(AG287="yes",AA287*1.2,AA287)</f>
        <v>30.72</v>
      </c>
      <c r="AJ287" s="11"/>
      <c r="AK287" s="11"/>
      <c r="AL287" s="11" t="n">
        <f aca="false">IF(AG287="yes",AD287*1.2,AD287)</f>
        <v>19.2</v>
      </c>
      <c r="AM287" s="11"/>
      <c r="AN287" s="11" t="n">
        <f aca="false">SUM(AH287:AM287)</f>
        <v>49.92</v>
      </c>
      <c r="AO287" s="1"/>
      <c r="AP287" s="1"/>
      <c r="AQ287" s="1"/>
      <c r="AR287" s="1"/>
    </row>
    <row r="288" customFormat="false" ht="13.8" hidden="false" customHeight="false" outlineLevel="0" collapsed="false">
      <c r="A288" s="1" t="s">
        <v>393</v>
      </c>
      <c r="B288" s="1" t="n">
        <v>52</v>
      </c>
      <c r="C288" s="1" t="s">
        <v>379</v>
      </c>
      <c r="D288" s="1" t="s">
        <v>42</v>
      </c>
      <c r="E288" s="1" t="s">
        <v>380</v>
      </c>
      <c r="F288" s="1" t="n">
        <v>23</v>
      </c>
      <c r="G288" s="1" t="n">
        <v>1</v>
      </c>
      <c r="H288" s="1" t="n">
        <v>12</v>
      </c>
      <c r="I288" s="8" t="n">
        <v>2682684</v>
      </c>
      <c r="J288" s="1" t="n">
        <v>4</v>
      </c>
      <c r="K288" s="1" t="s">
        <v>96</v>
      </c>
      <c r="L288" s="1" t="n">
        <v>6</v>
      </c>
      <c r="M288" s="1" t="n">
        <v>2</v>
      </c>
      <c r="O288" s="1" t="n">
        <v>1</v>
      </c>
      <c r="P288" s="1" t="n">
        <f aca="false">SUM(M288:O288)</f>
        <v>3</v>
      </c>
      <c r="R288" s="1" t="n">
        <v>18</v>
      </c>
      <c r="W288" s="1" t="n">
        <f aca="false">SUM(Q288:V288)</f>
        <v>18</v>
      </c>
      <c r="X288" s="1" t="n">
        <v>6</v>
      </c>
      <c r="AA288" s="9" t="n">
        <f aca="false">(R288)*(1+(J288)*0.2)</f>
        <v>32.4</v>
      </c>
      <c r="AF288" s="9" t="n">
        <f aca="false">SUM(Z288:AE288)</f>
        <v>32.4</v>
      </c>
      <c r="AG288" s="10" t="s">
        <v>47</v>
      </c>
      <c r="AH288" s="11"/>
      <c r="AI288" s="11" t="n">
        <f aca="false">IF(AG288="yes",AA288*1.2,AA288)</f>
        <v>38.88</v>
      </c>
      <c r="AJ288" s="11"/>
      <c r="AK288" s="11"/>
      <c r="AL288" s="11"/>
      <c r="AM288" s="11"/>
      <c r="AN288" s="11" t="n">
        <f aca="false">SUM(AH288:AM288)</f>
        <v>38.88</v>
      </c>
      <c r="AO288" s="1"/>
      <c r="AP288" s="1"/>
      <c r="AQ288" s="1"/>
      <c r="AR288" s="1"/>
    </row>
    <row r="289" customFormat="false" ht="13.8" hidden="false" customHeight="false" outlineLevel="0" collapsed="false">
      <c r="A289" s="1" t="s">
        <v>394</v>
      </c>
      <c r="B289" s="1" t="n">
        <v>67</v>
      </c>
      <c r="C289" s="1" t="s">
        <v>379</v>
      </c>
      <c r="D289" s="1" t="s">
        <v>42</v>
      </c>
      <c r="E289" s="1" t="s">
        <v>380</v>
      </c>
      <c r="F289" s="1" t="n">
        <v>8</v>
      </c>
      <c r="G289" s="1" t="n">
        <v>1</v>
      </c>
      <c r="H289" s="1" t="n">
        <v>5</v>
      </c>
      <c r="I289" s="8" t="n">
        <v>1404303</v>
      </c>
      <c r="J289" s="1" t="n">
        <v>3</v>
      </c>
      <c r="K289" s="1" t="s">
        <v>96</v>
      </c>
      <c r="L289" s="1" t="n">
        <v>6</v>
      </c>
      <c r="P289" s="1" t="n">
        <f aca="false">SUM(M289:O289)</f>
        <v>0</v>
      </c>
      <c r="R289" s="1" t="n">
        <v>6</v>
      </c>
      <c r="U289" s="1" t="n">
        <v>8</v>
      </c>
      <c r="W289" s="1" t="n">
        <f aca="false">SUM(Q289:V289)</f>
        <v>14</v>
      </c>
      <c r="AA289" s="9" t="n">
        <f aca="false">(R289)*(1+(J289)*0.2)</f>
        <v>9.6</v>
      </c>
      <c r="AD289" s="9" t="n">
        <f aca="false">(U289)*(1+(J289)*0.2)</f>
        <v>12.8</v>
      </c>
      <c r="AF289" s="9" t="n">
        <f aca="false">SUM(Z289:AE289)</f>
        <v>22.4</v>
      </c>
      <c r="AG289" s="10" t="s">
        <v>47</v>
      </c>
      <c r="AH289" s="11"/>
      <c r="AI289" s="11" t="n">
        <f aca="false">IF(AG289="yes",AA289*1.2,AA289)</f>
        <v>11.52</v>
      </c>
      <c r="AJ289" s="11"/>
      <c r="AK289" s="11"/>
      <c r="AL289" s="11" t="n">
        <f aca="false">IF(AG289="yes",AD289*1.2,AD289)</f>
        <v>15.36</v>
      </c>
      <c r="AM289" s="11"/>
      <c r="AN289" s="11" t="n">
        <f aca="false">SUM(AH289:AM289)</f>
        <v>26.88</v>
      </c>
      <c r="AO289" s="1"/>
      <c r="AP289" s="1"/>
      <c r="AQ289" s="1"/>
      <c r="AR289" s="1"/>
    </row>
    <row r="290" customFormat="false" ht="13.8" hidden="false" customHeight="false" outlineLevel="0" collapsed="false">
      <c r="A290" s="1" t="s">
        <v>395</v>
      </c>
      <c r="B290" s="1" t="n">
        <v>68</v>
      </c>
      <c r="C290" s="1" t="s">
        <v>379</v>
      </c>
      <c r="D290" s="1" t="s">
        <v>42</v>
      </c>
      <c r="E290" s="1" t="s">
        <v>380</v>
      </c>
      <c r="F290" s="1" t="n">
        <v>1</v>
      </c>
      <c r="G290" s="1" t="n">
        <v>1</v>
      </c>
      <c r="H290" s="1" t="n">
        <v>7</v>
      </c>
      <c r="I290" s="8" t="n">
        <v>1252367</v>
      </c>
      <c r="J290" s="1" t="n">
        <v>3</v>
      </c>
      <c r="K290" s="1" t="s">
        <v>96</v>
      </c>
      <c r="L290" s="1" t="n">
        <v>6</v>
      </c>
      <c r="O290" s="1" t="n">
        <v>1</v>
      </c>
      <c r="P290" s="1" t="n">
        <f aca="false">SUM(M290:O290)</f>
        <v>1</v>
      </c>
      <c r="R290" s="1" t="n">
        <v>15</v>
      </c>
      <c r="W290" s="1" t="n">
        <f aca="false">SUM(Q290:V290)</f>
        <v>15</v>
      </c>
      <c r="AA290" s="9" t="n">
        <f aca="false">(R290)*(1+(J290)*0.2)</f>
        <v>24</v>
      </c>
      <c r="AF290" s="9" t="n">
        <f aca="false">SUM(Z290:AE290)</f>
        <v>24</v>
      </c>
      <c r="AG290" s="10" t="s">
        <v>53</v>
      </c>
      <c r="AH290" s="11"/>
      <c r="AI290" s="11" t="n">
        <f aca="false">IF(AG290="yes",AA290*1.2,AA290)</f>
        <v>24</v>
      </c>
      <c r="AJ290" s="11"/>
      <c r="AK290" s="11"/>
      <c r="AL290" s="11"/>
      <c r="AM290" s="11"/>
      <c r="AN290" s="11" t="n">
        <f aca="false">SUM(AH290:AM290)</f>
        <v>24</v>
      </c>
      <c r="AO290" s="1"/>
      <c r="AP290" s="1"/>
      <c r="AQ290" s="1"/>
      <c r="AR290" s="1"/>
    </row>
    <row r="291" customFormat="false" ht="13.8" hidden="false" customHeight="false" outlineLevel="0" collapsed="false">
      <c r="A291" s="1" t="s">
        <v>396</v>
      </c>
      <c r="B291" s="1" t="n">
        <v>51</v>
      </c>
      <c r="C291" s="1" t="s">
        <v>379</v>
      </c>
      <c r="D291" s="1" t="s">
        <v>42</v>
      </c>
      <c r="E291" s="1" t="s">
        <v>380</v>
      </c>
      <c r="F291" s="1" t="n">
        <v>15</v>
      </c>
      <c r="G291" s="1" t="n">
        <v>1</v>
      </c>
      <c r="H291" s="1" t="n">
        <v>9</v>
      </c>
      <c r="I291" s="8" t="n">
        <v>6152244</v>
      </c>
      <c r="J291" s="1" t="n">
        <v>4</v>
      </c>
      <c r="K291" s="1" t="s">
        <v>381</v>
      </c>
      <c r="L291" s="1" t="n">
        <v>12</v>
      </c>
      <c r="M291" s="1" t="n">
        <v>3</v>
      </c>
      <c r="O291" s="1" t="n">
        <v>4</v>
      </c>
      <c r="P291" s="1" t="n">
        <f aca="false">SUM(M291:O291)</f>
        <v>7</v>
      </c>
      <c r="U291" s="1" t="n">
        <v>35</v>
      </c>
      <c r="W291" s="1" t="n">
        <f aca="false">SUM(Q291:V291)</f>
        <v>35</v>
      </c>
      <c r="X291" s="1" t="n">
        <v>3</v>
      </c>
      <c r="AD291" s="9" t="n">
        <f aca="false">(U291)*(1+(J291)*0.2)</f>
        <v>63</v>
      </c>
      <c r="AF291" s="9" t="n">
        <f aca="false">SUM(Z291:AE291)</f>
        <v>63</v>
      </c>
      <c r="AG291" s="10" t="s">
        <v>47</v>
      </c>
      <c r="AH291" s="11"/>
      <c r="AI291" s="11"/>
      <c r="AJ291" s="11"/>
      <c r="AK291" s="11"/>
      <c r="AL291" s="11" t="n">
        <f aca="false">IF(AG291="yes",AD291*1.2,AD291)</f>
        <v>75.6</v>
      </c>
      <c r="AM291" s="11"/>
      <c r="AN291" s="11" t="n">
        <f aca="false">SUM(AH291:AM291)</f>
        <v>75.6</v>
      </c>
      <c r="AO291" s="1"/>
      <c r="AP291" s="1"/>
      <c r="AQ291" s="1"/>
      <c r="AR291" s="1"/>
    </row>
    <row r="292" customFormat="false" ht="13.8" hidden="false" customHeight="false" outlineLevel="0" collapsed="false">
      <c r="A292" s="1" t="s">
        <v>397</v>
      </c>
      <c r="B292" s="1" t="n">
        <v>65</v>
      </c>
      <c r="C292" s="1" t="s">
        <v>379</v>
      </c>
      <c r="D292" s="1" t="s">
        <v>42</v>
      </c>
      <c r="E292" s="1" t="s">
        <v>380</v>
      </c>
      <c r="F292" s="1" t="n">
        <v>10</v>
      </c>
      <c r="G292" s="1" t="n">
        <v>1</v>
      </c>
      <c r="H292" s="1" t="n">
        <v>11</v>
      </c>
      <c r="I292" s="8" t="n">
        <v>5599403</v>
      </c>
      <c r="J292" s="1" t="n">
        <v>4</v>
      </c>
      <c r="K292" s="1" t="s">
        <v>109</v>
      </c>
      <c r="L292" s="1" t="n">
        <v>10</v>
      </c>
      <c r="M292" s="1" t="n">
        <v>2</v>
      </c>
      <c r="O292" s="1" t="n">
        <v>7</v>
      </c>
      <c r="P292" s="1" t="n">
        <f aca="false">SUM(M292:O292)</f>
        <v>9</v>
      </c>
      <c r="U292" s="1" t="n">
        <v>41</v>
      </c>
      <c r="W292" s="1" t="n">
        <f aca="false">SUM(Q292:V292)</f>
        <v>41</v>
      </c>
      <c r="AD292" s="9" t="n">
        <f aca="false">(U292)*(1+(J292)*0.2)</f>
        <v>73.8</v>
      </c>
      <c r="AF292" s="9" t="n">
        <f aca="false">SUM(Z292:AE292)</f>
        <v>73.8</v>
      </c>
      <c r="AG292" s="10" t="s">
        <v>47</v>
      </c>
      <c r="AH292" s="11"/>
      <c r="AI292" s="11"/>
      <c r="AJ292" s="11"/>
      <c r="AK292" s="11"/>
      <c r="AL292" s="11" t="n">
        <f aca="false">IF(AG292="yes",AD292*1.2,AD292)</f>
        <v>88.56</v>
      </c>
      <c r="AM292" s="11"/>
      <c r="AN292" s="11" t="n">
        <f aca="false">SUM(AH292:AM292)</f>
        <v>88.56</v>
      </c>
      <c r="AO292" s="1"/>
      <c r="AP292" s="1"/>
      <c r="AQ292" s="1"/>
      <c r="AR292" s="1"/>
    </row>
    <row r="293" customFormat="false" ht="13.8" hidden="false" customHeight="false" outlineLevel="0" collapsed="false">
      <c r="A293" s="1" t="s">
        <v>398</v>
      </c>
      <c r="B293" s="1" t="n">
        <v>909</v>
      </c>
      <c r="C293" s="1" t="s">
        <v>379</v>
      </c>
      <c r="D293" s="1" t="s">
        <v>42</v>
      </c>
      <c r="E293" s="1" t="s">
        <v>380</v>
      </c>
      <c r="F293" s="1" t="n">
        <v>3</v>
      </c>
      <c r="G293" s="1" t="n">
        <v>1</v>
      </c>
      <c r="H293" s="1" t="n">
        <v>3</v>
      </c>
      <c r="I293" s="8" t="n">
        <v>152706</v>
      </c>
      <c r="J293" s="1" t="n">
        <v>3</v>
      </c>
      <c r="K293" s="1" t="s">
        <v>44</v>
      </c>
      <c r="L293" s="1" t="n">
        <v>2</v>
      </c>
      <c r="M293" s="1" t="n">
        <v>1</v>
      </c>
      <c r="P293" s="1" t="n">
        <f aca="false">SUM(M293:O293)</f>
        <v>1</v>
      </c>
      <c r="W293" s="1" t="n">
        <f aca="false">SUM(Q293:V293)</f>
        <v>0</v>
      </c>
      <c r="AF293" s="9" t="n">
        <f aca="false">SUM(Z293:AE293)</f>
        <v>0</v>
      </c>
      <c r="AG293" s="10"/>
      <c r="AH293" s="11"/>
      <c r="AI293" s="11"/>
      <c r="AJ293" s="11"/>
      <c r="AK293" s="11"/>
      <c r="AL293" s="11"/>
      <c r="AM293" s="11"/>
      <c r="AN293" s="11" t="n">
        <f aca="false">SUM(AH293:AM293)</f>
        <v>0</v>
      </c>
      <c r="AO293" s="1"/>
      <c r="AP293" s="1"/>
      <c r="AQ293" s="1"/>
      <c r="AR293" s="1"/>
    </row>
    <row r="294" customFormat="false" ht="13.8" hidden="false" customHeight="false" outlineLevel="0" collapsed="false">
      <c r="A294" s="1" t="s">
        <v>399</v>
      </c>
      <c r="B294" s="1" t="n">
        <v>60</v>
      </c>
      <c r="C294" s="1" t="s">
        <v>379</v>
      </c>
      <c r="D294" s="1" t="s">
        <v>42</v>
      </c>
      <c r="E294" s="1" t="s">
        <v>380</v>
      </c>
      <c r="F294" s="1" t="n">
        <v>8</v>
      </c>
      <c r="G294" s="1" t="n">
        <v>1</v>
      </c>
      <c r="H294" s="1" t="n">
        <v>9</v>
      </c>
      <c r="I294" s="8" t="n">
        <v>3008882</v>
      </c>
      <c r="J294" s="1" t="n">
        <v>3</v>
      </c>
      <c r="K294" s="1" t="s">
        <v>57</v>
      </c>
      <c r="L294" s="1" t="n">
        <v>8</v>
      </c>
      <c r="O294" s="1" t="n">
        <v>1</v>
      </c>
      <c r="P294" s="1" t="n">
        <f aca="false">SUM(M294:O294)</f>
        <v>1</v>
      </c>
      <c r="T294" s="1" t="n">
        <v>3</v>
      </c>
      <c r="U294" s="1" t="n">
        <v>9</v>
      </c>
      <c r="V294" s="1" t="n">
        <v>3</v>
      </c>
      <c r="W294" s="1" t="n">
        <f aca="false">SUM(Q294:V294)</f>
        <v>15</v>
      </c>
      <c r="AC294" s="9" t="n">
        <f aca="false">(T294)*(1+(J294)*0.2)</f>
        <v>4.8</v>
      </c>
      <c r="AD294" s="9" t="n">
        <f aca="false">(U294)*(1+(J294)*0.2)</f>
        <v>14.4</v>
      </c>
      <c r="AE294" s="9" t="n">
        <f aca="false">(V294)*(1+(J294)*0.2)</f>
        <v>4.8</v>
      </c>
      <c r="AF294" s="9" t="n">
        <f aca="false">SUM(Z294:AE294)</f>
        <v>24</v>
      </c>
      <c r="AG294" s="10" t="s">
        <v>47</v>
      </c>
      <c r="AH294" s="11"/>
      <c r="AI294" s="11"/>
      <c r="AJ294" s="11"/>
      <c r="AK294" s="11" t="n">
        <f aca="false">IF(AG294="yes",AC294*1.2,AC294)</f>
        <v>5.76</v>
      </c>
      <c r="AL294" s="11" t="n">
        <f aca="false">IF(AG294="yes",AD294*1.2,AD294)</f>
        <v>17.28</v>
      </c>
      <c r="AM294" s="11" t="n">
        <f aca="false">IF(AG294="yes",AE294*1.2,AE294)</f>
        <v>5.76</v>
      </c>
      <c r="AN294" s="11" t="n">
        <f aca="false">SUM(AH294:AM294)</f>
        <v>28.8</v>
      </c>
      <c r="AO294" s="1"/>
      <c r="AP294" s="1"/>
      <c r="AQ294" s="1"/>
      <c r="AR294" s="1"/>
    </row>
    <row r="295" customFormat="false" ht="13.8" hidden="false" customHeight="false" outlineLevel="0" collapsed="false">
      <c r="A295" s="1" t="s">
        <v>400</v>
      </c>
      <c r="B295" s="1" t="n">
        <v>62</v>
      </c>
      <c r="C295" s="1" t="s">
        <v>379</v>
      </c>
      <c r="D295" s="1" t="s">
        <v>42</v>
      </c>
      <c r="E295" s="1" t="s">
        <v>380</v>
      </c>
      <c r="F295" s="1" t="n">
        <v>1</v>
      </c>
      <c r="G295" s="1" t="n">
        <v>1</v>
      </c>
      <c r="H295" s="1" t="n">
        <v>7</v>
      </c>
      <c r="I295" s="8" t="n">
        <v>1007449</v>
      </c>
      <c r="J295" s="1" t="n">
        <v>3</v>
      </c>
      <c r="K295" s="1" t="s">
        <v>46</v>
      </c>
      <c r="L295" s="1" t="n">
        <v>4</v>
      </c>
      <c r="P295" s="1" t="n">
        <f aca="false">SUM(M295:O295)</f>
        <v>0</v>
      </c>
      <c r="W295" s="1" t="n">
        <f aca="false">SUM(Q295:V295)</f>
        <v>0</v>
      </c>
      <c r="AD295" s="9"/>
      <c r="AF295" s="9" t="n">
        <f aca="false">SUM(Z295:AE295)</f>
        <v>0</v>
      </c>
      <c r="AG295" s="10"/>
      <c r="AH295" s="11"/>
      <c r="AI295" s="11"/>
      <c r="AJ295" s="11"/>
      <c r="AK295" s="11"/>
      <c r="AL295" s="11"/>
      <c r="AM295" s="11"/>
      <c r="AN295" s="11" t="n">
        <f aca="false">SUM(AH295:AM295)</f>
        <v>0</v>
      </c>
      <c r="AO295" s="1"/>
      <c r="AP295" s="1"/>
      <c r="AQ295" s="1"/>
      <c r="AR295" s="1"/>
    </row>
    <row r="296" customFormat="false" ht="13.8" hidden="false" customHeight="false" outlineLevel="0" collapsed="false">
      <c r="A296" s="1" t="s">
        <v>401</v>
      </c>
      <c r="B296" s="1" t="n">
        <v>56</v>
      </c>
      <c r="C296" s="1" t="s">
        <v>379</v>
      </c>
      <c r="D296" s="1" t="s">
        <v>42</v>
      </c>
      <c r="E296" s="1" t="s">
        <v>380</v>
      </c>
      <c r="F296" s="1" t="n">
        <v>11</v>
      </c>
      <c r="G296" s="1" t="n">
        <v>1</v>
      </c>
      <c r="H296" s="1" t="n">
        <v>10</v>
      </c>
      <c r="I296" s="8" t="n">
        <v>2060980</v>
      </c>
      <c r="J296" s="1" t="n">
        <v>3</v>
      </c>
      <c r="K296" s="1" t="s">
        <v>96</v>
      </c>
      <c r="L296" s="1" t="n">
        <v>6</v>
      </c>
      <c r="N296" s="1" t="n">
        <v>2</v>
      </c>
      <c r="O296" s="1" t="n">
        <v>2</v>
      </c>
      <c r="P296" s="1" t="n">
        <f aca="false">SUM(M296:O296)</f>
        <v>4</v>
      </c>
      <c r="W296" s="1" t="n">
        <f aca="false">SUM(Q296:V296)</f>
        <v>0</v>
      </c>
      <c r="X296" s="1" t="n">
        <v>3</v>
      </c>
      <c r="Y296" s="1" t="n">
        <v>8</v>
      </c>
      <c r="AD296" s="9"/>
      <c r="AF296" s="9" t="n">
        <f aca="false">SUM(Z296:AE296)</f>
        <v>0</v>
      </c>
      <c r="AG296" s="10"/>
      <c r="AH296" s="11"/>
      <c r="AI296" s="11"/>
      <c r="AJ296" s="11"/>
      <c r="AK296" s="11"/>
      <c r="AL296" s="11"/>
      <c r="AM296" s="11"/>
      <c r="AN296" s="11" t="n">
        <f aca="false">SUM(AH296:AM296)</f>
        <v>0</v>
      </c>
      <c r="AO296" s="1"/>
      <c r="AP296" s="1"/>
      <c r="AQ296" s="1"/>
      <c r="AR296" s="1"/>
    </row>
    <row r="297" customFormat="false" ht="13.8" hidden="false" customHeight="false" outlineLevel="0" collapsed="false">
      <c r="A297" s="1" t="s">
        <v>402</v>
      </c>
      <c r="B297" s="1" t="n">
        <v>57</v>
      </c>
      <c r="C297" s="1" t="s">
        <v>379</v>
      </c>
      <c r="D297" s="1" t="s">
        <v>42</v>
      </c>
      <c r="E297" s="1" t="s">
        <v>380</v>
      </c>
      <c r="F297" s="1" t="n">
        <v>5</v>
      </c>
      <c r="G297" s="1" t="n">
        <v>1</v>
      </c>
      <c r="H297" s="1" t="n">
        <v>10</v>
      </c>
      <c r="I297" s="8" t="n">
        <v>5115570</v>
      </c>
      <c r="J297" s="1" t="n">
        <v>4</v>
      </c>
      <c r="K297" s="1" t="s">
        <v>57</v>
      </c>
      <c r="L297" s="1" t="n">
        <v>8</v>
      </c>
      <c r="M297" s="1" t="n">
        <v>3</v>
      </c>
      <c r="O297" s="1" t="n">
        <v>1</v>
      </c>
      <c r="P297" s="1" t="n">
        <f aca="false">SUM(M297:O297)</f>
        <v>4</v>
      </c>
      <c r="W297" s="1" t="n">
        <f aca="false">SUM(Q297:V297)</f>
        <v>0</v>
      </c>
      <c r="X297" s="1" t="n">
        <v>3</v>
      </c>
      <c r="AF297" s="9" t="n">
        <f aca="false">SUM(Z297:AE297)</f>
        <v>0</v>
      </c>
      <c r="AG297" s="10"/>
      <c r="AH297" s="11"/>
      <c r="AI297" s="11"/>
      <c r="AJ297" s="11"/>
      <c r="AK297" s="11"/>
      <c r="AL297" s="11"/>
      <c r="AM297" s="11"/>
      <c r="AN297" s="11" t="n">
        <f aca="false">SUM(AH297:AM297)</f>
        <v>0</v>
      </c>
      <c r="AO297" s="1"/>
      <c r="AP297" s="1"/>
      <c r="AQ297" s="1"/>
      <c r="AR297" s="1"/>
    </row>
    <row r="298" customFormat="false" ht="13.8" hidden="false" customHeight="false" outlineLevel="0" collapsed="false">
      <c r="A298" s="1" t="s">
        <v>403</v>
      </c>
      <c r="B298" s="1" t="n">
        <v>50</v>
      </c>
      <c r="C298" s="1" t="s">
        <v>379</v>
      </c>
      <c r="D298" s="1" t="s">
        <v>42</v>
      </c>
      <c r="E298" s="1" t="s">
        <v>380</v>
      </c>
      <c r="F298" s="1" t="n">
        <v>23</v>
      </c>
      <c r="G298" s="1" t="n">
        <v>1</v>
      </c>
      <c r="H298" s="1" t="n">
        <v>19</v>
      </c>
      <c r="I298" s="8" t="n">
        <v>5093064</v>
      </c>
      <c r="J298" s="1" t="n">
        <v>4</v>
      </c>
      <c r="K298" s="1" t="s">
        <v>57</v>
      </c>
      <c r="L298" s="1" t="n">
        <v>8</v>
      </c>
      <c r="M298" s="1" t="n">
        <v>5</v>
      </c>
      <c r="O298" s="1" t="n">
        <v>1</v>
      </c>
      <c r="P298" s="1" t="n">
        <f aca="false">SUM(M298:O298)</f>
        <v>6</v>
      </c>
      <c r="R298" s="1" t="n">
        <v>6</v>
      </c>
      <c r="W298" s="1" t="n">
        <f aca="false">SUM(Q298:V298)</f>
        <v>6</v>
      </c>
      <c r="X298" s="1" t="n">
        <v>3</v>
      </c>
      <c r="AA298" s="9" t="n">
        <f aca="false">(R298)*(1+(J298)*0.2)</f>
        <v>10.8</v>
      </c>
      <c r="AF298" s="9" t="n">
        <f aca="false">SUM(Z298:AE298)</f>
        <v>10.8</v>
      </c>
      <c r="AG298" s="10" t="s">
        <v>47</v>
      </c>
      <c r="AH298" s="11"/>
      <c r="AI298" s="11" t="n">
        <f aca="false">IF(AG298="yes",AA298*1.2,AA298)</f>
        <v>12.96</v>
      </c>
      <c r="AJ298" s="11"/>
      <c r="AK298" s="11"/>
      <c r="AL298" s="11"/>
      <c r="AM298" s="11"/>
      <c r="AN298" s="11" t="n">
        <f aca="false">SUM(AH298:AM298)</f>
        <v>12.96</v>
      </c>
      <c r="AO298" s="1"/>
      <c r="AP298" s="1"/>
      <c r="AQ298" s="1"/>
      <c r="AR298" s="1"/>
    </row>
    <row r="299" customFormat="false" ht="13.8" hidden="false" customHeight="false" outlineLevel="0" collapsed="false">
      <c r="A299" s="1" t="s">
        <v>404</v>
      </c>
      <c r="B299" s="1" t="n">
        <v>593</v>
      </c>
      <c r="C299" s="1" t="s">
        <v>405</v>
      </c>
      <c r="D299" s="1" t="s">
        <v>42</v>
      </c>
      <c r="E299" s="1" t="s">
        <v>406</v>
      </c>
      <c r="G299" s="1" t="n">
        <v>1</v>
      </c>
      <c r="H299" s="1" t="n">
        <v>18</v>
      </c>
      <c r="I299" s="8" t="n">
        <v>12715503</v>
      </c>
      <c r="J299" s="1" t="n">
        <v>2</v>
      </c>
      <c r="K299" s="1" t="s">
        <v>46</v>
      </c>
      <c r="L299" s="1" t="n">
        <v>4</v>
      </c>
      <c r="O299" s="1" t="n">
        <v>1</v>
      </c>
      <c r="P299" s="1" t="n">
        <f aca="false">SUM(M299:O299)</f>
        <v>1</v>
      </c>
      <c r="T299" s="1" t="n">
        <v>15</v>
      </c>
      <c r="U299" s="1" t="n">
        <v>15</v>
      </c>
      <c r="V299" s="1" t="n">
        <v>3</v>
      </c>
      <c r="W299" s="1" t="n">
        <f aca="false">SUM(Q299:V299)</f>
        <v>33</v>
      </c>
      <c r="Y299" s="1" t="n">
        <v>1</v>
      </c>
      <c r="AC299" s="9" t="n">
        <f aca="false">(T299)*(1+(J299)*0.2)</f>
        <v>21</v>
      </c>
      <c r="AD299" s="9" t="n">
        <f aca="false">(U299)*(1+(J299)*0.2)</f>
        <v>21</v>
      </c>
      <c r="AE299" s="9" t="n">
        <f aca="false">(V299)*(1+(J299)*0.2)</f>
        <v>4.2</v>
      </c>
      <c r="AF299" s="9" t="n">
        <f aca="false">SUM(Z299:AE299)</f>
        <v>46.2</v>
      </c>
      <c r="AG299" s="10" t="s">
        <v>47</v>
      </c>
      <c r="AH299" s="11"/>
      <c r="AI299" s="11"/>
      <c r="AJ299" s="11"/>
      <c r="AK299" s="11" t="n">
        <f aca="false">IF(AG299="yes",AC299*1.2,AC299)</f>
        <v>25.2</v>
      </c>
      <c r="AL299" s="11" t="n">
        <f aca="false">IF(AG299="yes",AD299*1.2,AD299)</f>
        <v>25.2</v>
      </c>
      <c r="AM299" s="11" t="n">
        <f aca="false">IF(AG299="yes",AE299*1.2,AE299)</f>
        <v>5.04</v>
      </c>
      <c r="AN299" s="11" t="n">
        <f aca="false">SUM(AH299:AM299)</f>
        <v>55.44</v>
      </c>
      <c r="AO299" s="1"/>
      <c r="AP299" s="1"/>
      <c r="AQ299" s="1"/>
      <c r="AR299" s="1"/>
    </row>
    <row r="300" customFormat="false" ht="13.8" hidden="false" customHeight="false" outlineLevel="0" collapsed="false">
      <c r="A300" s="1" t="s">
        <v>407</v>
      </c>
      <c r="B300" s="1" t="n">
        <v>599</v>
      </c>
      <c r="C300" s="1" t="s">
        <v>405</v>
      </c>
      <c r="D300" s="1" t="s">
        <v>42</v>
      </c>
      <c r="E300" s="1" t="s">
        <v>406</v>
      </c>
      <c r="F300" s="1" t="n">
        <v>3</v>
      </c>
      <c r="G300" s="1" t="n">
        <v>1</v>
      </c>
      <c r="H300" s="1" t="n">
        <v>23</v>
      </c>
      <c r="I300" s="8" t="n">
        <v>8695802</v>
      </c>
      <c r="J300" s="1" t="n">
        <v>2</v>
      </c>
      <c r="K300" s="1" t="s">
        <v>46</v>
      </c>
      <c r="L300" s="1" t="n">
        <v>4</v>
      </c>
      <c r="M300" s="1" t="n">
        <v>1</v>
      </c>
      <c r="O300" s="1" t="n">
        <v>2</v>
      </c>
      <c r="P300" s="1" t="n">
        <f aca="false">SUM(M300:O300)</f>
        <v>3</v>
      </c>
      <c r="T300" s="1" t="n">
        <v>15</v>
      </c>
      <c r="U300" s="1" t="n">
        <v>15</v>
      </c>
      <c r="V300" s="1" t="n">
        <v>3</v>
      </c>
      <c r="W300" s="1" t="n">
        <f aca="false">SUM(Q300:V300)</f>
        <v>33</v>
      </c>
      <c r="X300" s="1" t="n">
        <v>2</v>
      </c>
      <c r="AC300" s="9" t="n">
        <f aca="false">(T300)*(1+(J300)*0.2)</f>
        <v>21</v>
      </c>
      <c r="AD300" s="9" t="n">
        <f aca="false">(U300)*(1+(J300)*0.2)</f>
        <v>21</v>
      </c>
      <c r="AE300" s="9" t="n">
        <f aca="false">(V300)*(1+(J300)*0.2)</f>
        <v>4.2</v>
      </c>
      <c r="AF300" s="9" t="n">
        <f aca="false">SUM(Z300:AE300)</f>
        <v>46.2</v>
      </c>
      <c r="AG300" s="10" t="s">
        <v>53</v>
      </c>
      <c r="AH300" s="11"/>
      <c r="AI300" s="11"/>
      <c r="AJ300" s="11"/>
      <c r="AK300" s="11" t="n">
        <f aca="false">IF(AG300="yes",AC300*1.2,AC300)</f>
        <v>21</v>
      </c>
      <c r="AL300" s="11" t="n">
        <f aca="false">IF(AG300="yes",AD300*1.2,AD300)</f>
        <v>21</v>
      </c>
      <c r="AM300" s="11" t="n">
        <f aca="false">IF(AG300="yes",AE300*1.2,AE300)</f>
        <v>4.2</v>
      </c>
      <c r="AN300" s="11" t="n">
        <f aca="false">SUM(AH300:AM300)</f>
        <v>46.2</v>
      </c>
      <c r="AO300" s="1"/>
      <c r="AP300" s="1"/>
      <c r="AQ300" s="1"/>
      <c r="AR300" s="1"/>
    </row>
    <row r="301" customFormat="false" ht="13.8" hidden="false" customHeight="false" outlineLevel="0" collapsed="false">
      <c r="A301" s="1" t="s">
        <v>408</v>
      </c>
      <c r="B301" s="1" t="n">
        <v>592</v>
      </c>
      <c r="C301" s="1" t="s">
        <v>405</v>
      </c>
      <c r="D301" s="1" t="s">
        <v>42</v>
      </c>
      <c r="E301" s="1" t="s">
        <v>406</v>
      </c>
      <c r="F301" s="1" t="n">
        <v>5</v>
      </c>
      <c r="G301" s="1" t="n">
        <v>1</v>
      </c>
      <c r="H301" s="1" t="n">
        <v>11</v>
      </c>
      <c r="I301" s="8" t="n">
        <v>17856971</v>
      </c>
      <c r="J301" s="1" t="n">
        <v>2</v>
      </c>
      <c r="K301" s="1" t="s">
        <v>96</v>
      </c>
      <c r="L301" s="1" t="n">
        <v>6</v>
      </c>
      <c r="M301" s="1" t="n">
        <v>2</v>
      </c>
      <c r="O301" s="1" t="n">
        <v>2</v>
      </c>
      <c r="P301" s="1" t="n">
        <f aca="false">SUM(M301:O301)</f>
        <v>4</v>
      </c>
      <c r="T301" s="1" t="n">
        <v>8</v>
      </c>
      <c r="U301" s="1" t="n">
        <v>15</v>
      </c>
      <c r="V301" s="1" t="n">
        <v>3</v>
      </c>
      <c r="W301" s="1" t="n">
        <f aca="false">SUM(Q301:V301)</f>
        <v>26</v>
      </c>
      <c r="X301" s="1" t="n">
        <v>3</v>
      </c>
      <c r="Y301" s="1" t="n">
        <v>5</v>
      </c>
      <c r="AC301" s="9" t="n">
        <f aca="false">(T301)*(1+(J301)*0.2)</f>
        <v>11.2</v>
      </c>
      <c r="AD301" s="9" t="n">
        <f aca="false">(U301)*(1+(J301)*0.2)</f>
        <v>21</v>
      </c>
      <c r="AE301" s="9" t="n">
        <f aca="false">(V301)*(1+(J301)*0.2)</f>
        <v>4.2</v>
      </c>
      <c r="AF301" s="9" t="n">
        <f aca="false">SUM(Z301:AE301)</f>
        <v>36.4</v>
      </c>
      <c r="AG301" s="10" t="s">
        <v>47</v>
      </c>
      <c r="AH301" s="11"/>
      <c r="AI301" s="11"/>
      <c r="AJ301" s="11"/>
      <c r="AK301" s="11" t="n">
        <f aca="false">IF(AG301="yes",AC301*1.2,AC301)</f>
        <v>13.44</v>
      </c>
      <c r="AL301" s="11" t="n">
        <f aca="false">IF(AG301="yes",AD301*1.2,AD301)</f>
        <v>25.2</v>
      </c>
      <c r="AM301" s="11" t="n">
        <f aca="false">IF(AG301="yes",AE301*1.2,AE301)</f>
        <v>5.04</v>
      </c>
      <c r="AN301" s="11" t="n">
        <f aca="false">SUM(AH301:AM301)</f>
        <v>43.68</v>
      </c>
      <c r="AO301" s="1"/>
      <c r="AP301" s="1"/>
      <c r="AQ301" s="1"/>
      <c r="AR301" s="1"/>
    </row>
    <row r="302" customFormat="false" ht="13.8" hidden="false" customHeight="false" outlineLevel="0" collapsed="false">
      <c r="A302" s="1" t="s">
        <v>409</v>
      </c>
      <c r="B302" s="1" t="n">
        <v>591</v>
      </c>
      <c r="C302" s="1" t="s">
        <v>405</v>
      </c>
      <c r="D302" s="1" t="s">
        <v>42</v>
      </c>
      <c r="E302" s="1" t="s">
        <v>406</v>
      </c>
      <c r="F302" s="1" t="n">
        <v>1</v>
      </c>
      <c r="G302" s="1" t="n">
        <v>1</v>
      </c>
      <c r="H302" s="1" t="n">
        <v>7</v>
      </c>
      <c r="I302" s="8" t="n">
        <v>4355310</v>
      </c>
      <c r="J302" s="1" t="n">
        <v>1</v>
      </c>
      <c r="K302" s="1" t="s">
        <v>46</v>
      </c>
      <c r="L302" s="1" t="n">
        <v>4</v>
      </c>
      <c r="P302" s="1" t="n">
        <f aca="false">SUM(M302:O302)</f>
        <v>0</v>
      </c>
      <c r="W302" s="1" t="n">
        <f aca="false">SUM(Q302:V302)</f>
        <v>0</v>
      </c>
      <c r="X302" s="1" t="n">
        <v>1</v>
      </c>
      <c r="Y302" s="1" t="n">
        <v>2</v>
      </c>
      <c r="AF302" s="9" t="n">
        <f aca="false">SUM(Z302:AE302)</f>
        <v>0</v>
      </c>
      <c r="AG302" s="10"/>
      <c r="AH302" s="11"/>
      <c r="AI302" s="11"/>
      <c r="AJ302" s="11"/>
      <c r="AK302" s="11"/>
      <c r="AL302" s="11"/>
      <c r="AM302" s="11"/>
      <c r="AN302" s="11" t="n">
        <f aca="false">SUM(AH302:AM302)</f>
        <v>0</v>
      </c>
      <c r="AO302" s="1"/>
      <c r="AP302" s="1"/>
      <c r="AQ302" s="1"/>
      <c r="AR302" s="1"/>
    </row>
    <row r="303" customFormat="false" ht="13.8" hidden="false" customHeight="false" outlineLevel="0" collapsed="false">
      <c r="A303" s="1" t="s">
        <v>410</v>
      </c>
      <c r="B303" s="1" t="n">
        <v>594</v>
      </c>
      <c r="C303" s="1" t="s">
        <v>405</v>
      </c>
      <c r="D303" s="1" t="s">
        <v>42</v>
      </c>
      <c r="E303" s="1" t="s">
        <v>406</v>
      </c>
      <c r="F303" s="1" t="n">
        <v>10</v>
      </c>
      <c r="G303" s="1" t="n">
        <v>1</v>
      </c>
      <c r="H303" s="1" t="n">
        <v>13</v>
      </c>
      <c r="I303" s="8" t="n">
        <v>6557996</v>
      </c>
      <c r="J303" s="1" t="n">
        <v>2</v>
      </c>
      <c r="K303" s="1" t="s">
        <v>46</v>
      </c>
      <c r="L303" s="1" t="n">
        <v>4</v>
      </c>
      <c r="O303" s="1" t="n">
        <v>1</v>
      </c>
      <c r="P303" s="1" t="n">
        <f aca="false">SUM(M303:O303)</f>
        <v>1</v>
      </c>
      <c r="T303" s="1" t="n">
        <v>11</v>
      </c>
      <c r="U303" s="1" t="n">
        <v>8</v>
      </c>
      <c r="V303" s="1" t="n">
        <v>3</v>
      </c>
      <c r="W303" s="1" t="n">
        <f aca="false">SUM(Q303:V303)</f>
        <v>22</v>
      </c>
      <c r="AC303" s="9" t="n">
        <f aca="false">(T303)*(1+(J303)*0.2)</f>
        <v>15.4</v>
      </c>
      <c r="AD303" s="9" t="n">
        <f aca="false">(U303)*(1+(J303)*0.2)</f>
        <v>11.2</v>
      </c>
      <c r="AE303" s="9" t="n">
        <f aca="false">(V303)*(1+(J303)*0.2)</f>
        <v>4.2</v>
      </c>
      <c r="AF303" s="9" t="n">
        <f aca="false">SUM(Z303:AE303)</f>
        <v>30.8</v>
      </c>
      <c r="AG303" s="10" t="s">
        <v>47</v>
      </c>
      <c r="AH303" s="11"/>
      <c r="AI303" s="11"/>
      <c r="AJ303" s="11"/>
      <c r="AK303" s="11" t="n">
        <f aca="false">IF(AG303="yes",AC303*1.2,AC303)</f>
        <v>18.48</v>
      </c>
      <c r="AL303" s="11" t="n">
        <f aca="false">IF(AG303="yes",AD303*1.2,AD303)</f>
        <v>13.44</v>
      </c>
      <c r="AM303" s="11" t="n">
        <f aca="false">IF(AG303="yes",AE303*1.2,AE303)</f>
        <v>5.04</v>
      </c>
      <c r="AN303" s="11" t="n">
        <f aca="false">SUM(AH303:AM303)</f>
        <v>36.96</v>
      </c>
      <c r="AO303" s="1"/>
      <c r="AP303" s="1"/>
      <c r="AQ303" s="1"/>
      <c r="AR303" s="1"/>
    </row>
    <row r="304" customFormat="false" ht="13.8" hidden="false" customHeight="false" outlineLevel="0" collapsed="false">
      <c r="A304" s="1" t="s">
        <v>411</v>
      </c>
      <c r="B304" s="1" t="n">
        <v>313</v>
      </c>
      <c r="C304" s="1" t="s">
        <v>412</v>
      </c>
      <c r="D304" s="1" t="s">
        <v>42</v>
      </c>
      <c r="E304" s="1" t="s">
        <v>411</v>
      </c>
      <c r="F304" s="1" t="n">
        <v>3</v>
      </c>
      <c r="G304" s="1" t="n">
        <v>1</v>
      </c>
      <c r="H304" s="1" t="n">
        <v>4</v>
      </c>
      <c r="I304" s="8" t="n">
        <v>1773162</v>
      </c>
      <c r="J304" s="1" t="n">
        <v>2</v>
      </c>
      <c r="K304" s="1" t="s">
        <v>46</v>
      </c>
      <c r="L304" s="1" t="n">
        <v>4</v>
      </c>
      <c r="M304" s="1" t="n">
        <v>1</v>
      </c>
      <c r="O304" s="1" t="n">
        <v>2</v>
      </c>
      <c r="P304" s="1" t="n">
        <f aca="false">SUM(M304:O304)</f>
        <v>3</v>
      </c>
      <c r="V304" s="1" t="n">
        <v>4</v>
      </c>
      <c r="W304" s="1" t="n">
        <f aca="false">SUM(Q304:V304)</f>
        <v>4</v>
      </c>
      <c r="X304" s="1" t="n">
        <v>1</v>
      </c>
      <c r="Y304" s="1" t="n">
        <v>2</v>
      </c>
      <c r="AE304" s="9" t="n">
        <f aca="false">(V304)*(1+(J304)*0.2)</f>
        <v>5.6</v>
      </c>
      <c r="AF304" s="9" t="n">
        <f aca="false">SUM(Z304:AE304)</f>
        <v>5.6</v>
      </c>
      <c r="AG304" s="10" t="s">
        <v>47</v>
      </c>
      <c r="AH304" s="11"/>
      <c r="AI304" s="11"/>
      <c r="AJ304" s="11"/>
      <c r="AK304" s="11"/>
      <c r="AL304" s="11"/>
      <c r="AM304" s="11" t="n">
        <f aca="false">IF(AG304="yes",AE304*1.2,AE304)</f>
        <v>6.72</v>
      </c>
      <c r="AN304" s="11" t="n">
        <f aca="false">SUM(AH304:AM304)</f>
        <v>6.72</v>
      </c>
      <c r="AO304" s="1"/>
      <c r="AP304" s="1"/>
      <c r="AQ304" s="1"/>
      <c r="AR304" s="1"/>
    </row>
    <row r="305" customFormat="false" ht="13.8" hidden="false" customHeight="false" outlineLevel="0" collapsed="false">
      <c r="A305" s="1" t="s">
        <v>413</v>
      </c>
      <c r="B305" s="1" t="n">
        <v>318</v>
      </c>
      <c r="C305" s="1" t="s">
        <v>414</v>
      </c>
      <c r="D305" s="1" t="s">
        <v>42</v>
      </c>
      <c r="E305" s="1" t="s">
        <v>413</v>
      </c>
      <c r="F305" s="1" t="n">
        <v>5</v>
      </c>
      <c r="G305" s="1" t="n">
        <v>1</v>
      </c>
      <c r="H305" s="1" t="n">
        <v>3</v>
      </c>
      <c r="I305" s="8" t="n">
        <v>2382905</v>
      </c>
      <c r="J305" s="1" t="n">
        <v>2</v>
      </c>
      <c r="K305" s="1" t="s">
        <v>46</v>
      </c>
      <c r="L305" s="1" t="n">
        <v>4</v>
      </c>
      <c r="M305" s="1" t="n">
        <v>1</v>
      </c>
      <c r="O305" s="1" t="n">
        <v>2</v>
      </c>
      <c r="P305" s="1" t="n">
        <f aca="false">SUM(M305:O305)</f>
        <v>3</v>
      </c>
      <c r="V305" s="1" t="n">
        <v>2</v>
      </c>
      <c r="W305" s="1" t="n">
        <f aca="false">SUM(Q305:V305)</f>
        <v>2</v>
      </c>
      <c r="X305" s="1" t="n">
        <v>1</v>
      </c>
      <c r="Y305" s="1" t="n">
        <v>3</v>
      </c>
      <c r="AE305" s="9" t="n">
        <f aca="false">(V305)*(1+(J305)*0.2)</f>
        <v>2.8</v>
      </c>
      <c r="AF305" s="9" t="n">
        <f aca="false">SUM(Z305:AE305)</f>
        <v>2.8</v>
      </c>
      <c r="AG305" s="10" t="s">
        <v>47</v>
      </c>
      <c r="AH305" s="11"/>
      <c r="AI305" s="11"/>
      <c r="AJ305" s="11"/>
      <c r="AK305" s="11"/>
      <c r="AL305" s="11"/>
      <c r="AM305" s="11" t="n">
        <f aca="false">IF(AG305="yes",AE305*1.2,AE305)</f>
        <v>3.36</v>
      </c>
      <c r="AN305" s="11" t="n">
        <f aca="false">SUM(AH305:AM305)</f>
        <v>3.36</v>
      </c>
      <c r="AO305" s="1"/>
      <c r="AP305" s="1"/>
      <c r="AQ305" s="1"/>
      <c r="AR305" s="1"/>
    </row>
    <row r="306" customFormat="false" ht="13.8" hidden="false" customHeight="false" outlineLevel="0" collapsed="false">
      <c r="A306" s="1" t="s">
        <v>415</v>
      </c>
      <c r="B306" s="1" t="n">
        <v>312</v>
      </c>
      <c r="C306" s="1" t="s">
        <v>416</v>
      </c>
      <c r="D306" s="1" t="s">
        <v>42</v>
      </c>
      <c r="E306" s="1" t="s">
        <v>415</v>
      </c>
      <c r="F306" s="1" t="n">
        <v>3</v>
      </c>
      <c r="G306" s="1" t="n">
        <v>1</v>
      </c>
      <c r="H306" s="1" t="n">
        <v>3</v>
      </c>
      <c r="I306" s="8" t="n">
        <v>860811</v>
      </c>
      <c r="J306" s="1" t="n">
        <v>2</v>
      </c>
      <c r="K306" s="1" t="s">
        <v>46</v>
      </c>
      <c r="L306" s="1" t="n">
        <v>4</v>
      </c>
      <c r="M306" s="1" t="n">
        <v>1</v>
      </c>
      <c r="O306" s="1" t="n">
        <v>2</v>
      </c>
      <c r="P306" s="1" t="n">
        <f aca="false">SUM(M306:O306)</f>
        <v>3</v>
      </c>
      <c r="V306" s="1" t="n">
        <v>1</v>
      </c>
      <c r="W306" s="1" t="n">
        <f aca="false">SUM(Q306:V306)</f>
        <v>1</v>
      </c>
      <c r="X306" s="1" t="n">
        <v>1</v>
      </c>
      <c r="Y306" s="1" t="n">
        <v>2</v>
      </c>
      <c r="AE306" s="9" t="n">
        <f aca="false">(V306)*(1+(J306)*0.2)</f>
        <v>1.4</v>
      </c>
      <c r="AF306" s="9" t="n">
        <f aca="false">SUM(Z306:AE306)</f>
        <v>1.4</v>
      </c>
      <c r="AG306" s="10" t="s">
        <v>47</v>
      </c>
      <c r="AH306" s="11"/>
      <c r="AI306" s="11"/>
      <c r="AJ306" s="11"/>
      <c r="AK306" s="11"/>
      <c r="AL306" s="11"/>
      <c r="AM306" s="11" t="n">
        <f aca="false">IF(AG306="yes",AE306*1.2,AE306)</f>
        <v>1.68</v>
      </c>
      <c r="AN306" s="11" t="n">
        <f aca="false">SUM(AH306:AM306)</f>
        <v>1.68</v>
      </c>
      <c r="AO306" s="1"/>
      <c r="AP306" s="1"/>
      <c r="AQ306" s="1"/>
      <c r="AR306" s="1"/>
    </row>
    <row r="307" customFormat="false" ht="13.8" hidden="false" customHeight="false" outlineLevel="0" collapsed="false">
      <c r="A307" s="1" t="s">
        <v>417</v>
      </c>
      <c r="B307" s="1" t="n">
        <v>100</v>
      </c>
      <c r="C307" s="1" t="s">
        <v>418</v>
      </c>
      <c r="D307" s="1" t="s">
        <v>42</v>
      </c>
      <c r="E307" s="1" t="s">
        <v>417</v>
      </c>
      <c r="F307" s="1" t="n">
        <v>1</v>
      </c>
      <c r="G307" s="1" t="n">
        <v>1</v>
      </c>
      <c r="H307" s="1" t="n">
        <v>7</v>
      </c>
      <c r="I307" s="8" t="n">
        <v>116011</v>
      </c>
      <c r="J307" s="1" t="n">
        <v>1</v>
      </c>
      <c r="K307" s="1" t="s">
        <v>44</v>
      </c>
      <c r="L307" s="1" t="n">
        <v>2</v>
      </c>
      <c r="N307" s="1" t="n">
        <v>1</v>
      </c>
      <c r="O307" s="1" t="n">
        <v>1</v>
      </c>
      <c r="P307" s="1" t="n">
        <f aca="false">SUM(M307:O307)</f>
        <v>2</v>
      </c>
      <c r="W307" s="1" t="n">
        <f aca="false">SUM(Q307:V307)</f>
        <v>0</v>
      </c>
      <c r="Y307" s="1" t="n">
        <v>1</v>
      </c>
      <c r="AA307" s="9"/>
      <c r="AD307" s="9"/>
      <c r="AF307" s="9" t="n">
        <f aca="false">SUM(Z307:AE307)</f>
        <v>0</v>
      </c>
      <c r="AG307" s="10"/>
      <c r="AH307" s="11"/>
      <c r="AI307" s="11"/>
      <c r="AJ307" s="11"/>
      <c r="AK307" s="11"/>
      <c r="AL307" s="11"/>
      <c r="AM307" s="11"/>
      <c r="AN307" s="11" t="n">
        <f aca="false">SUM(AH307:AM307)</f>
        <v>0</v>
      </c>
      <c r="AO307" s="1"/>
      <c r="AP307" s="1"/>
      <c r="AQ307" s="1"/>
      <c r="AR307" s="1"/>
    </row>
    <row r="308" customFormat="false" ht="13.8" hidden="false" customHeight="false" outlineLevel="0" collapsed="false">
      <c r="A308" s="1" t="s">
        <v>419</v>
      </c>
      <c r="B308" s="1" t="n">
        <v>412</v>
      </c>
      <c r="C308" s="1" t="s">
        <v>420</v>
      </c>
      <c r="D308" s="1" t="s">
        <v>42</v>
      </c>
      <c r="E308" s="1" t="s">
        <v>421</v>
      </c>
      <c r="F308" s="1" t="n">
        <v>7</v>
      </c>
      <c r="G308" s="1" t="n">
        <v>1</v>
      </c>
      <c r="H308" s="13" t="n">
        <v>10</v>
      </c>
      <c r="I308" s="8" t="n">
        <v>919740</v>
      </c>
      <c r="J308" s="1" t="n">
        <v>1</v>
      </c>
      <c r="K308" s="1" t="s">
        <v>44</v>
      </c>
      <c r="L308" s="1" t="n">
        <v>2</v>
      </c>
      <c r="P308" s="1" t="n">
        <f aca="false">SUM(M308:O308)</f>
        <v>0</v>
      </c>
      <c r="Q308" s="1" t="n">
        <v>10</v>
      </c>
      <c r="W308" s="1" t="n">
        <f aca="false">SUM(Q308:V308)</f>
        <v>10</v>
      </c>
      <c r="Y308" s="1" t="n">
        <v>6</v>
      </c>
      <c r="Z308" s="9" t="n">
        <f aca="false">(Q308)*(1+(J308)*0.2)</f>
        <v>12</v>
      </c>
      <c r="AB308" s="9"/>
      <c r="AF308" s="9" t="n">
        <f aca="false">SUM(Z308:AE308)</f>
        <v>12</v>
      </c>
      <c r="AG308" s="10" t="s">
        <v>47</v>
      </c>
      <c r="AH308" s="11" t="n">
        <f aca="false">IF(AG308="yes",Z308*1.2,Z308)</f>
        <v>14.4</v>
      </c>
      <c r="AI308" s="11"/>
      <c r="AJ308" s="11"/>
      <c r="AK308" s="11"/>
      <c r="AL308" s="11"/>
      <c r="AM308" s="11"/>
      <c r="AN308" s="11" t="n">
        <f aca="false">SUM(AH308:AM308)</f>
        <v>14.4</v>
      </c>
      <c r="AO308" s="1"/>
      <c r="AP308" s="1"/>
      <c r="AQ308" s="1"/>
      <c r="AR308" s="1"/>
    </row>
    <row r="309" customFormat="false" ht="13.8" hidden="false" customHeight="false" outlineLevel="0" collapsed="false">
      <c r="A309" s="1" t="s">
        <v>422</v>
      </c>
      <c r="B309" s="1" t="n">
        <v>420</v>
      </c>
      <c r="C309" s="1" t="s">
        <v>420</v>
      </c>
      <c r="D309" s="1" t="s">
        <v>42</v>
      </c>
      <c r="E309" s="1" t="s">
        <v>421</v>
      </c>
      <c r="F309" s="1" t="n">
        <v>8</v>
      </c>
      <c r="G309" s="1" t="n">
        <v>1</v>
      </c>
      <c r="H309" s="1" t="n">
        <v>7</v>
      </c>
      <c r="I309" s="8" t="n">
        <v>1316553</v>
      </c>
      <c r="J309" s="1" t="n">
        <v>2</v>
      </c>
      <c r="K309" s="1" t="s">
        <v>44</v>
      </c>
      <c r="L309" s="1" t="n">
        <v>2</v>
      </c>
      <c r="P309" s="1" t="n">
        <f aca="false">SUM(M309:O309)</f>
        <v>0</v>
      </c>
      <c r="W309" s="1" t="n">
        <f aca="false">SUM(Q309:V309)</f>
        <v>0</v>
      </c>
      <c r="AF309" s="9" t="n">
        <f aca="false">SUM(Z309:AE309)</f>
        <v>0</v>
      </c>
      <c r="AG309" s="10"/>
      <c r="AH309" s="11"/>
      <c r="AI309" s="11"/>
      <c r="AJ309" s="11"/>
      <c r="AK309" s="11"/>
      <c r="AL309" s="11"/>
      <c r="AM309" s="11"/>
      <c r="AN309" s="11" t="n">
        <f aca="false">SUM(AH309:AM309)</f>
        <v>0</v>
      </c>
      <c r="AO309" s="1"/>
      <c r="AP309" s="1"/>
      <c r="AQ309" s="1"/>
      <c r="AR309" s="1"/>
    </row>
    <row r="310" customFormat="false" ht="13.8" hidden="false" customHeight="false" outlineLevel="0" collapsed="false">
      <c r="A310" s="1" t="s">
        <v>423</v>
      </c>
      <c r="B310" s="1" t="n">
        <v>417</v>
      </c>
      <c r="C310" s="1" t="s">
        <v>420</v>
      </c>
      <c r="D310" s="1" t="s">
        <v>42</v>
      </c>
      <c r="E310" s="1" t="s">
        <v>421</v>
      </c>
      <c r="F310" s="1" t="n">
        <v>4</v>
      </c>
      <c r="G310" s="1" t="n">
        <v>1</v>
      </c>
      <c r="H310" s="1" t="n">
        <v>5</v>
      </c>
      <c r="I310" s="8" t="n">
        <v>797368</v>
      </c>
      <c r="J310" s="1" t="n">
        <v>2</v>
      </c>
      <c r="K310" s="1" t="s">
        <v>44</v>
      </c>
      <c r="L310" s="1" t="n">
        <v>2</v>
      </c>
      <c r="P310" s="1" t="n">
        <f aca="false">SUM(M310:O310)</f>
        <v>0</v>
      </c>
      <c r="W310" s="1" t="n">
        <f aca="false">SUM(Q310:V310)</f>
        <v>0</v>
      </c>
      <c r="AB310" s="9"/>
      <c r="AF310" s="9" t="n">
        <f aca="false">SUM(Z310:AE310)</f>
        <v>0</v>
      </c>
      <c r="AG310" s="10"/>
      <c r="AH310" s="11"/>
      <c r="AI310" s="11"/>
      <c r="AJ310" s="11"/>
      <c r="AK310" s="11"/>
      <c r="AL310" s="11"/>
      <c r="AM310" s="11"/>
      <c r="AN310" s="11" t="n">
        <f aca="false">SUM(AH310:AM310)</f>
        <v>0</v>
      </c>
      <c r="AO310" s="1"/>
      <c r="AP310" s="1"/>
      <c r="AQ310" s="1"/>
      <c r="AR310" s="1"/>
    </row>
    <row r="311" customFormat="false" ht="13.8" hidden="false" customHeight="false" outlineLevel="0" collapsed="false">
      <c r="A311" s="1" t="s">
        <v>424</v>
      </c>
      <c r="B311" s="1" t="n">
        <v>411</v>
      </c>
      <c r="C311" s="1" t="s">
        <v>420</v>
      </c>
      <c r="D311" s="1" t="s">
        <v>42</v>
      </c>
      <c r="E311" s="1" t="s">
        <v>421</v>
      </c>
      <c r="F311" s="1" t="n">
        <v>3</v>
      </c>
      <c r="G311" s="1" t="n">
        <v>1</v>
      </c>
      <c r="H311" s="1" t="n">
        <v>9</v>
      </c>
      <c r="I311" s="8" t="n">
        <v>886353</v>
      </c>
      <c r="J311" s="1" t="n">
        <v>1</v>
      </c>
      <c r="K311" s="1" t="s">
        <v>44</v>
      </c>
      <c r="L311" s="1" t="n">
        <v>2</v>
      </c>
      <c r="P311" s="1" t="n">
        <f aca="false">SUM(M311:O311)</f>
        <v>0</v>
      </c>
      <c r="Q311" s="1" t="n">
        <v>12</v>
      </c>
      <c r="W311" s="1" t="n">
        <f aca="false">SUM(Q311:V311)</f>
        <v>12</v>
      </c>
      <c r="Z311" s="9" t="n">
        <f aca="false">(Q311)*(1+(J311)*0.2)</f>
        <v>14.4</v>
      </c>
      <c r="AF311" s="9" t="n">
        <f aca="false">SUM(Z311:AE311)</f>
        <v>14.4</v>
      </c>
      <c r="AG311" s="10" t="s">
        <v>53</v>
      </c>
      <c r="AH311" s="11" t="n">
        <f aca="false">IF(AG311="yes",Z311*1.2,Z311)</f>
        <v>14.4</v>
      </c>
      <c r="AI311" s="11"/>
      <c r="AJ311" s="11"/>
      <c r="AK311" s="11"/>
      <c r="AL311" s="11"/>
      <c r="AM311" s="11"/>
      <c r="AN311" s="11" t="n">
        <f aca="false">SUM(AH311:AM311)</f>
        <v>14.4</v>
      </c>
      <c r="AO311" s="1"/>
      <c r="AP311" s="1"/>
      <c r="AQ311" s="1"/>
      <c r="AR311" s="1"/>
    </row>
    <row r="312" customFormat="false" ht="13.8" hidden="false" customHeight="false" outlineLevel="0" collapsed="false">
      <c r="A312" s="1" t="s">
        <v>425</v>
      </c>
      <c r="B312" s="1" t="n">
        <v>414</v>
      </c>
      <c r="C312" s="1" t="s">
        <v>420</v>
      </c>
      <c r="D312" s="1" t="s">
        <v>42</v>
      </c>
      <c r="E312" s="1" t="s">
        <v>421</v>
      </c>
      <c r="F312" s="1" t="n">
        <v>2</v>
      </c>
      <c r="G312" s="1" t="n">
        <v>1</v>
      </c>
      <c r="H312" s="1" t="n">
        <v>10</v>
      </c>
      <c r="I312" s="8" t="n">
        <v>486606</v>
      </c>
      <c r="J312" s="1" t="n">
        <v>1</v>
      </c>
      <c r="K312" s="1" t="s">
        <v>76</v>
      </c>
      <c r="L312" s="1" t="n">
        <v>0</v>
      </c>
      <c r="P312" s="1" t="n">
        <f aca="false">SUM(M312:O312)</f>
        <v>0</v>
      </c>
      <c r="W312" s="1" t="n">
        <f aca="false">SUM(Q312:V312)</f>
        <v>0</v>
      </c>
      <c r="Z312" s="12"/>
      <c r="AD312" s="9"/>
      <c r="AF312" s="9" t="n">
        <f aca="false">SUM(Z312:AE312)</f>
        <v>0</v>
      </c>
      <c r="AG312" s="10"/>
      <c r="AH312" s="11"/>
      <c r="AI312" s="11"/>
      <c r="AJ312" s="11"/>
      <c r="AK312" s="11"/>
      <c r="AL312" s="11"/>
      <c r="AM312" s="11"/>
      <c r="AN312" s="11" t="n">
        <f aca="false">SUM(AH312:AM312)</f>
        <v>0</v>
      </c>
      <c r="AO312" s="1"/>
      <c r="AP312" s="1"/>
      <c r="AQ312" s="1"/>
      <c r="AR312" s="1"/>
    </row>
    <row r="313" customFormat="false" ht="13.8" hidden="false" customHeight="false" outlineLevel="0" collapsed="false">
      <c r="A313" s="1" t="s">
        <v>426</v>
      </c>
      <c r="B313" s="1" t="n">
        <v>416</v>
      </c>
      <c r="C313" s="1" t="s">
        <v>420</v>
      </c>
      <c r="D313" s="1" t="s">
        <v>42</v>
      </c>
      <c r="E313" s="1" t="s">
        <v>421</v>
      </c>
      <c r="F313" s="1" t="n">
        <v>1</v>
      </c>
      <c r="G313" s="1" t="n">
        <v>1</v>
      </c>
      <c r="H313" s="1" t="n">
        <v>9</v>
      </c>
      <c r="I313" s="8" t="n">
        <v>1061033</v>
      </c>
      <c r="J313" s="1" t="n">
        <v>2</v>
      </c>
      <c r="K313" s="1" t="s">
        <v>44</v>
      </c>
      <c r="L313" s="1" t="n">
        <v>2</v>
      </c>
      <c r="O313" s="1" t="n">
        <v>2</v>
      </c>
      <c r="P313" s="1" t="n">
        <f aca="false">SUM(M313:O313)</f>
        <v>2</v>
      </c>
      <c r="W313" s="1" t="n">
        <f aca="false">SUM(Q313:V313)</f>
        <v>0</v>
      </c>
      <c r="AF313" s="9" t="n">
        <f aca="false">SUM(Z313:AE313)</f>
        <v>0</v>
      </c>
      <c r="AG313" s="10"/>
      <c r="AH313" s="11"/>
      <c r="AI313" s="11"/>
      <c r="AJ313" s="11"/>
      <c r="AK313" s="11"/>
      <c r="AL313" s="11"/>
      <c r="AM313" s="11"/>
      <c r="AN313" s="11" t="n">
        <f aca="false">SUM(AH313:AM313)</f>
        <v>0</v>
      </c>
      <c r="AO313" s="1"/>
      <c r="AP313" s="1"/>
      <c r="AQ313" s="1"/>
      <c r="AR313" s="1"/>
    </row>
    <row r="314" customFormat="false" ht="13.8" hidden="false" customHeight="false" outlineLevel="0" collapsed="false">
      <c r="A314" s="1" t="s">
        <v>427</v>
      </c>
      <c r="B314" s="1" t="n">
        <v>413</v>
      </c>
      <c r="C314" s="1" t="s">
        <v>420</v>
      </c>
      <c r="D314" s="1" t="s">
        <v>42</v>
      </c>
      <c r="E314" s="1" t="s">
        <v>421</v>
      </c>
      <c r="F314" s="1" t="n">
        <v>1</v>
      </c>
      <c r="G314" s="1" t="n">
        <v>1</v>
      </c>
      <c r="H314" s="1" t="n">
        <v>4</v>
      </c>
      <c r="I314" s="8" t="n">
        <v>798329</v>
      </c>
      <c r="J314" s="1" t="n">
        <v>3</v>
      </c>
      <c r="K314" s="1" t="s">
        <v>44</v>
      </c>
      <c r="L314" s="1" t="n">
        <v>2</v>
      </c>
      <c r="P314" s="1" t="n">
        <f aca="false">SUM(M314:O314)</f>
        <v>0</v>
      </c>
      <c r="Q314" s="1" t="n">
        <v>28</v>
      </c>
      <c r="W314" s="1" t="n">
        <f aca="false">SUM(Q314:V314)</f>
        <v>28</v>
      </c>
      <c r="Y314" s="1" t="n">
        <v>1</v>
      </c>
      <c r="Z314" s="9" t="n">
        <f aca="false">(Q314)*(1+(J314)*0.2)</f>
        <v>44.8</v>
      </c>
      <c r="AC314" s="9"/>
      <c r="AD314" s="9"/>
      <c r="AF314" s="9" t="n">
        <f aca="false">SUM(Z314:AE314)</f>
        <v>44.8</v>
      </c>
      <c r="AG314" s="10" t="s">
        <v>47</v>
      </c>
      <c r="AH314" s="11" t="n">
        <f aca="false">IF(AG314="yes",Z314*1.2,Z314)</f>
        <v>53.76</v>
      </c>
      <c r="AI314" s="11"/>
      <c r="AJ314" s="11"/>
      <c r="AK314" s="11"/>
      <c r="AL314" s="11"/>
      <c r="AM314" s="11"/>
      <c r="AN314" s="11" t="n">
        <f aca="false">SUM(AH314:AM314)</f>
        <v>53.76</v>
      </c>
      <c r="AO314" s="1"/>
      <c r="AP314" s="1"/>
      <c r="AQ314" s="1"/>
      <c r="AR314" s="1"/>
    </row>
    <row r="315" customFormat="false" ht="13.8" hidden="false" customHeight="false" outlineLevel="0" collapsed="false">
      <c r="A315" s="1" t="s">
        <v>428</v>
      </c>
      <c r="B315" s="1" t="n">
        <v>421</v>
      </c>
      <c r="C315" s="1" t="s">
        <v>420</v>
      </c>
      <c r="D315" s="1" t="s">
        <v>42</v>
      </c>
      <c r="E315" s="1" t="s">
        <v>421</v>
      </c>
      <c r="F315" s="1" t="n">
        <v>8</v>
      </c>
      <c r="G315" s="1" t="n">
        <v>1</v>
      </c>
      <c r="H315" s="1" t="n">
        <v>7</v>
      </c>
      <c r="I315" s="8" t="n">
        <v>781230</v>
      </c>
      <c r="J315" s="1" t="n">
        <v>2</v>
      </c>
      <c r="K315" s="1" t="s">
        <v>44</v>
      </c>
      <c r="L315" s="1" t="n">
        <v>2</v>
      </c>
      <c r="P315" s="1" t="n">
        <f aca="false">SUM(M315:O315)</f>
        <v>0</v>
      </c>
      <c r="W315" s="1" t="n">
        <f aca="false">SUM(Q315:V315)</f>
        <v>0</v>
      </c>
      <c r="Z315" s="12"/>
      <c r="AF315" s="9" t="n">
        <f aca="false">SUM(Z315:AE315)</f>
        <v>0</v>
      </c>
      <c r="AG315" s="10"/>
      <c r="AH315" s="11"/>
      <c r="AI315" s="11"/>
      <c r="AJ315" s="11"/>
      <c r="AK315" s="11"/>
      <c r="AL315" s="11"/>
      <c r="AM315" s="11"/>
      <c r="AN315" s="11" t="n">
        <f aca="false">SUM(AH315:AM315)</f>
        <v>0</v>
      </c>
      <c r="AO315" s="1"/>
      <c r="AP315" s="1"/>
      <c r="AQ315" s="1"/>
      <c r="AR315" s="1"/>
    </row>
    <row r="316" customFormat="false" ht="13.8" hidden="false" customHeight="false" outlineLevel="0" collapsed="false">
      <c r="A316" s="1" t="s">
        <v>429</v>
      </c>
      <c r="B316" s="1" t="n">
        <v>418</v>
      </c>
      <c r="C316" s="1" t="s">
        <v>420</v>
      </c>
      <c r="D316" s="1" t="s">
        <v>42</v>
      </c>
      <c r="E316" s="1" t="s">
        <v>421</v>
      </c>
      <c r="F316" s="1" t="n">
        <v>1</v>
      </c>
      <c r="G316" s="1" t="n">
        <v>1</v>
      </c>
      <c r="H316" s="1" t="n">
        <v>7</v>
      </c>
      <c r="I316" s="8" t="n">
        <v>332768</v>
      </c>
      <c r="J316" s="1" t="n">
        <v>1</v>
      </c>
      <c r="K316" s="1" t="s">
        <v>76</v>
      </c>
      <c r="L316" s="1" t="n">
        <v>0</v>
      </c>
      <c r="P316" s="1" t="n">
        <f aca="false">SUM(M316:O316)</f>
        <v>0</v>
      </c>
      <c r="W316" s="1" t="n">
        <f aca="false">SUM(Q316:V316)</f>
        <v>0</v>
      </c>
      <c r="Z316" s="12"/>
      <c r="AF316" s="9" t="n">
        <f aca="false">SUM(Z316:AE316)</f>
        <v>0</v>
      </c>
      <c r="AG316" s="10"/>
      <c r="AH316" s="11"/>
      <c r="AI316" s="11"/>
      <c r="AJ316" s="11"/>
      <c r="AK316" s="11"/>
      <c r="AL316" s="11"/>
      <c r="AM316" s="11"/>
      <c r="AN316" s="11" t="n">
        <f aca="false">SUM(AH316:AM316)</f>
        <v>0</v>
      </c>
      <c r="AO316" s="1"/>
      <c r="AP316" s="1"/>
      <c r="AQ316" s="1"/>
      <c r="AR316" s="1"/>
    </row>
    <row r="317" customFormat="false" ht="13.8" hidden="false" customHeight="false" outlineLevel="0" collapsed="false">
      <c r="A317" s="1" t="s">
        <v>430</v>
      </c>
      <c r="B317" s="1" t="n">
        <v>410</v>
      </c>
      <c r="C317" s="1" t="s">
        <v>420</v>
      </c>
      <c r="D317" s="1" t="s">
        <v>42</v>
      </c>
      <c r="E317" s="1" t="s">
        <v>421</v>
      </c>
      <c r="F317" s="1" t="n">
        <v>1</v>
      </c>
      <c r="G317" s="1" t="n">
        <v>1</v>
      </c>
      <c r="H317" s="1" t="n">
        <v>6</v>
      </c>
      <c r="I317" s="8" t="n">
        <v>341469</v>
      </c>
      <c r="J317" s="1" t="n">
        <v>1</v>
      </c>
      <c r="K317" s="1" t="s">
        <v>44</v>
      </c>
      <c r="L317" s="1" t="n">
        <v>2</v>
      </c>
      <c r="P317" s="1" t="n">
        <f aca="false">SUM(M317:O317)</f>
        <v>0</v>
      </c>
      <c r="W317" s="1" t="n">
        <f aca="false">SUM(Q317:V317)</f>
        <v>0</v>
      </c>
      <c r="Z317" s="12"/>
      <c r="AF317" s="9" t="n">
        <f aca="false">SUM(Z317:AE317)</f>
        <v>0</v>
      </c>
      <c r="AG317" s="10"/>
      <c r="AH317" s="11"/>
      <c r="AI317" s="11"/>
      <c r="AJ317" s="11"/>
      <c r="AK317" s="11"/>
      <c r="AL317" s="11"/>
      <c r="AM317" s="11"/>
      <c r="AN317" s="11" t="n">
        <f aca="false">SUM(AH317:AM317)</f>
        <v>0</v>
      </c>
      <c r="AO317" s="1"/>
      <c r="AP317" s="1"/>
      <c r="AQ317" s="1"/>
      <c r="AR317" s="1"/>
    </row>
    <row r="318" customFormat="false" ht="13.8" hidden="false" customHeight="false" outlineLevel="0" collapsed="false">
      <c r="A318" s="1" t="s">
        <v>431</v>
      </c>
      <c r="B318" s="1" t="n">
        <v>266</v>
      </c>
      <c r="C318" s="1" t="s">
        <v>420</v>
      </c>
      <c r="D318" s="1" t="s">
        <v>42</v>
      </c>
      <c r="E318" s="1" t="s">
        <v>421</v>
      </c>
      <c r="F318" s="1" t="n">
        <v>10</v>
      </c>
      <c r="G318" s="1" t="n">
        <v>1</v>
      </c>
      <c r="H318" s="1" t="n">
        <v>5</v>
      </c>
      <c r="I318" s="8" t="n">
        <v>3450457</v>
      </c>
      <c r="J318" s="1" t="n">
        <v>2</v>
      </c>
      <c r="K318" s="1" t="s">
        <v>46</v>
      </c>
      <c r="L318" s="1" t="n">
        <v>4</v>
      </c>
      <c r="M318" s="1" t="n">
        <v>1</v>
      </c>
      <c r="O318" s="1" t="n">
        <v>2</v>
      </c>
      <c r="P318" s="1" t="n">
        <f aca="false">SUM(M318:O318)</f>
        <v>3</v>
      </c>
      <c r="W318" s="1" t="n">
        <f aca="false">SUM(Q318:V318)</f>
        <v>0</v>
      </c>
      <c r="X318" s="1" t="n">
        <v>3</v>
      </c>
      <c r="AF318" s="9" t="n">
        <f aca="false">SUM(Z318:AE318)</f>
        <v>0</v>
      </c>
      <c r="AG318" s="10"/>
      <c r="AH318" s="11"/>
      <c r="AI318" s="11"/>
      <c r="AJ318" s="11"/>
      <c r="AK318" s="11"/>
      <c r="AL318" s="11"/>
      <c r="AM318" s="11"/>
      <c r="AN318" s="11" t="n">
        <f aca="false">SUM(AH318:AM318)</f>
        <v>0</v>
      </c>
      <c r="AO318" s="1"/>
      <c r="AP318" s="1"/>
      <c r="AQ318" s="1"/>
      <c r="AR318" s="1"/>
    </row>
    <row r="319" customFormat="false" ht="13.8" hidden="false" customHeight="false" outlineLevel="0" collapsed="false">
      <c r="A319" s="1" t="s">
        <v>432</v>
      </c>
      <c r="B319" s="1" t="n">
        <v>419</v>
      </c>
      <c r="C319" s="1" t="s">
        <v>420</v>
      </c>
      <c r="D319" s="1" t="s">
        <v>42</v>
      </c>
      <c r="E319" s="1" t="s">
        <v>421</v>
      </c>
      <c r="F319" s="1" t="n">
        <v>5</v>
      </c>
      <c r="G319" s="1" t="n">
        <v>1</v>
      </c>
      <c r="H319" s="1" t="n">
        <v>10</v>
      </c>
      <c r="I319" s="8" t="n">
        <v>1433462</v>
      </c>
      <c r="J319" s="1" t="n">
        <v>2</v>
      </c>
      <c r="K319" s="1" t="s">
        <v>44</v>
      </c>
      <c r="L319" s="1" t="n">
        <v>2</v>
      </c>
      <c r="P319" s="1" t="n">
        <f aca="false">SUM(M319:O319)</f>
        <v>0</v>
      </c>
      <c r="W319" s="1" t="n">
        <f aca="false">SUM(Q319:V319)</f>
        <v>0</v>
      </c>
      <c r="Z319" s="12"/>
      <c r="AF319" s="9" t="n">
        <f aca="false">SUM(Z319:AE319)</f>
        <v>0</v>
      </c>
      <c r="AG319" s="10"/>
      <c r="AH319" s="11"/>
      <c r="AI319" s="11"/>
      <c r="AJ319" s="11"/>
      <c r="AK319" s="11"/>
      <c r="AL319" s="11"/>
      <c r="AM319" s="11"/>
      <c r="AN319" s="11" t="n">
        <f aca="false">SUM(AH319:AM319)</f>
        <v>0</v>
      </c>
      <c r="AO319" s="1"/>
      <c r="AP319" s="1"/>
      <c r="AQ319" s="1"/>
      <c r="AR319" s="1"/>
    </row>
    <row r="320" customFormat="false" ht="13.8" hidden="false" customHeight="false" outlineLevel="0" collapsed="false">
      <c r="A320" s="1" t="s">
        <v>433</v>
      </c>
      <c r="B320" s="1" t="n">
        <v>675</v>
      </c>
      <c r="C320" s="1" t="s">
        <v>434</v>
      </c>
      <c r="D320" s="1" t="s">
        <v>42</v>
      </c>
      <c r="E320" s="1" t="s">
        <v>435</v>
      </c>
      <c r="F320" s="1" t="n">
        <v>1</v>
      </c>
      <c r="G320" s="1" t="n">
        <v>1</v>
      </c>
      <c r="H320" s="1" t="n">
        <v>5</v>
      </c>
      <c r="I320" s="8" t="n">
        <v>122242</v>
      </c>
      <c r="J320" s="1" t="n">
        <v>1</v>
      </c>
      <c r="K320" s="1" t="s">
        <v>76</v>
      </c>
      <c r="L320" s="1" t="n">
        <v>0</v>
      </c>
      <c r="P320" s="1" t="n">
        <f aca="false">SUM(M320:O320)</f>
        <v>0</v>
      </c>
      <c r="W320" s="1" t="n">
        <f aca="false">SUM(Q320:V320)</f>
        <v>0</v>
      </c>
      <c r="AF320" s="9" t="n">
        <f aca="false">SUM(Z320:AE320)</f>
        <v>0</v>
      </c>
      <c r="AG320" s="10"/>
      <c r="AH320" s="11"/>
      <c r="AI320" s="11"/>
      <c r="AJ320" s="11"/>
      <c r="AK320" s="11"/>
      <c r="AL320" s="11"/>
      <c r="AM320" s="11"/>
      <c r="AN320" s="11" t="n">
        <f aca="false">SUM(AH320:AM320)</f>
        <v>0</v>
      </c>
      <c r="AO320" s="1"/>
      <c r="AP320" s="1"/>
      <c r="AQ320" s="1"/>
      <c r="AR320" s="1"/>
    </row>
    <row r="321" customFormat="false" ht="13.8" hidden="false" customHeight="false" outlineLevel="0" collapsed="false">
      <c r="A321" s="1" t="s">
        <v>436</v>
      </c>
      <c r="B321" s="1" t="n">
        <v>291</v>
      </c>
      <c r="C321" s="1" t="s">
        <v>434</v>
      </c>
      <c r="D321" s="1" t="s">
        <v>42</v>
      </c>
      <c r="E321" s="1" t="s">
        <v>435</v>
      </c>
      <c r="F321" s="1" t="n">
        <v>19</v>
      </c>
      <c r="G321" s="1" t="n">
        <v>1</v>
      </c>
      <c r="H321" s="1" t="n">
        <v>13</v>
      </c>
      <c r="I321" s="8" t="n">
        <v>2046660</v>
      </c>
      <c r="J321" s="1" t="n">
        <v>3</v>
      </c>
      <c r="K321" s="1" t="s">
        <v>46</v>
      </c>
      <c r="L321" s="1" t="n">
        <v>4</v>
      </c>
      <c r="M321" s="1" t="n">
        <v>1</v>
      </c>
      <c r="O321" s="1" t="n">
        <v>2</v>
      </c>
      <c r="P321" s="1" t="n">
        <f aca="false">SUM(M321:O321)</f>
        <v>3</v>
      </c>
      <c r="Q321" s="1" t="n">
        <v>15</v>
      </c>
      <c r="W321" s="1" t="n">
        <f aca="false">SUM(Q321:V321)</f>
        <v>15</v>
      </c>
      <c r="X321" s="1" t="n">
        <v>4</v>
      </c>
      <c r="Y321" s="1" t="n">
        <v>1</v>
      </c>
      <c r="Z321" s="9" t="n">
        <f aca="false">(Q321)*(1+(J321)*0.2)</f>
        <v>24</v>
      </c>
      <c r="AA321" s="9"/>
      <c r="AF321" s="9" t="n">
        <f aca="false">SUM(Z321:AE321)</f>
        <v>24</v>
      </c>
      <c r="AG321" s="10" t="s">
        <v>47</v>
      </c>
      <c r="AH321" s="11" t="n">
        <f aca="false">IF(AG321="yes",Z321*1.2,Z321)</f>
        <v>28.8</v>
      </c>
      <c r="AI321" s="11"/>
      <c r="AJ321" s="11"/>
      <c r="AK321" s="11"/>
      <c r="AL321" s="11"/>
      <c r="AM321" s="11"/>
      <c r="AN321" s="11" t="n">
        <f aca="false">SUM(AH321:AM321)</f>
        <v>28.8</v>
      </c>
      <c r="AO321" s="1"/>
      <c r="AP321" s="1"/>
      <c r="AQ321" s="1"/>
      <c r="AR321" s="1"/>
    </row>
    <row r="322" customFormat="false" ht="13.8" hidden="false" customHeight="false" outlineLevel="0" collapsed="false">
      <c r="A322" s="1" t="s">
        <v>437</v>
      </c>
      <c r="B322" s="1" t="n">
        <v>676</v>
      </c>
      <c r="C322" s="1" t="s">
        <v>434</v>
      </c>
      <c r="D322" s="1" t="s">
        <v>42</v>
      </c>
      <c r="E322" s="1" t="s">
        <v>435</v>
      </c>
      <c r="F322" s="1" t="n">
        <v>9</v>
      </c>
      <c r="G322" s="1" t="n">
        <v>1</v>
      </c>
      <c r="H322" s="1" t="n">
        <v>11</v>
      </c>
      <c r="I322" s="8" t="n">
        <v>1184185</v>
      </c>
      <c r="J322" s="1" t="n">
        <v>2</v>
      </c>
      <c r="K322" s="1" t="s">
        <v>46</v>
      </c>
      <c r="L322" s="1" t="n">
        <v>4</v>
      </c>
      <c r="P322" s="1" t="n">
        <f aca="false">SUM(M322:O322)</f>
        <v>0</v>
      </c>
      <c r="Q322" s="1" t="n">
        <v>8</v>
      </c>
      <c r="W322" s="1" t="n">
        <f aca="false">SUM(Q322:V322)</f>
        <v>8</v>
      </c>
      <c r="Z322" s="9" t="n">
        <f aca="false">(Q322)*(1+(J322)*0.2)</f>
        <v>11.2</v>
      </c>
      <c r="AF322" s="9" t="n">
        <f aca="false">SUM(Z322:AE322)</f>
        <v>11.2</v>
      </c>
      <c r="AG322" s="10" t="s">
        <v>47</v>
      </c>
      <c r="AH322" s="11" t="n">
        <f aca="false">IF(AG322="yes",Z322*1.2,Z322)</f>
        <v>13.44</v>
      </c>
      <c r="AI322" s="11"/>
      <c r="AJ322" s="11"/>
      <c r="AK322" s="11"/>
      <c r="AL322" s="11"/>
      <c r="AM322" s="11"/>
      <c r="AN322" s="11" t="n">
        <f aca="false">SUM(AH322:AM322)</f>
        <v>13.44</v>
      </c>
      <c r="AO322" s="1"/>
      <c r="AP322" s="1"/>
      <c r="AQ322" s="1"/>
      <c r="AR322" s="1"/>
    </row>
    <row r="323" customFormat="false" ht="13.8" hidden="false" customHeight="false" outlineLevel="0" collapsed="false">
      <c r="A323" s="1" t="s">
        <v>438</v>
      </c>
      <c r="B323" s="1" t="n">
        <v>134</v>
      </c>
      <c r="C323" s="1" t="s">
        <v>439</v>
      </c>
      <c r="D323" s="1" t="s">
        <v>42</v>
      </c>
      <c r="E323" s="1" t="s">
        <v>440</v>
      </c>
      <c r="F323" s="1" t="n">
        <v>4</v>
      </c>
      <c r="G323" s="1" t="n">
        <v>1</v>
      </c>
      <c r="H323" s="1" t="n">
        <v>9</v>
      </c>
      <c r="I323" s="8" t="n">
        <v>667914</v>
      </c>
      <c r="J323" s="1" t="n">
        <v>3</v>
      </c>
      <c r="K323" s="1" t="s">
        <v>46</v>
      </c>
      <c r="L323" s="1" t="n">
        <v>4</v>
      </c>
      <c r="P323" s="1" t="n">
        <f aca="false">SUM(M323:O323)</f>
        <v>0</v>
      </c>
      <c r="W323" s="1" t="n">
        <f aca="false">SUM(Q323:V323)</f>
        <v>0</v>
      </c>
      <c r="AF323" s="9" t="n">
        <f aca="false">SUM(Z323:AE323)</f>
        <v>0</v>
      </c>
      <c r="AG323" s="10"/>
      <c r="AH323" s="11"/>
      <c r="AI323" s="11"/>
      <c r="AJ323" s="11"/>
      <c r="AK323" s="11"/>
      <c r="AL323" s="11"/>
      <c r="AM323" s="11"/>
      <c r="AN323" s="11" t="n">
        <f aca="false">SUM(AH323:AM323)</f>
        <v>0</v>
      </c>
      <c r="AO323" s="1"/>
      <c r="AP323" s="1"/>
      <c r="AQ323" s="1"/>
      <c r="AR323" s="1"/>
    </row>
    <row r="324" customFormat="false" ht="13.8" hidden="false" customHeight="false" outlineLevel="0" collapsed="false">
      <c r="A324" s="1" t="s">
        <v>441</v>
      </c>
      <c r="B324" s="1" t="n">
        <v>113</v>
      </c>
      <c r="C324" s="1" t="s">
        <v>439</v>
      </c>
      <c r="D324" s="1" t="s">
        <v>42</v>
      </c>
      <c r="E324" s="1" t="s">
        <v>440</v>
      </c>
      <c r="F324" s="1" t="n">
        <v>12</v>
      </c>
      <c r="G324" s="1" t="n">
        <v>1</v>
      </c>
      <c r="H324" s="1" t="n">
        <v>8</v>
      </c>
      <c r="I324" s="8" t="n">
        <v>1359257</v>
      </c>
      <c r="J324" s="1" t="n">
        <v>4</v>
      </c>
      <c r="K324" s="1" t="s">
        <v>96</v>
      </c>
      <c r="L324" s="1" t="n">
        <v>6</v>
      </c>
      <c r="M324" s="1" t="n">
        <v>1</v>
      </c>
      <c r="O324" s="1" t="n">
        <v>5</v>
      </c>
      <c r="P324" s="1" t="n">
        <f aca="false">SUM(M324:O324)</f>
        <v>6</v>
      </c>
      <c r="R324" s="1" t="n">
        <v>0</v>
      </c>
      <c r="U324" s="1" t="n">
        <v>2</v>
      </c>
      <c r="W324" s="1" t="n">
        <f aca="false">SUM(Q324:V324)</f>
        <v>2</v>
      </c>
      <c r="X324" s="1" t="n">
        <v>3</v>
      </c>
      <c r="Y324" s="1" t="n">
        <v>6</v>
      </c>
      <c r="AD324" s="9" t="n">
        <f aca="false">(U324)*(1+(J324)*0.2)</f>
        <v>3.6</v>
      </c>
      <c r="AE324" s="20"/>
      <c r="AF324" s="9" t="n">
        <f aca="false">SUM(Z324:AE324)</f>
        <v>3.6</v>
      </c>
      <c r="AG324" s="10" t="s">
        <v>47</v>
      </c>
      <c r="AH324" s="11"/>
      <c r="AI324" s="11"/>
      <c r="AJ324" s="11"/>
      <c r="AK324" s="11"/>
      <c r="AL324" s="11" t="n">
        <f aca="false">IF(AG324="yes",AD324*1.2,AD324)</f>
        <v>4.32</v>
      </c>
      <c r="AM324" s="11"/>
      <c r="AN324" s="11" t="n">
        <f aca="false">SUM(AH324:AM324)</f>
        <v>4.32</v>
      </c>
      <c r="AO324" s="1"/>
      <c r="AP324" s="1"/>
      <c r="AQ324" s="1"/>
      <c r="AR324" s="1"/>
    </row>
    <row r="325" customFormat="false" ht="13.8" hidden="false" customHeight="false" outlineLevel="0" collapsed="false">
      <c r="A325" s="1" t="s">
        <v>442</v>
      </c>
      <c r="B325" s="1" t="n">
        <v>135</v>
      </c>
      <c r="C325" s="1" t="s">
        <v>439</v>
      </c>
      <c r="D325" s="1" t="s">
        <v>42</v>
      </c>
      <c r="E325" s="1" t="s">
        <v>440</v>
      </c>
      <c r="F325" s="1" t="n">
        <v>6</v>
      </c>
      <c r="G325" s="1" t="n">
        <v>1</v>
      </c>
      <c r="H325" s="1" t="n">
        <v>10</v>
      </c>
      <c r="I325" s="8" t="n">
        <v>942549</v>
      </c>
      <c r="J325" s="1" t="n">
        <v>3</v>
      </c>
      <c r="K325" s="1" t="s">
        <v>46</v>
      </c>
      <c r="L325" s="1" t="n">
        <v>4</v>
      </c>
      <c r="O325" s="1" t="n">
        <v>3</v>
      </c>
      <c r="P325" s="1" t="n">
        <f aca="false">SUM(M325:O325)</f>
        <v>3</v>
      </c>
      <c r="W325" s="1" t="n">
        <f aca="false">SUM(Q325:V325)</f>
        <v>0</v>
      </c>
      <c r="AE325" s="20"/>
      <c r="AF325" s="9" t="n">
        <f aca="false">SUM(Z325:AE325)</f>
        <v>0</v>
      </c>
      <c r="AG325" s="10"/>
      <c r="AH325" s="11"/>
      <c r="AI325" s="11"/>
      <c r="AJ325" s="11"/>
      <c r="AK325" s="11"/>
      <c r="AL325" s="11"/>
      <c r="AM325" s="11"/>
      <c r="AN325" s="11" t="n">
        <f aca="false">SUM(AH325:AM325)</f>
        <v>0</v>
      </c>
      <c r="AO325" s="1"/>
      <c r="AP325" s="1"/>
      <c r="AQ325" s="1"/>
      <c r="AR325" s="1"/>
    </row>
    <row r="326" customFormat="false" ht="13.8" hidden="false" customHeight="false" outlineLevel="0" collapsed="false">
      <c r="A326" s="1" t="s">
        <v>443</v>
      </c>
      <c r="B326" s="1" t="n">
        <v>157</v>
      </c>
      <c r="C326" s="1" t="s">
        <v>444</v>
      </c>
      <c r="D326" s="1" t="s">
        <v>42</v>
      </c>
      <c r="E326" s="1" t="s">
        <v>445</v>
      </c>
      <c r="F326" s="1" t="n">
        <v>1</v>
      </c>
      <c r="G326" s="1" t="n">
        <v>1</v>
      </c>
      <c r="H326" s="1" t="n">
        <v>11</v>
      </c>
      <c r="I326" s="8" t="n">
        <v>2982972</v>
      </c>
      <c r="J326" s="1" t="n">
        <v>3</v>
      </c>
      <c r="K326" s="1" t="s">
        <v>96</v>
      </c>
      <c r="L326" s="1" t="n">
        <v>6</v>
      </c>
      <c r="O326" s="1" t="n">
        <v>1</v>
      </c>
      <c r="P326" s="1" t="n">
        <f aca="false">SUM(M326:O326)</f>
        <v>1</v>
      </c>
      <c r="W326" s="1" t="n">
        <f aca="false">SUM(Q326:V326)</f>
        <v>0</v>
      </c>
      <c r="Y326" s="1" t="n">
        <v>5</v>
      </c>
      <c r="AE326" s="20"/>
      <c r="AF326" s="9" t="n">
        <f aca="false">SUM(Z326:AE326)</f>
        <v>0</v>
      </c>
      <c r="AG326" s="10"/>
      <c r="AH326" s="11"/>
      <c r="AI326" s="11"/>
      <c r="AJ326" s="11"/>
      <c r="AK326" s="11"/>
      <c r="AL326" s="11"/>
      <c r="AM326" s="11"/>
      <c r="AN326" s="11" t="n">
        <f aca="false">SUM(AH326:AM326)</f>
        <v>0</v>
      </c>
      <c r="AO326" s="1"/>
      <c r="AP326" s="1"/>
      <c r="AQ326" s="1"/>
      <c r="AR326" s="1"/>
    </row>
    <row r="327" customFormat="false" ht="13.8" hidden="false" customHeight="false" outlineLevel="0" collapsed="false">
      <c r="A327" s="1" t="s">
        <v>446</v>
      </c>
      <c r="B327" s="1" t="n">
        <v>39</v>
      </c>
      <c r="C327" s="1" t="s">
        <v>444</v>
      </c>
      <c r="D327" s="1" t="s">
        <v>42</v>
      </c>
      <c r="E327" s="1" t="s">
        <v>445</v>
      </c>
      <c r="F327" s="1" t="n">
        <v>1</v>
      </c>
      <c r="G327" s="1" t="n">
        <v>1</v>
      </c>
      <c r="H327" s="1" t="n">
        <v>5</v>
      </c>
      <c r="I327" s="8" t="n">
        <v>298654</v>
      </c>
      <c r="J327" s="1" t="n">
        <v>2</v>
      </c>
      <c r="K327" s="1" t="s">
        <v>46</v>
      </c>
      <c r="L327" s="1" t="n">
        <v>4</v>
      </c>
      <c r="O327" s="1" t="n">
        <v>1</v>
      </c>
      <c r="P327" s="1" t="n">
        <f aca="false">SUM(M327:O327)</f>
        <v>1</v>
      </c>
      <c r="R327" s="1" t="n">
        <v>14</v>
      </c>
      <c r="W327" s="1" t="n">
        <f aca="false">SUM(Q327:V327)</f>
        <v>14</v>
      </c>
      <c r="AA327" s="9" t="n">
        <f aca="false">(R327)*(1+(J327)*0.2)</f>
        <v>19.6</v>
      </c>
      <c r="AD327" s="9"/>
      <c r="AE327" s="20"/>
      <c r="AF327" s="9" t="n">
        <f aca="false">SUM(Z327:AE327)</f>
        <v>19.6</v>
      </c>
      <c r="AG327" s="10" t="s">
        <v>53</v>
      </c>
      <c r="AH327" s="11"/>
      <c r="AI327" s="11" t="n">
        <f aca="false">IF(AG327="yes",AA327*1.2,AA327)</f>
        <v>19.6</v>
      </c>
      <c r="AJ327" s="11"/>
      <c r="AK327" s="11"/>
      <c r="AL327" s="11"/>
      <c r="AM327" s="11"/>
      <c r="AN327" s="11" t="n">
        <f aca="false">SUM(AH327:AM327)</f>
        <v>19.6</v>
      </c>
      <c r="AO327" s="1"/>
      <c r="AP327" s="1"/>
      <c r="AQ327" s="1"/>
      <c r="AR327" s="1"/>
    </row>
    <row r="328" customFormat="false" ht="13.8" hidden="false" customHeight="false" outlineLevel="0" collapsed="false">
      <c r="A328" s="1" t="s">
        <v>447</v>
      </c>
      <c r="B328" s="1" t="n">
        <v>450</v>
      </c>
      <c r="C328" s="1" t="s">
        <v>444</v>
      </c>
      <c r="D328" s="1" t="s">
        <v>73</v>
      </c>
      <c r="E328" s="1" t="s">
        <v>445</v>
      </c>
      <c r="F328" s="1" t="n">
        <v>3</v>
      </c>
      <c r="G328" s="1" t="n">
        <v>1</v>
      </c>
      <c r="H328" s="1" t="n">
        <v>4</v>
      </c>
      <c r="I328" s="8" t="n">
        <v>82636</v>
      </c>
      <c r="J328" s="1" t="n">
        <v>2</v>
      </c>
      <c r="K328" s="1" t="s">
        <v>76</v>
      </c>
      <c r="L328" s="1" t="n">
        <v>0</v>
      </c>
      <c r="P328" s="1" t="n">
        <f aca="false">SUM(M328:O328)</f>
        <v>0</v>
      </c>
      <c r="W328" s="1" t="n">
        <f aca="false">SUM(Q328:V328)</f>
        <v>0</v>
      </c>
      <c r="X328" s="1" t="n">
        <v>1</v>
      </c>
      <c r="Y328" s="1" t="n">
        <v>1</v>
      </c>
      <c r="AE328" s="20"/>
      <c r="AF328" s="9" t="n">
        <f aca="false">SUM(Z328:AE328)</f>
        <v>0</v>
      </c>
      <c r="AG328" s="10"/>
      <c r="AH328" s="11"/>
      <c r="AI328" s="11"/>
      <c r="AJ328" s="11"/>
      <c r="AK328" s="11"/>
      <c r="AL328" s="11"/>
      <c r="AM328" s="11"/>
      <c r="AN328" s="11" t="n">
        <f aca="false">SUM(AH328:AM328)</f>
        <v>0</v>
      </c>
      <c r="AO328" s="1"/>
      <c r="AP328" s="1"/>
      <c r="AQ328" s="1"/>
      <c r="AR328" s="1"/>
    </row>
    <row r="329" customFormat="false" ht="13.8" hidden="false" customHeight="false" outlineLevel="0" collapsed="false">
      <c r="A329" s="1" t="s">
        <v>448</v>
      </c>
      <c r="B329" s="1" t="n">
        <v>156</v>
      </c>
      <c r="C329" s="1" t="s">
        <v>444</v>
      </c>
      <c r="D329" s="1" t="s">
        <v>42</v>
      </c>
      <c r="E329" s="1" t="s">
        <v>445</v>
      </c>
      <c r="F329" s="1" t="n">
        <v>1</v>
      </c>
      <c r="G329" s="1" t="n">
        <v>1</v>
      </c>
      <c r="H329" s="1" t="n">
        <v>5</v>
      </c>
      <c r="I329" s="8" t="n">
        <v>1774163</v>
      </c>
      <c r="J329" s="1" t="n">
        <v>2</v>
      </c>
      <c r="K329" s="1" t="s">
        <v>46</v>
      </c>
      <c r="L329" s="1" t="n">
        <v>4</v>
      </c>
      <c r="N329" s="1" t="n">
        <v>1</v>
      </c>
      <c r="P329" s="1" t="n">
        <f aca="false">SUM(M329:O329)</f>
        <v>1</v>
      </c>
      <c r="W329" s="1" t="n">
        <f aca="false">SUM(Q329:V329)</f>
        <v>0</v>
      </c>
      <c r="Y329" s="1" t="n">
        <v>2</v>
      </c>
      <c r="AE329" s="20"/>
      <c r="AF329" s="9" t="n">
        <f aca="false">SUM(Z329:AE329)</f>
        <v>0</v>
      </c>
      <c r="AG329" s="10"/>
      <c r="AH329" s="11"/>
      <c r="AI329" s="11"/>
      <c r="AJ329" s="11"/>
      <c r="AK329" s="11"/>
      <c r="AL329" s="11"/>
      <c r="AM329" s="11"/>
      <c r="AN329" s="11" t="n">
        <f aca="false">SUM(AH329:AM329)</f>
        <v>0</v>
      </c>
      <c r="AO329" s="1"/>
      <c r="AP329" s="1"/>
      <c r="AQ329" s="1"/>
      <c r="AR329" s="1"/>
    </row>
    <row r="330" customFormat="false" ht="13.8" hidden="false" customHeight="false" outlineLevel="0" collapsed="false">
      <c r="A330" s="1" t="s">
        <v>449</v>
      </c>
      <c r="B330" s="1" t="n">
        <v>117</v>
      </c>
      <c r="C330" s="1" t="s">
        <v>444</v>
      </c>
      <c r="D330" s="1" t="s">
        <v>42</v>
      </c>
      <c r="E330" s="1" t="s">
        <v>445</v>
      </c>
      <c r="F330" s="1" t="n">
        <v>20</v>
      </c>
      <c r="G330" s="1" t="n">
        <v>1</v>
      </c>
      <c r="H330" s="1" t="n">
        <v>9</v>
      </c>
      <c r="I330" s="8" t="n">
        <v>4245176</v>
      </c>
      <c r="J330" s="1" t="n">
        <v>3</v>
      </c>
      <c r="K330" s="1" t="s">
        <v>96</v>
      </c>
      <c r="L330" s="1" t="n">
        <v>6</v>
      </c>
      <c r="M330" s="1" t="n">
        <v>1</v>
      </c>
      <c r="N330" s="1" t="n">
        <v>1</v>
      </c>
      <c r="O330" s="1" t="n">
        <v>2</v>
      </c>
      <c r="P330" s="1" t="n">
        <f aca="false">SUM(M330:O330)</f>
        <v>4</v>
      </c>
      <c r="R330" s="1" t="n">
        <v>10</v>
      </c>
      <c r="U330" s="1" t="n">
        <v>15</v>
      </c>
      <c r="W330" s="1" t="n">
        <f aca="false">SUM(Q330:V330)</f>
        <v>25</v>
      </c>
      <c r="X330" s="1" t="n">
        <v>3</v>
      </c>
      <c r="Y330" s="1" t="n">
        <v>6</v>
      </c>
      <c r="AA330" s="9" t="n">
        <f aca="false">(R330)*(1+(J330)*0.2)</f>
        <v>16</v>
      </c>
      <c r="AD330" s="9" t="n">
        <f aca="false">(U330)*(1+(J330)*0.2)</f>
        <v>24</v>
      </c>
      <c r="AE330" s="20"/>
      <c r="AF330" s="9" t="n">
        <f aca="false">SUM(Z330:AE330)</f>
        <v>40</v>
      </c>
      <c r="AG330" s="10" t="s">
        <v>47</v>
      </c>
      <c r="AH330" s="11"/>
      <c r="AI330" s="11" t="n">
        <f aca="false">IF(AG330="yes",AA330*1.2,AA330)</f>
        <v>19.2</v>
      </c>
      <c r="AJ330" s="11"/>
      <c r="AK330" s="11"/>
      <c r="AL330" s="11" t="n">
        <f aca="false">IF(AG330="yes",AD330*1.2,AD330)</f>
        <v>28.8</v>
      </c>
      <c r="AM330" s="11"/>
      <c r="AN330" s="11" t="n">
        <f aca="false">SUM(AH330:AM330)</f>
        <v>48</v>
      </c>
      <c r="AO330" s="1"/>
      <c r="AP330" s="1"/>
      <c r="AQ330" s="1"/>
      <c r="AR330" s="1"/>
    </row>
    <row r="331" customFormat="false" ht="13.8" hidden="false" customHeight="false" outlineLevel="0" collapsed="false">
      <c r="A331" s="1" t="s">
        <v>450</v>
      </c>
      <c r="B331" s="1" t="n">
        <v>663</v>
      </c>
      <c r="C331" s="1" t="s">
        <v>444</v>
      </c>
      <c r="D331" s="1" t="s">
        <v>73</v>
      </c>
      <c r="E331" s="1" t="s">
        <v>445</v>
      </c>
      <c r="G331" s="1" t="n">
        <v>1</v>
      </c>
      <c r="H331" s="1" t="n">
        <v>13</v>
      </c>
      <c r="I331" s="8" t="n">
        <v>8819</v>
      </c>
      <c r="J331" s="1" t="n">
        <v>1</v>
      </c>
      <c r="K331" s="1" t="s">
        <v>76</v>
      </c>
      <c r="L331" s="1" t="n">
        <v>0</v>
      </c>
      <c r="P331" s="1" t="n">
        <f aca="false">SUM(M331:O331)</f>
        <v>0</v>
      </c>
      <c r="W331" s="1" t="n">
        <f aca="false">SUM(Q331:V331)</f>
        <v>0</v>
      </c>
      <c r="AE331" s="20"/>
      <c r="AF331" s="9" t="n">
        <f aca="false">SUM(Z331:AE331)</f>
        <v>0</v>
      </c>
      <c r="AG331" s="10"/>
      <c r="AH331" s="11"/>
      <c r="AI331" s="11"/>
      <c r="AJ331" s="11"/>
      <c r="AK331" s="11"/>
      <c r="AL331" s="11"/>
      <c r="AM331" s="11"/>
      <c r="AN331" s="11" t="n">
        <f aca="false">SUM(AH331:AM331)</f>
        <v>0</v>
      </c>
      <c r="AO331" s="1"/>
      <c r="AP331" s="1"/>
      <c r="AQ331" s="1"/>
      <c r="AR331" s="1"/>
    </row>
    <row r="332" customFormat="false" ht="13.8" hidden="false" customHeight="false" outlineLevel="0" collapsed="false">
      <c r="A332" s="1" t="s">
        <v>451</v>
      </c>
      <c r="B332" s="1" t="n">
        <v>451</v>
      </c>
      <c r="C332" s="1" t="s">
        <v>444</v>
      </c>
      <c r="D332" s="1" t="s">
        <v>73</v>
      </c>
      <c r="E332" s="1" t="s">
        <v>445</v>
      </c>
      <c r="F332" s="1" t="n">
        <v>5</v>
      </c>
      <c r="G332" s="1" t="n">
        <v>1</v>
      </c>
      <c r="H332" s="1" t="n">
        <v>8</v>
      </c>
      <c r="I332" s="8" t="n">
        <v>45684</v>
      </c>
      <c r="J332" s="1" t="n">
        <v>1</v>
      </c>
      <c r="K332" s="1" t="s">
        <v>76</v>
      </c>
      <c r="L332" s="1" t="n">
        <v>0</v>
      </c>
      <c r="P332" s="1" t="n">
        <f aca="false">SUM(M332:O332)</f>
        <v>0</v>
      </c>
      <c r="W332" s="1" t="n">
        <f aca="false">SUM(Q332:V332)</f>
        <v>0</v>
      </c>
      <c r="X332" s="1" t="n">
        <v>4</v>
      </c>
      <c r="Y332" s="1" t="n">
        <v>6</v>
      </c>
      <c r="AF332" s="9" t="n">
        <f aca="false">SUM(Z332:AE332)</f>
        <v>0</v>
      </c>
      <c r="AG332" s="10"/>
      <c r="AH332" s="11"/>
      <c r="AI332" s="11"/>
      <c r="AJ332" s="11"/>
      <c r="AK332" s="11"/>
      <c r="AL332" s="11"/>
      <c r="AM332" s="11"/>
      <c r="AN332" s="11" t="n">
        <f aca="false">SUM(AH332:AM332)</f>
        <v>0</v>
      </c>
      <c r="AO332" s="1"/>
      <c r="AP332" s="1"/>
      <c r="AQ332" s="1"/>
      <c r="AR332" s="1"/>
    </row>
    <row r="333" customFormat="false" ht="13.8" hidden="false" customHeight="false" outlineLevel="0" collapsed="false">
      <c r="A333" s="1" t="s">
        <v>452</v>
      </c>
      <c r="B333" s="1" t="n">
        <v>164</v>
      </c>
      <c r="C333" s="1" t="s">
        <v>444</v>
      </c>
      <c r="D333" s="1" t="s">
        <v>73</v>
      </c>
      <c r="E333" s="1" t="s">
        <v>445</v>
      </c>
      <c r="F333" s="1" t="n">
        <v>1</v>
      </c>
      <c r="G333" s="1" t="n">
        <v>1</v>
      </c>
      <c r="H333" s="1" t="n">
        <v>2</v>
      </c>
      <c r="I333" s="8" t="n">
        <v>120146</v>
      </c>
      <c r="J333" s="1" t="n">
        <v>3</v>
      </c>
      <c r="K333" s="1" t="s">
        <v>84</v>
      </c>
      <c r="L333" s="1" t="n">
        <v>1</v>
      </c>
      <c r="P333" s="1" t="n">
        <f aca="false">SUM(M333:O333)</f>
        <v>0</v>
      </c>
      <c r="W333" s="1" t="n">
        <f aca="false">SUM(Q333:V333)</f>
        <v>0</v>
      </c>
      <c r="X333" s="1" t="n">
        <v>1</v>
      </c>
      <c r="Y333" s="1" t="n">
        <v>5</v>
      </c>
      <c r="AF333" s="9" t="n">
        <f aca="false">SUM(Z333:AE333)</f>
        <v>0</v>
      </c>
      <c r="AG333" s="10"/>
      <c r="AH333" s="11"/>
      <c r="AI333" s="11"/>
      <c r="AJ333" s="11"/>
      <c r="AK333" s="11"/>
      <c r="AL333" s="11"/>
      <c r="AM333" s="11"/>
      <c r="AN333" s="11" t="n">
        <f aca="false">SUM(AH333:AM333)</f>
        <v>0</v>
      </c>
      <c r="AO333" s="1"/>
      <c r="AP333" s="1"/>
      <c r="AQ333" s="1"/>
      <c r="AR333" s="1"/>
    </row>
    <row r="334" customFormat="false" ht="13.8" hidden="false" customHeight="false" outlineLevel="0" collapsed="false">
      <c r="A334" s="1" t="s">
        <v>453</v>
      </c>
      <c r="B334" s="1" t="n">
        <v>449</v>
      </c>
      <c r="C334" s="1" t="s">
        <v>444</v>
      </c>
      <c r="D334" s="1" t="s">
        <v>73</v>
      </c>
      <c r="E334" s="1" t="s">
        <v>445</v>
      </c>
      <c r="G334" s="1" t="n">
        <v>1</v>
      </c>
      <c r="H334" s="1" t="n">
        <v>7</v>
      </c>
      <c r="I334" s="8" t="n">
        <v>40480</v>
      </c>
      <c r="J334" s="1" t="n">
        <v>2</v>
      </c>
      <c r="K334" s="1" t="s">
        <v>76</v>
      </c>
      <c r="L334" s="1" t="n">
        <v>0</v>
      </c>
      <c r="P334" s="1" t="n">
        <f aca="false">SUM(M334:O334)</f>
        <v>0</v>
      </c>
      <c r="W334" s="1" t="n">
        <f aca="false">SUM(Q334:V334)</f>
        <v>0</v>
      </c>
      <c r="AC334" s="9"/>
      <c r="AF334" s="9" t="n">
        <f aca="false">SUM(Z334:AE334)</f>
        <v>0</v>
      </c>
      <c r="AG334" s="10"/>
      <c r="AH334" s="11"/>
      <c r="AI334" s="11"/>
      <c r="AJ334" s="11"/>
      <c r="AK334" s="11"/>
      <c r="AL334" s="11"/>
      <c r="AM334" s="11"/>
      <c r="AN334" s="11" t="n">
        <f aca="false">SUM(AH334:AM334)</f>
        <v>0</v>
      </c>
      <c r="AO334" s="1"/>
      <c r="AP334" s="1"/>
      <c r="AQ334" s="1"/>
      <c r="AR334" s="1"/>
    </row>
    <row r="335" customFormat="false" ht="13.8" hidden="false" customHeight="false" outlineLevel="0" collapsed="false">
      <c r="A335" s="1" t="s">
        <v>454</v>
      </c>
      <c r="B335" s="1" t="n">
        <v>161</v>
      </c>
      <c r="C335" s="1" t="s">
        <v>444</v>
      </c>
      <c r="D335" s="1" t="s">
        <v>42</v>
      </c>
      <c r="E335" s="1" t="s">
        <v>445</v>
      </c>
      <c r="F335" s="1" t="n">
        <v>9</v>
      </c>
      <c r="G335" s="1" t="n">
        <v>1</v>
      </c>
      <c r="H335" s="1" t="n">
        <v>9</v>
      </c>
      <c r="I335" s="8" t="n">
        <v>3206310</v>
      </c>
      <c r="J335" s="1" t="n">
        <v>4</v>
      </c>
      <c r="K335" s="1" t="s">
        <v>57</v>
      </c>
      <c r="L335" s="1" t="n">
        <v>8</v>
      </c>
      <c r="O335" s="1" t="n">
        <v>1</v>
      </c>
      <c r="P335" s="1" t="n">
        <f aca="false">SUM(M335:O335)</f>
        <v>1</v>
      </c>
      <c r="R335" s="1" t="n">
        <v>9</v>
      </c>
      <c r="W335" s="1" t="n">
        <f aca="false">SUM(Q335:V335)</f>
        <v>9</v>
      </c>
      <c r="X335" s="1" t="n">
        <v>2</v>
      </c>
      <c r="Y335" s="1" t="n">
        <v>2</v>
      </c>
      <c r="AA335" s="9" t="n">
        <f aca="false">(R335)*(1+(J335)*0.2)</f>
        <v>16.2</v>
      </c>
      <c r="AE335" s="20"/>
      <c r="AF335" s="9" t="n">
        <f aca="false">SUM(Z335:AE335)</f>
        <v>16.2</v>
      </c>
      <c r="AG335" s="10" t="s">
        <v>47</v>
      </c>
      <c r="AH335" s="11"/>
      <c r="AI335" s="11" t="n">
        <f aca="false">IF(AG335="yes",AA335*1.2,AA335)</f>
        <v>19.44</v>
      </c>
      <c r="AJ335" s="11"/>
      <c r="AK335" s="11"/>
      <c r="AL335" s="11"/>
      <c r="AM335" s="11"/>
      <c r="AN335" s="11" t="n">
        <f aca="false">SUM(AH335:AM335)</f>
        <v>19.44</v>
      </c>
      <c r="AO335" s="1"/>
      <c r="AP335" s="1"/>
      <c r="AQ335" s="1"/>
      <c r="AR335" s="1"/>
    </row>
    <row r="336" customFormat="false" ht="13.8" hidden="false" customHeight="false" outlineLevel="0" collapsed="false">
      <c r="A336" s="1" t="s">
        <v>455</v>
      </c>
      <c r="B336" s="1" t="n">
        <v>550</v>
      </c>
      <c r="C336" s="1" t="s">
        <v>444</v>
      </c>
      <c r="D336" s="1" t="s">
        <v>73</v>
      </c>
      <c r="E336" s="1" t="s">
        <v>445</v>
      </c>
      <c r="F336" s="1" t="n">
        <v>5</v>
      </c>
      <c r="G336" s="1" t="n">
        <v>1</v>
      </c>
      <c r="H336" s="1" t="n">
        <v>8</v>
      </c>
      <c r="I336" s="8" t="n">
        <v>601333</v>
      </c>
      <c r="J336" s="1" t="n">
        <v>2</v>
      </c>
      <c r="K336" s="1" t="s">
        <v>44</v>
      </c>
      <c r="L336" s="1" t="n">
        <v>2</v>
      </c>
      <c r="P336" s="1" t="n">
        <f aca="false">SUM(M336:O336)</f>
        <v>0</v>
      </c>
      <c r="U336" s="1" t="n">
        <v>2</v>
      </c>
      <c r="W336" s="1" t="n">
        <f aca="false">SUM(Q336:V336)</f>
        <v>2</v>
      </c>
      <c r="X336" s="1" t="n">
        <v>3</v>
      </c>
      <c r="Y336" s="1" t="n">
        <v>3</v>
      </c>
      <c r="AC336" s="9"/>
      <c r="AD336" s="9" t="n">
        <f aca="false">(U336)*(1+(J336)*0.2)</f>
        <v>2.8</v>
      </c>
      <c r="AF336" s="9" t="n">
        <f aca="false">SUM(Z336:AE336)</f>
        <v>2.8</v>
      </c>
      <c r="AG336" s="10" t="s">
        <v>47</v>
      </c>
      <c r="AH336" s="11"/>
      <c r="AI336" s="11"/>
      <c r="AJ336" s="11"/>
      <c r="AK336" s="11"/>
      <c r="AL336" s="11" t="n">
        <f aca="false">IF(AG336="yes",AD336*1.2,AD336)</f>
        <v>3.36</v>
      </c>
      <c r="AM336" s="11"/>
      <c r="AN336" s="11" t="n">
        <f aca="false">SUM(AH336:AM336)</f>
        <v>3.36</v>
      </c>
      <c r="AO336" s="1"/>
      <c r="AP336" s="1"/>
      <c r="AQ336" s="1"/>
      <c r="AR336" s="1"/>
    </row>
    <row r="337" customFormat="false" ht="13.8" hidden="false" customHeight="false" outlineLevel="0" collapsed="false">
      <c r="A337" s="1" t="s">
        <v>456</v>
      </c>
      <c r="B337" s="1" t="n">
        <v>852</v>
      </c>
      <c r="C337" s="1" t="s">
        <v>444</v>
      </c>
      <c r="D337" s="1" t="s">
        <v>42</v>
      </c>
      <c r="E337" s="1" t="s">
        <v>445</v>
      </c>
      <c r="F337" s="1" t="n">
        <v>1</v>
      </c>
      <c r="G337" s="1" t="n">
        <v>1</v>
      </c>
      <c r="H337" s="1" t="n">
        <v>2</v>
      </c>
      <c r="I337" s="8" t="n">
        <v>126004</v>
      </c>
      <c r="J337" s="1" t="n">
        <v>3</v>
      </c>
      <c r="K337" s="1" t="s">
        <v>46</v>
      </c>
      <c r="L337" s="1" t="n">
        <v>4</v>
      </c>
      <c r="N337" s="1" t="n">
        <v>1</v>
      </c>
      <c r="P337" s="1" t="n">
        <f aca="false">SUM(M337:O337)</f>
        <v>1</v>
      </c>
      <c r="W337" s="1" t="n">
        <f aca="false">SUM(Q337:V337)</f>
        <v>0</v>
      </c>
      <c r="Y337" s="1" t="n">
        <v>2</v>
      </c>
      <c r="AC337" s="9"/>
      <c r="AF337" s="9" t="n">
        <f aca="false">SUM(Z337:AE337)</f>
        <v>0</v>
      </c>
      <c r="AG337" s="10"/>
      <c r="AH337" s="11"/>
      <c r="AI337" s="11"/>
      <c r="AJ337" s="11"/>
      <c r="AK337" s="11"/>
      <c r="AL337" s="11"/>
      <c r="AM337" s="11"/>
      <c r="AN337" s="11" t="n">
        <f aca="false">SUM(AH337:AM337)</f>
        <v>0</v>
      </c>
      <c r="AO337" s="1"/>
      <c r="AP337" s="1"/>
      <c r="AQ337" s="1"/>
      <c r="AR337" s="1"/>
    </row>
    <row r="338" customFormat="false" ht="13.8" hidden="false" customHeight="false" outlineLevel="0" collapsed="false">
      <c r="A338" s="1" t="s">
        <v>457</v>
      </c>
      <c r="B338" s="1" t="n">
        <v>844</v>
      </c>
      <c r="C338" s="1" t="s">
        <v>444</v>
      </c>
      <c r="D338" s="1" t="s">
        <v>73</v>
      </c>
      <c r="E338" s="1" t="s">
        <v>445</v>
      </c>
      <c r="F338" s="1" t="n">
        <v>1</v>
      </c>
      <c r="G338" s="1" t="n">
        <v>1</v>
      </c>
      <c r="H338" s="1" t="n">
        <v>2</v>
      </c>
      <c r="I338" s="8" t="n">
        <v>1030151</v>
      </c>
      <c r="J338" s="1" t="n">
        <v>2</v>
      </c>
      <c r="K338" s="1" t="s">
        <v>51</v>
      </c>
      <c r="L338" s="1" t="n">
        <v>1</v>
      </c>
      <c r="P338" s="1" t="n">
        <f aca="false">SUM(M338:O338)</f>
        <v>0</v>
      </c>
      <c r="W338" s="1" t="n">
        <f aca="false">SUM(Q338:V338)</f>
        <v>0</v>
      </c>
      <c r="Y338" s="1" t="n">
        <v>2</v>
      </c>
      <c r="AF338" s="9" t="n">
        <f aca="false">SUM(Z338:AE338)</f>
        <v>0</v>
      </c>
      <c r="AG338" s="10"/>
      <c r="AH338" s="11"/>
      <c r="AI338" s="11"/>
      <c r="AJ338" s="11"/>
      <c r="AK338" s="11"/>
      <c r="AL338" s="11"/>
      <c r="AM338" s="11"/>
      <c r="AN338" s="11" t="n">
        <f aca="false">SUM(AH338:AM338)</f>
        <v>0</v>
      </c>
      <c r="AO338" s="1"/>
      <c r="AP338" s="1"/>
      <c r="AQ338" s="1"/>
      <c r="AR338" s="1"/>
    </row>
    <row r="339" customFormat="false" ht="13.8" hidden="false" customHeight="false" outlineLevel="0" collapsed="false">
      <c r="A339" s="1" t="s">
        <v>458</v>
      </c>
      <c r="B339" s="1" t="n">
        <v>2</v>
      </c>
      <c r="C339" s="1" t="s">
        <v>444</v>
      </c>
      <c r="D339" s="1" t="s">
        <v>42</v>
      </c>
      <c r="E339" s="1" t="s">
        <v>445</v>
      </c>
      <c r="F339" s="1" t="n">
        <v>41</v>
      </c>
      <c r="G339" s="1" t="n">
        <v>1</v>
      </c>
      <c r="H339" s="1" t="n">
        <v>7</v>
      </c>
      <c r="I339" s="8" t="n">
        <v>2785367</v>
      </c>
      <c r="J339" s="1" t="n">
        <v>4</v>
      </c>
      <c r="K339" s="1" t="s">
        <v>96</v>
      </c>
      <c r="L339" s="1" t="n">
        <v>6</v>
      </c>
      <c r="M339" s="1" t="n">
        <v>1</v>
      </c>
      <c r="O339" s="1" t="n">
        <v>4</v>
      </c>
      <c r="P339" s="1" t="n">
        <f aca="false">SUM(M339:O339)</f>
        <v>5</v>
      </c>
      <c r="W339" s="1" t="n">
        <f aca="false">SUM(Q339:V339)</f>
        <v>0</v>
      </c>
      <c r="X339" s="1" t="n">
        <v>8</v>
      </c>
      <c r="Y339" s="1" t="n">
        <v>7</v>
      </c>
      <c r="AF339" s="9" t="n">
        <f aca="false">SUM(Z339:AE339)</f>
        <v>0</v>
      </c>
      <c r="AG339" s="10"/>
      <c r="AH339" s="11"/>
      <c r="AI339" s="11"/>
      <c r="AJ339" s="11"/>
      <c r="AK339" s="11"/>
      <c r="AL339" s="11"/>
      <c r="AM339" s="11"/>
      <c r="AN339" s="11" t="n">
        <f aca="false">SUM(AH339:AM339)</f>
        <v>0</v>
      </c>
      <c r="AO339" s="1"/>
      <c r="AP339" s="1"/>
      <c r="AQ339" s="1"/>
      <c r="AR339" s="1"/>
    </row>
    <row r="340" customFormat="false" ht="13.8" hidden="false" customHeight="false" outlineLevel="0" collapsed="false">
      <c r="A340" s="1" t="s">
        <v>459</v>
      </c>
      <c r="B340" s="1" t="n">
        <v>273</v>
      </c>
      <c r="C340" s="1" t="s">
        <v>444</v>
      </c>
      <c r="D340" s="1" t="s">
        <v>304</v>
      </c>
      <c r="E340" s="1" t="s">
        <v>445</v>
      </c>
      <c r="G340" s="1" t="n">
        <v>1</v>
      </c>
      <c r="H340" s="1" t="n">
        <v>16</v>
      </c>
      <c r="I340" s="8" t="n">
        <v>42685</v>
      </c>
      <c r="J340" s="1" t="n">
        <v>0</v>
      </c>
      <c r="K340" s="1" t="s">
        <v>76</v>
      </c>
      <c r="L340" s="1" t="n">
        <v>0</v>
      </c>
      <c r="P340" s="1" t="n">
        <f aca="false">SUM(M340:O340)</f>
        <v>0</v>
      </c>
      <c r="W340" s="1" t="n">
        <f aca="false">SUM(Q340:V340)</f>
        <v>0</v>
      </c>
      <c r="AA340" s="9"/>
      <c r="AF340" s="9" t="n">
        <f aca="false">SUM(Z340:AE340)</f>
        <v>0</v>
      </c>
      <c r="AG340" s="10"/>
      <c r="AH340" s="11"/>
      <c r="AI340" s="11"/>
      <c r="AJ340" s="11"/>
      <c r="AK340" s="11"/>
      <c r="AL340" s="11"/>
      <c r="AM340" s="11"/>
      <c r="AN340" s="11" t="n">
        <f aca="false">SUM(AH340:AM340)</f>
        <v>0</v>
      </c>
      <c r="AO340" s="1"/>
      <c r="AP340" s="1"/>
      <c r="AQ340" s="1"/>
      <c r="AR340" s="1"/>
    </row>
    <row r="341" customFormat="false" ht="13.8" hidden="false" customHeight="false" outlineLevel="0" collapsed="false">
      <c r="A341" s="1" t="s">
        <v>460</v>
      </c>
      <c r="B341" s="1" t="n">
        <v>736</v>
      </c>
      <c r="C341" s="1" t="s">
        <v>444</v>
      </c>
      <c r="D341" s="1" t="s">
        <v>42</v>
      </c>
      <c r="E341" s="1" t="s">
        <v>445</v>
      </c>
      <c r="F341" s="1" t="n">
        <v>3</v>
      </c>
      <c r="G341" s="1" t="n">
        <v>1</v>
      </c>
      <c r="H341" s="1" t="n">
        <v>3</v>
      </c>
      <c r="I341" s="8" t="n">
        <v>1039426</v>
      </c>
      <c r="J341" s="1" t="n">
        <v>1</v>
      </c>
      <c r="K341" s="1" t="s">
        <v>96</v>
      </c>
      <c r="L341" s="1" t="n">
        <v>6</v>
      </c>
      <c r="M341" s="1" t="n">
        <v>1</v>
      </c>
      <c r="N341" s="1" t="n">
        <v>1</v>
      </c>
      <c r="P341" s="1" t="n">
        <f aca="false">SUM(M341:O341)</f>
        <v>2</v>
      </c>
      <c r="W341" s="1" t="n">
        <f aca="false">SUM(Q341:V341)</f>
        <v>0</v>
      </c>
      <c r="Y341" s="1" t="n">
        <v>5</v>
      </c>
      <c r="AE341" s="20"/>
      <c r="AF341" s="9" t="n">
        <f aca="false">SUM(Z341:AE341)</f>
        <v>0</v>
      </c>
      <c r="AG341" s="10"/>
      <c r="AH341" s="11"/>
      <c r="AI341" s="11"/>
      <c r="AJ341" s="11"/>
      <c r="AK341" s="11"/>
      <c r="AL341" s="11"/>
      <c r="AM341" s="11"/>
      <c r="AN341" s="11" t="n">
        <f aca="false">SUM(AH341:AM341)</f>
        <v>0</v>
      </c>
      <c r="AO341" s="1"/>
      <c r="AP341" s="1"/>
      <c r="AQ341" s="1"/>
      <c r="AR341" s="1"/>
    </row>
    <row r="342" customFormat="false" ht="13.8" hidden="false" customHeight="false" outlineLevel="0" collapsed="false">
      <c r="A342" s="1" t="s">
        <v>461</v>
      </c>
      <c r="B342" s="1" t="n">
        <v>159</v>
      </c>
      <c r="C342" s="1" t="s">
        <v>444</v>
      </c>
      <c r="D342" s="1" t="s">
        <v>42</v>
      </c>
      <c r="E342" s="1" t="s">
        <v>445</v>
      </c>
      <c r="F342" s="1" t="n">
        <v>18</v>
      </c>
      <c r="G342" s="1" t="n">
        <v>1</v>
      </c>
      <c r="H342" s="1" t="n">
        <v>10</v>
      </c>
      <c r="I342" s="8" t="n">
        <v>5604537</v>
      </c>
      <c r="J342" s="1" t="n">
        <v>4</v>
      </c>
      <c r="K342" s="1" t="s">
        <v>109</v>
      </c>
      <c r="L342" s="1" t="n">
        <v>10</v>
      </c>
      <c r="M342" s="1" t="n">
        <v>7</v>
      </c>
      <c r="O342" s="1" t="n">
        <v>3</v>
      </c>
      <c r="P342" s="1" t="n">
        <f aca="false">SUM(M342:O342)</f>
        <v>10</v>
      </c>
      <c r="W342" s="1" t="n">
        <f aca="false">SUM(Q342:V342)</f>
        <v>0</v>
      </c>
      <c r="X342" s="1" t="n">
        <v>10</v>
      </c>
      <c r="AD342" s="9"/>
      <c r="AE342" s="20"/>
      <c r="AF342" s="9" t="n">
        <f aca="false">SUM(Z342:AE342)</f>
        <v>0</v>
      </c>
      <c r="AG342" s="10"/>
      <c r="AH342" s="11"/>
      <c r="AI342" s="11"/>
      <c r="AJ342" s="11"/>
      <c r="AK342" s="11"/>
      <c r="AL342" s="11"/>
      <c r="AM342" s="11"/>
      <c r="AN342" s="11" t="n">
        <f aca="false">SUM(AH342:AM342)</f>
        <v>0</v>
      </c>
      <c r="AO342" s="1"/>
      <c r="AP342" s="1"/>
      <c r="AQ342" s="1"/>
      <c r="AR342" s="1"/>
    </row>
    <row r="343" customFormat="false" ht="13.8" hidden="false" customHeight="false" outlineLevel="0" collapsed="false">
      <c r="A343" s="1" t="s">
        <v>462</v>
      </c>
      <c r="B343" s="1" t="n">
        <v>158</v>
      </c>
      <c r="C343" s="1" t="s">
        <v>444</v>
      </c>
      <c r="D343" s="1" t="s">
        <v>42</v>
      </c>
      <c r="E343" s="1" t="s">
        <v>445</v>
      </c>
      <c r="F343" s="1" t="n">
        <v>15</v>
      </c>
      <c r="G343" s="1" t="n">
        <v>1</v>
      </c>
      <c r="H343" s="1" t="n">
        <v>17</v>
      </c>
      <c r="I343" s="8" t="n">
        <v>4771293</v>
      </c>
      <c r="J343" s="1" t="n">
        <v>4</v>
      </c>
      <c r="K343" s="1" t="s">
        <v>109</v>
      </c>
      <c r="L343" s="1" t="n">
        <v>10</v>
      </c>
      <c r="M343" s="1" t="n">
        <v>7</v>
      </c>
      <c r="N343" s="1" t="n">
        <v>2</v>
      </c>
      <c r="O343" s="1" t="n">
        <v>1</v>
      </c>
      <c r="P343" s="1" t="n">
        <f aca="false">SUM(M343:O343)</f>
        <v>10</v>
      </c>
      <c r="R343" s="1" t="n">
        <v>16</v>
      </c>
      <c r="T343" s="1" t="n">
        <v>1</v>
      </c>
      <c r="U343" s="1" t="n">
        <v>24</v>
      </c>
      <c r="V343" s="1" t="n">
        <v>2</v>
      </c>
      <c r="W343" s="1" t="n">
        <f aca="false">SUM(Q343:V343)</f>
        <v>43</v>
      </c>
      <c r="X343" s="1" t="n">
        <v>8</v>
      </c>
      <c r="Y343" s="1" t="n">
        <v>8</v>
      </c>
      <c r="AA343" s="9" t="n">
        <f aca="false">(R343)*(1+(J343)*0.2)</f>
        <v>28.8</v>
      </c>
      <c r="AC343" s="9" t="n">
        <f aca="false">(T343)*(1+(J343)*0.2)</f>
        <v>1.8</v>
      </c>
      <c r="AD343" s="9" t="n">
        <f aca="false">(U343)*(1+(J343)*0.2)</f>
        <v>43.2</v>
      </c>
      <c r="AE343" s="9" t="n">
        <f aca="false">(V343)*(1+(J343)*0.2)</f>
        <v>3.6</v>
      </c>
      <c r="AF343" s="9" t="n">
        <f aca="false">SUM(Z343:AE343)</f>
        <v>77.4</v>
      </c>
      <c r="AG343" s="10" t="s">
        <v>47</v>
      </c>
      <c r="AH343" s="11"/>
      <c r="AI343" s="11" t="n">
        <f aca="false">IF(AG343="yes",AA343*1.2,AA343)</f>
        <v>34.56</v>
      </c>
      <c r="AJ343" s="11"/>
      <c r="AK343" s="11" t="n">
        <f aca="false">IF(AG343="yes",AC343*1.2,AC343)</f>
        <v>2.16</v>
      </c>
      <c r="AL343" s="11" t="n">
        <f aca="false">IF(AG343="yes",AD343*1.2,AD343)</f>
        <v>51.84</v>
      </c>
      <c r="AM343" s="11" t="n">
        <f aca="false">IF(AG343="yes",AE343*1.2,AE343)</f>
        <v>4.32</v>
      </c>
      <c r="AN343" s="11" t="n">
        <f aca="false">SUM(AH343:AM343)</f>
        <v>92.88</v>
      </c>
      <c r="AO343" s="1"/>
      <c r="AP343" s="1"/>
      <c r="AQ343" s="1"/>
      <c r="AR343" s="1"/>
    </row>
    <row r="344" customFormat="false" ht="13.8" hidden="false" customHeight="false" outlineLevel="0" collapsed="false">
      <c r="A344" s="1" t="s">
        <v>463</v>
      </c>
      <c r="B344" s="1" t="n">
        <v>849</v>
      </c>
      <c r="C344" s="1" t="s">
        <v>444</v>
      </c>
      <c r="D344" s="1" t="s">
        <v>42</v>
      </c>
      <c r="E344" s="1" t="s">
        <v>445</v>
      </c>
      <c r="F344" s="1" t="n">
        <v>24</v>
      </c>
      <c r="G344" s="1" t="n">
        <v>1</v>
      </c>
      <c r="H344" s="1" t="n">
        <v>8</v>
      </c>
      <c r="I344" s="8" t="n">
        <v>2645225</v>
      </c>
      <c r="J344" s="1" t="n">
        <v>2</v>
      </c>
      <c r="K344" s="1" t="s">
        <v>96</v>
      </c>
      <c r="L344" s="1" t="n">
        <v>6</v>
      </c>
      <c r="N344" s="1" t="n">
        <v>4</v>
      </c>
      <c r="O344" s="1" t="n">
        <v>1</v>
      </c>
      <c r="P344" s="1" t="n">
        <f aca="false">SUM(M344:O344)</f>
        <v>5</v>
      </c>
      <c r="W344" s="1" t="n">
        <f aca="false">SUM(Q344:V344)</f>
        <v>0</v>
      </c>
      <c r="X344" s="1" t="n">
        <v>5</v>
      </c>
      <c r="Y344" s="1" t="n">
        <v>13</v>
      </c>
      <c r="AF344" s="9" t="n">
        <f aca="false">SUM(Z344:AE344)</f>
        <v>0</v>
      </c>
      <c r="AG344" s="10"/>
      <c r="AH344" s="11"/>
      <c r="AI344" s="11"/>
      <c r="AJ344" s="11"/>
      <c r="AK344" s="11"/>
      <c r="AL344" s="11"/>
      <c r="AM344" s="11"/>
      <c r="AN344" s="11" t="n">
        <f aca="false">SUM(AH344:AM344)</f>
        <v>0</v>
      </c>
      <c r="AO344" s="1"/>
      <c r="AP344" s="1"/>
      <c r="AQ344" s="1"/>
      <c r="AR344" s="1"/>
    </row>
    <row r="345" customFormat="false" ht="13.8" hidden="false" customHeight="false" outlineLevel="0" collapsed="false">
      <c r="A345" s="1" t="s">
        <v>464</v>
      </c>
      <c r="B345" s="1" t="n">
        <v>114</v>
      </c>
      <c r="C345" s="1" t="s">
        <v>444</v>
      </c>
      <c r="D345" s="1" t="s">
        <v>42</v>
      </c>
      <c r="E345" s="1" t="s">
        <v>445</v>
      </c>
      <c r="F345" s="1" t="n">
        <v>5</v>
      </c>
      <c r="G345" s="1" t="n">
        <v>1</v>
      </c>
      <c r="H345" s="1" t="n">
        <v>8</v>
      </c>
      <c r="I345" s="8" t="n">
        <v>993132</v>
      </c>
      <c r="J345" s="1" t="n">
        <v>3</v>
      </c>
      <c r="K345" s="1" t="s">
        <v>46</v>
      </c>
      <c r="L345" s="1" t="n">
        <v>4</v>
      </c>
      <c r="M345" s="1" t="n">
        <v>0</v>
      </c>
      <c r="O345" s="1" t="n">
        <v>1</v>
      </c>
      <c r="P345" s="1" t="n">
        <f aca="false">SUM(M345:O345)</f>
        <v>1</v>
      </c>
      <c r="W345" s="1" t="n">
        <f aca="false">SUM(Q345:V345)</f>
        <v>0</v>
      </c>
      <c r="X345" s="1" t="n">
        <v>5</v>
      </c>
      <c r="Y345" s="1" t="n">
        <v>8</v>
      </c>
      <c r="Z345" s="12"/>
      <c r="AB345" s="9"/>
      <c r="AF345" s="9" t="n">
        <f aca="false">SUM(Z345:AE345)</f>
        <v>0</v>
      </c>
      <c r="AG345" s="10"/>
      <c r="AH345" s="11"/>
      <c r="AI345" s="11"/>
      <c r="AJ345" s="11"/>
      <c r="AK345" s="11"/>
      <c r="AL345" s="11"/>
      <c r="AM345" s="11"/>
      <c r="AN345" s="11" t="n">
        <f aca="false">SUM(AH345:AM345)</f>
        <v>0</v>
      </c>
      <c r="AO345" s="1"/>
      <c r="AP345" s="1"/>
      <c r="AQ345" s="1"/>
      <c r="AR345" s="1"/>
    </row>
    <row r="346" customFormat="false" ht="13.8" hidden="false" customHeight="false" outlineLevel="0" collapsed="false">
      <c r="A346" s="1" t="s">
        <v>465</v>
      </c>
      <c r="B346" s="1" t="n">
        <v>115</v>
      </c>
      <c r="C346" s="1" t="s">
        <v>444</v>
      </c>
      <c r="D346" s="1" t="s">
        <v>42</v>
      </c>
      <c r="E346" s="1" t="s">
        <v>445</v>
      </c>
      <c r="F346" s="1" t="n">
        <v>31</v>
      </c>
      <c r="G346" s="1" t="n">
        <v>1</v>
      </c>
      <c r="H346" s="1" t="n">
        <v>10</v>
      </c>
      <c r="I346" s="8" t="n">
        <v>3841254</v>
      </c>
      <c r="J346" s="1" t="n">
        <v>3</v>
      </c>
      <c r="K346" s="1" t="s">
        <v>96</v>
      </c>
      <c r="L346" s="1" t="n">
        <v>6</v>
      </c>
      <c r="N346" s="1" t="n">
        <v>1</v>
      </c>
      <c r="O346" s="1" t="n">
        <v>1</v>
      </c>
      <c r="P346" s="1" t="n">
        <f aca="false">SUM(M346:O346)</f>
        <v>2</v>
      </c>
      <c r="W346" s="1" t="n">
        <f aca="false">SUM(Q346:V346)</f>
        <v>0</v>
      </c>
      <c r="X346" s="1" t="n">
        <v>10</v>
      </c>
      <c r="Y346" s="1" t="n">
        <v>18</v>
      </c>
      <c r="Z346" s="12"/>
      <c r="AB346" s="9"/>
      <c r="AF346" s="9" t="n">
        <f aca="false">SUM(Z346:AE346)</f>
        <v>0</v>
      </c>
      <c r="AG346" s="10"/>
      <c r="AH346" s="11"/>
      <c r="AI346" s="11"/>
      <c r="AJ346" s="11"/>
      <c r="AK346" s="11"/>
      <c r="AL346" s="11"/>
      <c r="AM346" s="11"/>
      <c r="AN346" s="11" t="n">
        <f aca="false">SUM(AH346:AM346)</f>
        <v>0</v>
      </c>
      <c r="AO346" s="1"/>
      <c r="AP346" s="1"/>
      <c r="AQ346" s="1"/>
      <c r="AR346" s="1"/>
    </row>
    <row r="347" customFormat="false" ht="13.8" hidden="false" customHeight="false" outlineLevel="0" collapsed="false">
      <c r="A347" s="1" t="s">
        <v>466</v>
      </c>
      <c r="B347" s="1" t="n">
        <v>662</v>
      </c>
      <c r="C347" s="1" t="s">
        <v>444</v>
      </c>
      <c r="D347" s="1" t="s">
        <v>73</v>
      </c>
      <c r="E347" s="1" t="s">
        <v>445</v>
      </c>
      <c r="G347" s="1" t="n">
        <v>1</v>
      </c>
      <c r="H347" s="1" t="n">
        <v>5</v>
      </c>
      <c r="I347" s="8" t="n">
        <v>13229</v>
      </c>
      <c r="J347" s="1" t="n">
        <v>1</v>
      </c>
      <c r="K347" s="1" t="s">
        <v>76</v>
      </c>
      <c r="L347" s="1" t="n">
        <v>0</v>
      </c>
      <c r="P347" s="1" t="n">
        <f aca="false">SUM(M347:O347)</f>
        <v>0</v>
      </c>
      <c r="W347" s="1" t="n">
        <f aca="false">SUM(Q347:V347)</f>
        <v>0</v>
      </c>
      <c r="Z347" s="12"/>
      <c r="AB347" s="9"/>
      <c r="AF347" s="9" t="n">
        <f aca="false">SUM(Z347:AE347)</f>
        <v>0</v>
      </c>
      <c r="AG347" s="10"/>
      <c r="AH347" s="11"/>
      <c r="AI347" s="11"/>
      <c r="AJ347" s="11"/>
      <c r="AK347" s="11"/>
      <c r="AL347" s="11"/>
      <c r="AM347" s="11"/>
      <c r="AN347" s="11" t="n">
        <f aca="false">SUM(AH347:AM347)</f>
        <v>0</v>
      </c>
      <c r="AO347" s="1"/>
      <c r="AP347" s="1"/>
      <c r="AQ347" s="1"/>
      <c r="AR347" s="1"/>
    </row>
    <row r="348" customFormat="false" ht="13.8" hidden="false" customHeight="false" outlineLevel="0" collapsed="false">
      <c r="A348" s="1" t="s">
        <v>467</v>
      </c>
      <c r="B348" s="1" t="n">
        <v>559</v>
      </c>
      <c r="C348" s="1" t="s">
        <v>444</v>
      </c>
      <c r="D348" s="1" t="s">
        <v>73</v>
      </c>
      <c r="E348" s="1" t="s">
        <v>445</v>
      </c>
      <c r="F348" s="1" t="n">
        <v>3</v>
      </c>
      <c r="G348" s="1" t="n">
        <v>1</v>
      </c>
      <c r="H348" s="1" t="n">
        <v>12</v>
      </c>
      <c r="I348" s="8" t="n">
        <v>772613</v>
      </c>
      <c r="J348" s="1" t="n">
        <v>2</v>
      </c>
      <c r="K348" s="1" t="s">
        <v>44</v>
      </c>
      <c r="L348" s="1" t="n">
        <v>2</v>
      </c>
      <c r="P348" s="1" t="n">
        <f aca="false">SUM(M348:O348)</f>
        <v>0</v>
      </c>
      <c r="U348" s="1" t="n">
        <v>1</v>
      </c>
      <c r="W348" s="1" t="n">
        <f aca="false">SUM(Q348:V348)</f>
        <v>1</v>
      </c>
      <c r="X348" s="1" t="n">
        <v>1</v>
      </c>
      <c r="Y348" s="1" t="n">
        <v>2</v>
      </c>
      <c r="AA348" s="9"/>
      <c r="AB348" s="9"/>
      <c r="AC348" s="9"/>
      <c r="AD348" s="9" t="n">
        <f aca="false">(U348)*(1+(J348)*0.2)</f>
        <v>1.4</v>
      </c>
      <c r="AF348" s="9" t="n">
        <f aca="false">SUM(Z348:AE348)</f>
        <v>1.4</v>
      </c>
      <c r="AG348" s="10" t="s">
        <v>47</v>
      </c>
      <c r="AH348" s="11"/>
      <c r="AI348" s="11"/>
      <c r="AJ348" s="11"/>
      <c r="AK348" s="11"/>
      <c r="AL348" s="11" t="n">
        <f aca="false">IF(AG348="yes",AD348*1.2,AD348)</f>
        <v>1.68</v>
      </c>
      <c r="AM348" s="11"/>
      <c r="AN348" s="11" t="n">
        <f aca="false">SUM(AH348:AM348)</f>
        <v>1.68</v>
      </c>
      <c r="AO348" s="1"/>
      <c r="AP348" s="1"/>
      <c r="AQ348" s="1"/>
      <c r="AR348" s="1"/>
    </row>
    <row r="349" customFormat="false" ht="13.8" hidden="false" customHeight="false" outlineLevel="0" collapsed="false">
      <c r="A349" s="1" t="s">
        <v>468</v>
      </c>
      <c r="B349" s="1" t="n">
        <v>162</v>
      </c>
      <c r="C349" s="1" t="s">
        <v>444</v>
      </c>
      <c r="D349" s="1" t="s">
        <v>42</v>
      </c>
      <c r="E349" s="1" t="s">
        <v>445</v>
      </c>
      <c r="F349" s="1" t="n">
        <v>6</v>
      </c>
      <c r="G349" s="1" t="n">
        <v>1</v>
      </c>
      <c r="H349" s="1" t="n">
        <v>11</v>
      </c>
      <c r="I349" s="8" t="n">
        <v>3088699</v>
      </c>
      <c r="J349" s="1" t="n">
        <v>4</v>
      </c>
      <c r="K349" s="1" t="s">
        <v>57</v>
      </c>
      <c r="L349" s="1" t="n">
        <v>8</v>
      </c>
      <c r="M349" s="1" t="n">
        <v>1</v>
      </c>
      <c r="N349" s="1" t="n">
        <v>3</v>
      </c>
      <c r="O349" s="1" t="n">
        <v>1</v>
      </c>
      <c r="P349" s="1" t="n">
        <f aca="false">SUM(M349:O349)</f>
        <v>5</v>
      </c>
      <c r="W349" s="1" t="n">
        <f aca="false">SUM(Q349:V349)</f>
        <v>0</v>
      </c>
      <c r="X349" s="1" t="n">
        <v>2</v>
      </c>
      <c r="Y349" s="1" t="n">
        <v>14</v>
      </c>
      <c r="AF349" s="9" t="n">
        <f aca="false">SUM(Z349:AE349)</f>
        <v>0</v>
      </c>
      <c r="AG349" s="10"/>
      <c r="AH349" s="11"/>
      <c r="AI349" s="11"/>
      <c r="AJ349" s="11"/>
      <c r="AK349" s="11"/>
      <c r="AL349" s="11"/>
      <c r="AM349" s="11"/>
      <c r="AN349" s="11" t="n">
        <f aca="false">SUM(AH349:AM349)</f>
        <v>0</v>
      </c>
      <c r="AO349" s="1"/>
      <c r="AP349" s="1"/>
      <c r="AQ349" s="1"/>
      <c r="AR349" s="1"/>
    </row>
    <row r="350" customFormat="false" ht="13.8" hidden="false" customHeight="false" outlineLevel="0" collapsed="false">
      <c r="A350" s="1" t="s">
        <v>469</v>
      </c>
      <c r="B350" s="1" t="n">
        <v>850</v>
      </c>
      <c r="C350" s="1" t="s">
        <v>444</v>
      </c>
      <c r="D350" s="1" t="s">
        <v>42</v>
      </c>
      <c r="E350" s="1" t="s">
        <v>445</v>
      </c>
      <c r="F350" s="1" t="n">
        <v>1</v>
      </c>
      <c r="G350" s="1" t="n">
        <v>1</v>
      </c>
      <c r="H350" s="1" t="n">
        <v>2</v>
      </c>
      <c r="I350" s="8" t="n">
        <v>371192</v>
      </c>
      <c r="J350" s="1" t="n">
        <v>2</v>
      </c>
      <c r="K350" s="1" t="s">
        <v>46</v>
      </c>
      <c r="L350" s="1" t="n">
        <v>4</v>
      </c>
      <c r="P350" s="1" t="n">
        <f aca="false">SUM(M350:O350)</f>
        <v>0</v>
      </c>
      <c r="W350" s="1" t="n">
        <f aca="false">SUM(Q350:V350)</f>
        <v>0</v>
      </c>
      <c r="AD350" s="9"/>
      <c r="AF350" s="9" t="n">
        <f aca="false">SUM(Z350:AE350)</f>
        <v>0</v>
      </c>
      <c r="AG350" s="10"/>
      <c r="AH350" s="11"/>
      <c r="AI350" s="11"/>
      <c r="AJ350" s="11"/>
      <c r="AK350" s="11"/>
      <c r="AL350" s="11"/>
      <c r="AM350" s="11"/>
      <c r="AN350" s="11" t="n">
        <f aca="false">SUM(AH350:AM350)</f>
        <v>0</v>
      </c>
      <c r="AO350" s="1"/>
      <c r="AP350" s="1"/>
      <c r="AQ350" s="1"/>
      <c r="AR350" s="1"/>
    </row>
    <row r="351" customFormat="false" ht="13.8" hidden="false" customHeight="false" outlineLevel="0" collapsed="false">
      <c r="A351" s="1" t="s">
        <v>470</v>
      </c>
      <c r="B351" s="1" t="n">
        <v>448</v>
      </c>
      <c r="C351" s="1" t="s">
        <v>444</v>
      </c>
      <c r="D351" s="1" t="s">
        <v>73</v>
      </c>
      <c r="E351" s="1" t="s">
        <v>445</v>
      </c>
      <c r="F351" s="1" t="n">
        <v>10</v>
      </c>
      <c r="G351" s="1" t="n">
        <v>1</v>
      </c>
      <c r="H351" s="1" t="n">
        <v>8</v>
      </c>
      <c r="I351" s="8" t="n">
        <v>469709</v>
      </c>
      <c r="J351" s="1" t="n">
        <v>2</v>
      </c>
      <c r="K351" s="1" t="s">
        <v>46</v>
      </c>
      <c r="L351" s="1" t="n">
        <v>4</v>
      </c>
      <c r="P351" s="1" t="n">
        <f aca="false">SUM(M351:O351)</f>
        <v>0</v>
      </c>
      <c r="W351" s="1" t="n">
        <f aca="false">SUM(Q351:V351)</f>
        <v>0</v>
      </c>
      <c r="X351" s="1" t="n">
        <v>6</v>
      </c>
      <c r="Y351" s="1" t="n">
        <v>5</v>
      </c>
      <c r="AE351" s="20"/>
      <c r="AF351" s="9" t="n">
        <f aca="false">SUM(Z351:AE351)</f>
        <v>0</v>
      </c>
      <c r="AG351" s="10"/>
      <c r="AH351" s="11"/>
      <c r="AI351" s="11"/>
      <c r="AJ351" s="11"/>
      <c r="AK351" s="11"/>
      <c r="AL351" s="11"/>
      <c r="AM351" s="11"/>
      <c r="AN351" s="11" t="n">
        <f aca="false">SUM(AH351:AM351)</f>
        <v>0</v>
      </c>
      <c r="AO351" s="1"/>
      <c r="AP351" s="1"/>
      <c r="AQ351" s="1"/>
      <c r="AR351" s="1"/>
    </row>
    <row r="352" customFormat="false" ht="13.8" hidden="false" customHeight="false" outlineLevel="0" collapsed="false">
      <c r="A352" s="1" t="s">
        <v>471</v>
      </c>
      <c r="B352" s="1" t="n">
        <v>661</v>
      </c>
      <c r="C352" s="1" t="s">
        <v>444</v>
      </c>
      <c r="D352" s="1" t="s">
        <v>73</v>
      </c>
      <c r="E352" s="1" t="s">
        <v>445</v>
      </c>
      <c r="G352" s="1" t="n">
        <v>1</v>
      </c>
      <c r="H352" s="1" t="n">
        <v>10</v>
      </c>
      <c r="I352" s="8" t="n">
        <v>17639</v>
      </c>
      <c r="J352" s="1" t="n">
        <v>1</v>
      </c>
      <c r="K352" s="1" t="s">
        <v>76</v>
      </c>
      <c r="L352" s="1" t="n">
        <v>0</v>
      </c>
      <c r="P352" s="1" t="n">
        <f aca="false">SUM(M352:O352)</f>
        <v>0</v>
      </c>
      <c r="W352" s="1" t="n">
        <f aca="false">SUM(Q352:V352)</f>
        <v>0</v>
      </c>
      <c r="AE352" s="20"/>
      <c r="AF352" s="9" t="n">
        <f aca="false">SUM(Z352:AE352)</f>
        <v>0</v>
      </c>
      <c r="AG352" s="10"/>
      <c r="AH352" s="11"/>
      <c r="AI352" s="11"/>
      <c r="AJ352" s="11"/>
      <c r="AK352" s="11"/>
      <c r="AL352" s="11"/>
      <c r="AM352" s="11"/>
      <c r="AN352" s="11" t="n">
        <f aca="false">SUM(AH352:AM352)</f>
        <v>0</v>
      </c>
      <c r="AO352" s="1"/>
      <c r="AP352" s="1"/>
      <c r="AQ352" s="1"/>
      <c r="AR352" s="1"/>
    </row>
    <row r="353" customFormat="false" ht="13.8" hidden="false" customHeight="false" outlineLevel="0" collapsed="false">
      <c r="A353" s="1" t="s">
        <v>472</v>
      </c>
      <c r="B353" s="1" t="n">
        <v>160</v>
      </c>
      <c r="C353" s="1" t="s">
        <v>444</v>
      </c>
      <c r="D353" s="1" t="s">
        <v>42</v>
      </c>
      <c r="E353" s="1" t="s">
        <v>445</v>
      </c>
      <c r="F353" s="1" t="n">
        <v>14</v>
      </c>
      <c r="G353" s="1" t="n">
        <v>1</v>
      </c>
      <c r="H353" s="1" t="n">
        <v>8</v>
      </c>
      <c r="I353" s="8" t="n">
        <v>3967989</v>
      </c>
      <c r="J353" s="1" t="n">
        <v>3</v>
      </c>
      <c r="K353" s="1" t="s">
        <v>57</v>
      </c>
      <c r="L353" s="1" t="n">
        <v>8</v>
      </c>
      <c r="M353" s="1" t="n">
        <v>2</v>
      </c>
      <c r="N353" s="1" t="n">
        <v>1</v>
      </c>
      <c r="O353" s="1" t="n">
        <v>4</v>
      </c>
      <c r="P353" s="1" t="n">
        <f aca="false">SUM(M353:O353)</f>
        <v>7</v>
      </c>
      <c r="R353" s="1" t="n">
        <v>11</v>
      </c>
      <c r="U353" s="1" t="n">
        <v>20</v>
      </c>
      <c r="W353" s="1" t="n">
        <f aca="false">SUM(Q353:V353)</f>
        <v>31</v>
      </c>
      <c r="X353" s="1" t="n">
        <v>3</v>
      </c>
      <c r="Y353" s="1" t="n">
        <v>6</v>
      </c>
      <c r="AA353" s="9" t="n">
        <f aca="false">(R353)*(1+(J353)*0.2)</f>
        <v>17.6</v>
      </c>
      <c r="AD353" s="9" t="n">
        <f aca="false">(U353)*(1+(J353)*0.2)</f>
        <v>32</v>
      </c>
      <c r="AF353" s="9" t="n">
        <f aca="false">SUM(Z353:AE353)</f>
        <v>49.6</v>
      </c>
      <c r="AG353" s="10" t="s">
        <v>47</v>
      </c>
      <c r="AH353" s="11"/>
      <c r="AI353" s="11" t="n">
        <f aca="false">IF(AG353="yes",AA353*1.2,AA353)</f>
        <v>21.12</v>
      </c>
      <c r="AJ353" s="11"/>
      <c r="AK353" s="11"/>
      <c r="AL353" s="11" t="n">
        <f aca="false">IF(AG353="yes",AD353*1.2,AD353)</f>
        <v>38.4</v>
      </c>
      <c r="AM353" s="11"/>
      <c r="AN353" s="11" t="n">
        <f aca="false">SUM(AH353:AM353)</f>
        <v>59.52</v>
      </c>
      <c r="AO353" s="1"/>
      <c r="AP353" s="1"/>
      <c r="AQ353" s="1"/>
      <c r="AR353" s="1"/>
    </row>
    <row r="354" customFormat="false" ht="13.8" hidden="false" customHeight="false" outlineLevel="0" collapsed="false">
      <c r="A354" s="1" t="s">
        <v>473</v>
      </c>
      <c r="B354" s="1" t="n">
        <v>163</v>
      </c>
      <c r="C354" s="1" t="s">
        <v>444</v>
      </c>
      <c r="D354" s="1" t="s">
        <v>73</v>
      </c>
      <c r="E354" s="1" t="s">
        <v>445</v>
      </c>
      <c r="F354" s="1" t="n">
        <v>5</v>
      </c>
      <c r="G354" s="1" t="n">
        <v>1</v>
      </c>
      <c r="H354" s="1" t="n">
        <v>1</v>
      </c>
      <c r="I354" s="8" t="n">
        <v>18022</v>
      </c>
      <c r="J354" s="1" t="n">
        <v>3</v>
      </c>
      <c r="K354" s="1" t="s">
        <v>295</v>
      </c>
      <c r="L354" s="1" t="n">
        <v>0</v>
      </c>
      <c r="P354" s="1" t="n">
        <f aca="false">SUM(M354:O354)</f>
        <v>0</v>
      </c>
      <c r="W354" s="1" t="n">
        <f aca="false">SUM(Q354:V354)</f>
        <v>0</v>
      </c>
      <c r="Y354" s="1" t="n">
        <v>1</v>
      </c>
      <c r="AE354" s="20"/>
      <c r="AF354" s="9" t="n">
        <f aca="false">SUM(Z354:AE354)</f>
        <v>0</v>
      </c>
      <c r="AG354" s="10"/>
      <c r="AH354" s="11"/>
      <c r="AI354" s="11"/>
      <c r="AJ354" s="11"/>
      <c r="AK354" s="11"/>
      <c r="AL354" s="11"/>
      <c r="AM354" s="11"/>
      <c r="AN354" s="11" t="n">
        <f aca="false">SUM(AH354:AM354)</f>
        <v>0</v>
      </c>
      <c r="AO354" s="1"/>
      <c r="AP354" s="1"/>
      <c r="AQ354" s="1"/>
      <c r="AR354" s="1"/>
    </row>
    <row r="355" customFormat="false" ht="13.8" hidden="false" customHeight="false" outlineLevel="0" collapsed="false">
      <c r="A355" s="1" t="s">
        <v>474</v>
      </c>
      <c r="B355" s="1" t="n">
        <v>684</v>
      </c>
      <c r="C355" s="1" t="s">
        <v>475</v>
      </c>
      <c r="D355" s="1" t="s">
        <v>73</v>
      </c>
      <c r="E355" s="1" t="s">
        <v>476</v>
      </c>
      <c r="F355" s="1" t="n">
        <v>6</v>
      </c>
      <c r="G355" s="1" t="n">
        <v>1</v>
      </c>
      <c r="H355" s="1" t="n">
        <v>11</v>
      </c>
      <c r="I355" s="8" t="n">
        <v>42409</v>
      </c>
      <c r="J355" s="1" t="n">
        <v>2</v>
      </c>
      <c r="K355" s="1" t="s">
        <v>84</v>
      </c>
      <c r="L355" s="1" t="n">
        <v>1</v>
      </c>
      <c r="P355" s="1" t="n">
        <f aca="false">SUM(M355:O355)</f>
        <v>0</v>
      </c>
      <c r="W355" s="1" t="n">
        <f aca="false">SUM(Q355:V355)</f>
        <v>0</v>
      </c>
      <c r="X355" s="1" t="n">
        <v>3</v>
      </c>
      <c r="Y355" s="1" t="n">
        <v>13</v>
      </c>
      <c r="AE355" s="20"/>
      <c r="AF355" s="9" t="n">
        <f aca="false">SUM(Z355:AE355)</f>
        <v>0</v>
      </c>
      <c r="AG355" s="10"/>
      <c r="AH355" s="11"/>
      <c r="AI355" s="11"/>
      <c r="AJ355" s="11"/>
      <c r="AK355" s="11"/>
      <c r="AL355" s="11"/>
      <c r="AM355" s="11"/>
      <c r="AN355" s="11" t="n">
        <f aca="false">SUM(AH355:AM355)</f>
        <v>0</v>
      </c>
      <c r="AO355" s="1"/>
      <c r="AP355" s="1"/>
      <c r="AQ355" s="1"/>
      <c r="AR355" s="1"/>
    </row>
    <row r="356" customFormat="false" ht="13.8" hidden="false" customHeight="false" outlineLevel="0" collapsed="false">
      <c r="A356" s="1" t="s">
        <v>477</v>
      </c>
      <c r="B356" s="1" t="n">
        <v>529</v>
      </c>
      <c r="C356" s="1" t="s">
        <v>475</v>
      </c>
      <c r="D356" s="1" t="s">
        <v>42</v>
      </c>
      <c r="E356" s="1" t="s">
        <v>476</v>
      </c>
      <c r="F356" s="1" t="n">
        <v>30</v>
      </c>
      <c r="G356" s="1" t="n">
        <v>1</v>
      </c>
      <c r="H356" s="1" t="n">
        <v>12</v>
      </c>
      <c r="I356" s="8" t="n">
        <v>5347520</v>
      </c>
      <c r="J356" s="1" t="n">
        <v>4</v>
      </c>
      <c r="K356" s="1" t="s">
        <v>57</v>
      </c>
      <c r="L356" s="1" t="n">
        <v>8</v>
      </c>
      <c r="M356" s="1" t="n">
        <v>2</v>
      </c>
      <c r="N356" s="1" t="n">
        <v>2</v>
      </c>
      <c r="O356" s="1" t="n">
        <v>2</v>
      </c>
      <c r="P356" s="1" t="n">
        <f aca="false">SUM(M356:O356)</f>
        <v>6</v>
      </c>
      <c r="W356" s="1" t="n">
        <f aca="false">SUM(Q356:V356)</f>
        <v>0</v>
      </c>
      <c r="X356" s="1" t="n">
        <v>3</v>
      </c>
      <c r="Y356" s="1" t="n">
        <v>10</v>
      </c>
      <c r="AF356" s="9" t="n">
        <f aca="false">SUM(Z356:AE356)</f>
        <v>0</v>
      </c>
      <c r="AG356" s="10"/>
      <c r="AH356" s="11"/>
      <c r="AI356" s="11"/>
      <c r="AJ356" s="11"/>
      <c r="AK356" s="11"/>
      <c r="AL356" s="11"/>
      <c r="AM356" s="11"/>
      <c r="AN356" s="11" t="n">
        <f aca="false">SUM(AH356:AM356)</f>
        <v>0</v>
      </c>
      <c r="AO356" s="1"/>
      <c r="AP356" s="1"/>
      <c r="AQ356" s="1"/>
      <c r="AR356" s="1"/>
    </row>
    <row r="357" customFormat="false" ht="13.8" hidden="false" customHeight="false" outlineLevel="0" collapsed="false">
      <c r="A357" s="1" t="s">
        <v>478</v>
      </c>
      <c r="B357" s="1" t="n">
        <v>745</v>
      </c>
      <c r="C357" s="1" t="s">
        <v>475</v>
      </c>
      <c r="D357" s="1" t="s">
        <v>73</v>
      </c>
      <c r="E357" s="1" t="s">
        <v>476</v>
      </c>
      <c r="F357" s="1" t="n">
        <v>1</v>
      </c>
      <c r="G357" s="1" t="n">
        <v>1</v>
      </c>
      <c r="H357" s="1" t="n">
        <v>2</v>
      </c>
      <c r="I357" s="8" t="n">
        <v>1001221</v>
      </c>
      <c r="J357" s="1" t="n">
        <v>3</v>
      </c>
      <c r="K357" s="1" t="s">
        <v>120</v>
      </c>
      <c r="L357" s="1" t="n">
        <v>5</v>
      </c>
      <c r="O357" s="1" t="n">
        <v>1</v>
      </c>
      <c r="P357" s="1" t="n">
        <f aca="false">SUM(M357:O357)</f>
        <v>1</v>
      </c>
      <c r="W357" s="1" t="n">
        <f aca="false">SUM(Q357:V357)</f>
        <v>0</v>
      </c>
      <c r="X357" s="1" t="n">
        <v>1</v>
      </c>
      <c r="Y357" s="1" t="n">
        <v>5</v>
      </c>
      <c r="AF357" s="9" t="n">
        <f aca="false">SUM(Z357:AE357)</f>
        <v>0</v>
      </c>
      <c r="AG357" s="10"/>
      <c r="AH357" s="11"/>
      <c r="AI357" s="11"/>
      <c r="AJ357" s="11"/>
      <c r="AK357" s="11"/>
      <c r="AL357" s="11"/>
      <c r="AM357" s="11"/>
      <c r="AN357" s="11" t="n">
        <f aca="false">SUM(AH357:AM357)</f>
        <v>0</v>
      </c>
      <c r="AO357" s="1"/>
      <c r="AP357" s="1"/>
      <c r="AQ357" s="1"/>
      <c r="AR357" s="1"/>
    </row>
    <row r="358" customFormat="false" ht="13.8" hidden="false" customHeight="false" outlineLevel="0" collapsed="false">
      <c r="A358" s="1" t="s">
        <v>479</v>
      </c>
      <c r="B358" s="1" t="n">
        <v>609</v>
      </c>
      <c r="C358" s="1" t="s">
        <v>475</v>
      </c>
      <c r="D358" s="1" t="s">
        <v>73</v>
      </c>
      <c r="E358" s="1" t="s">
        <v>476</v>
      </c>
      <c r="G358" s="1" t="n">
        <v>1</v>
      </c>
      <c r="H358" s="1" t="n">
        <v>7</v>
      </c>
      <c r="I358" s="8" t="n">
        <v>6407813</v>
      </c>
      <c r="J358" s="1" t="n">
        <v>3</v>
      </c>
      <c r="K358" s="1" t="s">
        <v>46</v>
      </c>
      <c r="L358" s="1" t="n">
        <v>4</v>
      </c>
      <c r="M358" s="1" t="n">
        <v>1</v>
      </c>
      <c r="O358" s="1" t="n">
        <v>1</v>
      </c>
      <c r="P358" s="1" t="n">
        <f aca="false">SUM(M358:O358)</f>
        <v>2</v>
      </c>
      <c r="W358" s="1" t="n">
        <f aca="false">SUM(Q358:V358)</f>
        <v>0</v>
      </c>
      <c r="Y358" s="1" t="n">
        <v>2</v>
      </c>
      <c r="AF358" s="9" t="n">
        <f aca="false">SUM(Z358:AE358)</f>
        <v>0</v>
      </c>
      <c r="AG358" s="10"/>
      <c r="AH358" s="11"/>
      <c r="AI358" s="11"/>
      <c r="AJ358" s="11"/>
      <c r="AK358" s="11"/>
      <c r="AL358" s="11"/>
      <c r="AM358" s="11"/>
      <c r="AN358" s="11" t="n">
        <f aca="false">SUM(AH358:AM358)</f>
        <v>0</v>
      </c>
      <c r="AO358" s="1"/>
      <c r="AP358" s="1"/>
      <c r="AQ358" s="1"/>
      <c r="AR358" s="1"/>
    </row>
    <row r="359" customFormat="false" ht="13.8" hidden="false" customHeight="false" outlineLevel="0" collapsed="false">
      <c r="A359" s="1" t="s">
        <v>480</v>
      </c>
      <c r="B359" s="1" t="n">
        <v>536</v>
      </c>
      <c r="C359" s="1" t="s">
        <v>475</v>
      </c>
      <c r="D359" s="1" t="s">
        <v>42</v>
      </c>
      <c r="E359" s="1" t="s">
        <v>476</v>
      </c>
      <c r="F359" s="1" t="n">
        <v>22</v>
      </c>
      <c r="G359" s="1" t="n">
        <v>1</v>
      </c>
      <c r="H359" s="1" t="n">
        <v>12</v>
      </c>
      <c r="I359" s="8" t="n">
        <v>2815433</v>
      </c>
      <c r="J359" s="1" t="n">
        <v>2</v>
      </c>
      <c r="K359" s="1" t="s">
        <v>44</v>
      </c>
      <c r="L359" s="1" t="n">
        <v>2</v>
      </c>
      <c r="P359" s="1" t="n">
        <f aca="false">SUM(M359:O359)</f>
        <v>0</v>
      </c>
      <c r="W359" s="1" t="n">
        <f aca="false">SUM(Q359:V359)</f>
        <v>0</v>
      </c>
      <c r="AD359" s="9"/>
      <c r="AE359" s="20"/>
      <c r="AF359" s="9" t="n">
        <f aca="false">SUM(Z359:AE359)</f>
        <v>0</v>
      </c>
      <c r="AG359" s="10"/>
      <c r="AH359" s="11"/>
      <c r="AI359" s="11"/>
      <c r="AJ359" s="11"/>
      <c r="AK359" s="11"/>
      <c r="AL359" s="11"/>
      <c r="AM359" s="11"/>
      <c r="AN359" s="11" t="n">
        <f aca="false">SUM(AH359:AM359)</f>
        <v>0</v>
      </c>
      <c r="AO359" s="1"/>
      <c r="AP359" s="1"/>
      <c r="AQ359" s="1"/>
      <c r="AR359" s="1"/>
    </row>
    <row r="360" customFormat="false" ht="13.8" hidden="false" customHeight="false" outlineLevel="0" collapsed="false">
      <c r="A360" s="1" t="s">
        <v>481</v>
      </c>
      <c r="B360" s="1" t="n">
        <v>534</v>
      </c>
      <c r="C360" s="1" t="s">
        <v>475</v>
      </c>
      <c r="D360" s="1" t="s">
        <v>42</v>
      </c>
      <c r="E360" s="1" t="s">
        <v>476</v>
      </c>
      <c r="F360" s="1" t="n">
        <v>10</v>
      </c>
      <c r="G360" s="1" t="n">
        <v>1</v>
      </c>
      <c r="H360" s="1" t="n">
        <v>6</v>
      </c>
      <c r="I360" s="8" t="n">
        <v>1935360</v>
      </c>
      <c r="J360" s="1" t="n">
        <v>2</v>
      </c>
      <c r="K360" s="1" t="s">
        <v>96</v>
      </c>
      <c r="L360" s="1" t="n">
        <v>6</v>
      </c>
      <c r="M360" s="1" t="n">
        <v>2</v>
      </c>
      <c r="O360" s="1" t="n">
        <v>2</v>
      </c>
      <c r="P360" s="1" t="n">
        <f aca="false">SUM(M360:O360)</f>
        <v>4</v>
      </c>
      <c r="W360" s="1" t="n">
        <f aca="false">SUM(Q360:V360)</f>
        <v>0</v>
      </c>
      <c r="AE360" s="20"/>
      <c r="AF360" s="9" t="n">
        <f aca="false">SUM(Z360:AE360)</f>
        <v>0</v>
      </c>
      <c r="AG360" s="10"/>
      <c r="AH360" s="11"/>
      <c r="AI360" s="11"/>
      <c r="AJ360" s="11"/>
      <c r="AK360" s="11"/>
      <c r="AL360" s="11"/>
      <c r="AM360" s="11"/>
      <c r="AN360" s="11" t="n">
        <f aca="false">SUM(AH360:AM360)</f>
        <v>0</v>
      </c>
      <c r="AO360" s="1"/>
      <c r="AP360" s="1"/>
      <c r="AQ360" s="1"/>
      <c r="AR360" s="1"/>
    </row>
    <row r="361" customFormat="false" ht="13.8" hidden="false" customHeight="false" outlineLevel="0" collapsed="false">
      <c r="A361" s="1" t="s">
        <v>482</v>
      </c>
      <c r="B361" s="1" t="n">
        <v>645</v>
      </c>
      <c r="C361" s="1" t="s">
        <v>475</v>
      </c>
      <c r="D361" s="1" t="s">
        <v>42</v>
      </c>
      <c r="E361" s="1" t="s">
        <v>476</v>
      </c>
      <c r="F361" s="1" t="n">
        <v>5</v>
      </c>
      <c r="G361" s="1" t="n">
        <v>1</v>
      </c>
      <c r="H361" s="1" t="n">
        <v>1</v>
      </c>
      <c r="I361" s="8" t="n">
        <v>1019</v>
      </c>
      <c r="J361" s="1" t="n">
        <v>2</v>
      </c>
      <c r="K361" s="1" t="s">
        <v>84</v>
      </c>
      <c r="L361" s="1" t="n">
        <v>1</v>
      </c>
      <c r="P361" s="1" t="n">
        <f aca="false">SUM(M361:O361)</f>
        <v>0</v>
      </c>
      <c r="W361" s="1" t="n">
        <f aca="false">SUM(Q361:V361)</f>
        <v>0</v>
      </c>
      <c r="X361" s="1" t="n">
        <v>1</v>
      </c>
      <c r="Y361" s="1" t="n">
        <v>1</v>
      </c>
      <c r="AF361" s="9" t="n">
        <f aca="false">SUM(Z361:AE361)</f>
        <v>0</v>
      </c>
      <c r="AG361" s="10"/>
      <c r="AH361" s="11"/>
      <c r="AI361" s="11"/>
      <c r="AJ361" s="11"/>
      <c r="AK361" s="11"/>
      <c r="AL361" s="11"/>
      <c r="AM361" s="11"/>
      <c r="AN361" s="11" t="n">
        <f aca="false">SUM(AH361:AM361)</f>
        <v>0</v>
      </c>
      <c r="AO361" s="1"/>
      <c r="AP361" s="1"/>
      <c r="AQ361" s="1"/>
      <c r="AR361" s="1"/>
    </row>
    <row r="362" customFormat="false" ht="13.8" hidden="false" customHeight="false" outlineLevel="0" collapsed="false">
      <c r="A362" s="1" t="s">
        <v>483</v>
      </c>
      <c r="B362" s="1" t="n">
        <v>531</v>
      </c>
      <c r="C362" s="1" t="s">
        <v>475</v>
      </c>
      <c r="D362" s="1" t="s">
        <v>42</v>
      </c>
      <c r="E362" s="1" t="s">
        <v>476</v>
      </c>
      <c r="F362" s="1" t="n">
        <v>60</v>
      </c>
      <c r="G362" s="1" t="n">
        <v>1</v>
      </c>
      <c r="H362" s="1" t="n">
        <v>11</v>
      </c>
      <c r="I362" s="8" t="n">
        <v>11028446</v>
      </c>
      <c r="J362" s="1" t="n">
        <v>4</v>
      </c>
      <c r="K362" s="1" t="s">
        <v>109</v>
      </c>
      <c r="L362" s="1" t="n">
        <v>10</v>
      </c>
      <c r="M362" s="1" t="n">
        <v>2</v>
      </c>
      <c r="N362" s="1" t="n">
        <v>2</v>
      </c>
      <c r="O362" s="1" t="n">
        <v>4</v>
      </c>
      <c r="P362" s="1" t="n">
        <f aca="false">SUM(M362:O362)</f>
        <v>8</v>
      </c>
      <c r="R362" s="1" t="n">
        <v>3</v>
      </c>
      <c r="W362" s="1" t="n">
        <f aca="false">SUM(Q362:V362)</f>
        <v>3</v>
      </c>
      <c r="Y362" s="1" t="n">
        <v>9</v>
      </c>
      <c r="AA362" s="9" t="n">
        <f aca="false">(R362)*(1+(J362)*0.2)</f>
        <v>5.4</v>
      </c>
      <c r="AF362" s="9" t="n">
        <f aca="false">SUM(Z362:AE362)</f>
        <v>5.4</v>
      </c>
      <c r="AG362" s="10" t="s">
        <v>47</v>
      </c>
      <c r="AH362" s="11"/>
      <c r="AI362" s="11" t="n">
        <f aca="false">IF(AG362="yes",AA362*1.2,AA362)</f>
        <v>6.48</v>
      </c>
      <c r="AJ362" s="11"/>
      <c r="AK362" s="11"/>
      <c r="AL362" s="11"/>
      <c r="AM362" s="11"/>
      <c r="AN362" s="11" t="n">
        <f aca="false">SUM(AH362:AM362)</f>
        <v>6.48</v>
      </c>
      <c r="AO362" s="1"/>
      <c r="AP362" s="1"/>
      <c r="AQ362" s="1"/>
      <c r="AR362" s="1"/>
    </row>
    <row r="363" customFormat="false" ht="13.8" hidden="false" customHeight="false" outlineLevel="0" collapsed="false">
      <c r="A363" s="1" t="s">
        <v>484</v>
      </c>
      <c r="B363" s="1" t="n">
        <v>282</v>
      </c>
      <c r="C363" s="1" t="s">
        <v>475</v>
      </c>
      <c r="D363" s="1" t="s">
        <v>42</v>
      </c>
      <c r="E363" s="1" t="s">
        <v>476</v>
      </c>
      <c r="F363" s="1" t="n">
        <v>90</v>
      </c>
      <c r="G363" s="1" t="n">
        <v>1</v>
      </c>
      <c r="H363" s="1" t="n">
        <v>11</v>
      </c>
      <c r="I363" s="8" t="n">
        <v>13789813</v>
      </c>
      <c r="J363" s="1" t="n">
        <v>4</v>
      </c>
      <c r="K363" s="1" t="s">
        <v>381</v>
      </c>
      <c r="L363" s="1" t="n">
        <v>12</v>
      </c>
      <c r="M363" s="1" t="n">
        <v>2</v>
      </c>
      <c r="N363" s="1" t="n">
        <v>4</v>
      </c>
      <c r="O363" s="1" t="n">
        <v>4</v>
      </c>
      <c r="P363" s="1" t="n">
        <f aca="false">SUM(M363:O363)</f>
        <v>10</v>
      </c>
      <c r="R363" s="1" t="n">
        <v>1</v>
      </c>
      <c r="W363" s="1" t="n">
        <f aca="false">SUM(Q363:V363)</f>
        <v>1</v>
      </c>
      <c r="X363" s="1" t="n">
        <v>6</v>
      </c>
      <c r="Y363" s="1" t="n">
        <v>6</v>
      </c>
      <c r="AA363" s="9" t="n">
        <f aca="false">(R363)*(1+(J363)*0.2)</f>
        <v>1.8</v>
      </c>
      <c r="AF363" s="9" t="n">
        <f aca="false">SUM(Z363:AE363)</f>
        <v>1.8</v>
      </c>
      <c r="AG363" s="10" t="s">
        <v>47</v>
      </c>
      <c r="AH363" s="11"/>
      <c r="AI363" s="11" t="n">
        <f aca="false">IF(AG363="yes",AA363*1.2,AA363)</f>
        <v>2.16</v>
      </c>
      <c r="AJ363" s="11"/>
      <c r="AK363" s="11"/>
      <c r="AL363" s="11"/>
      <c r="AM363" s="11"/>
      <c r="AN363" s="11" t="n">
        <f aca="false">SUM(AH363:AM363)</f>
        <v>2.16</v>
      </c>
      <c r="AO363" s="1"/>
      <c r="AP363" s="1"/>
      <c r="AQ363" s="1"/>
      <c r="AR363" s="1"/>
    </row>
    <row r="364" customFormat="false" ht="13.8" hidden="false" customHeight="false" outlineLevel="0" collapsed="false">
      <c r="A364" s="1" t="s">
        <v>485</v>
      </c>
      <c r="B364" s="1" t="n">
        <v>535</v>
      </c>
      <c r="C364" s="1" t="s">
        <v>475</v>
      </c>
      <c r="D364" s="1" t="s">
        <v>42</v>
      </c>
      <c r="E364" s="1" t="s">
        <v>476</v>
      </c>
      <c r="F364" s="1" t="n">
        <v>15</v>
      </c>
      <c r="G364" s="1" t="n">
        <v>1</v>
      </c>
      <c r="H364" s="1" t="n">
        <v>5</v>
      </c>
      <c r="I364" s="8" t="n">
        <v>3875725</v>
      </c>
      <c r="J364" s="1" t="n">
        <v>2</v>
      </c>
      <c r="K364" s="1" t="s">
        <v>57</v>
      </c>
      <c r="L364" s="1" t="n">
        <v>8</v>
      </c>
      <c r="M364" s="1" t="n">
        <v>1</v>
      </c>
      <c r="N364" s="1" t="n">
        <v>1</v>
      </c>
      <c r="O364" s="1" t="n">
        <v>2</v>
      </c>
      <c r="P364" s="1" t="n">
        <f aca="false">SUM(M364:O364)</f>
        <v>4</v>
      </c>
      <c r="T364" s="1" t="n">
        <v>8</v>
      </c>
      <c r="U364" s="1" t="n">
        <v>27</v>
      </c>
      <c r="W364" s="1" t="n">
        <f aca="false">SUM(Q364:V364)</f>
        <v>35</v>
      </c>
      <c r="AC364" s="9" t="n">
        <f aca="false">(T364)*(1+(J364)*0.2)</f>
        <v>11.2</v>
      </c>
      <c r="AD364" s="9" t="n">
        <f aca="false">(U364)*(1+(J364)*0.2)</f>
        <v>37.8</v>
      </c>
      <c r="AF364" s="9" t="n">
        <f aca="false">SUM(Z364:AE364)</f>
        <v>49</v>
      </c>
      <c r="AG364" s="10" t="s">
        <v>47</v>
      </c>
      <c r="AH364" s="11"/>
      <c r="AI364" s="11"/>
      <c r="AJ364" s="11"/>
      <c r="AK364" s="11" t="n">
        <f aca="false">IF(AG364="yes",AC364*1.2,AC364)</f>
        <v>13.44</v>
      </c>
      <c r="AL364" s="11" t="n">
        <f aca="false">IF(AG364="yes",AD364*1.2,AD364)</f>
        <v>45.36</v>
      </c>
      <c r="AM364" s="11"/>
      <c r="AN364" s="11" t="n">
        <f aca="false">SUM(AH364:AM364)</f>
        <v>58.8</v>
      </c>
      <c r="AO364" s="1"/>
      <c r="AP364" s="1"/>
      <c r="AQ364" s="1"/>
      <c r="AR364" s="1"/>
    </row>
    <row r="365" customFormat="false" ht="13.8" hidden="false" customHeight="false" outlineLevel="0" collapsed="false">
      <c r="A365" s="1" t="s">
        <v>486</v>
      </c>
      <c r="B365" s="1" t="n">
        <v>555</v>
      </c>
      <c r="C365" s="1" t="s">
        <v>475</v>
      </c>
      <c r="D365" s="1" t="s">
        <v>42</v>
      </c>
      <c r="E365" s="1" t="s">
        <v>476</v>
      </c>
      <c r="G365" s="1" t="n">
        <v>1</v>
      </c>
      <c r="H365" s="1" t="n">
        <v>3</v>
      </c>
      <c r="I365" s="8" t="n">
        <v>15018</v>
      </c>
      <c r="J365" s="1" t="n">
        <v>2</v>
      </c>
      <c r="K365" s="1" t="s">
        <v>261</v>
      </c>
      <c r="L365" s="1" t="n">
        <v>0</v>
      </c>
      <c r="P365" s="1" t="n">
        <f aca="false">SUM(M365:O365)</f>
        <v>0</v>
      </c>
      <c r="W365" s="1" t="n">
        <f aca="false">SUM(Q365:V365)</f>
        <v>0</v>
      </c>
      <c r="Y365" s="1" t="n">
        <v>3</v>
      </c>
      <c r="AF365" s="9" t="n">
        <f aca="false">SUM(Z365:AE365)</f>
        <v>0</v>
      </c>
      <c r="AG365" s="10"/>
      <c r="AH365" s="11"/>
      <c r="AI365" s="11"/>
      <c r="AJ365" s="11"/>
      <c r="AK365" s="11"/>
      <c r="AL365" s="11"/>
      <c r="AM365" s="11"/>
      <c r="AN365" s="11" t="n">
        <f aca="false">SUM(AH365:AM365)</f>
        <v>0</v>
      </c>
      <c r="AO365" s="1"/>
      <c r="AP365" s="1"/>
      <c r="AQ365" s="1"/>
      <c r="AR365" s="1"/>
    </row>
    <row r="366" customFormat="false" ht="13.8" hidden="false" customHeight="false" outlineLevel="0" collapsed="false">
      <c r="A366" s="1" t="s">
        <v>487</v>
      </c>
      <c r="B366" s="1" t="n">
        <v>528</v>
      </c>
      <c r="C366" s="1" t="s">
        <v>475</v>
      </c>
      <c r="D366" s="1" t="s">
        <v>42</v>
      </c>
      <c r="E366" s="1" t="s">
        <v>476</v>
      </c>
      <c r="F366" s="1" t="n">
        <v>55</v>
      </c>
      <c r="G366" s="1" t="n">
        <v>1</v>
      </c>
      <c r="H366" s="1" t="n">
        <v>18</v>
      </c>
      <c r="I366" s="8" t="n">
        <v>9080071</v>
      </c>
      <c r="J366" s="1" t="n">
        <v>4</v>
      </c>
      <c r="K366" s="1" t="s">
        <v>57</v>
      </c>
      <c r="L366" s="1" t="n">
        <v>8</v>
      </c>
      <c r="M366" s="1" t="n">
        <v>1</v>
      </c>
      <c r="N366" s="1" t="n">
        <v>4</v>
      </c>
      <c r="O366" s="1" t="n">
        <v>2</v>
      </c>
      <c r="P366" s="1" t="n">
        <f aca="false">SUM(M366:O366)</f>
        <v>7</v>
      </c>
      <c r="V366" s="1" t="n">
        <v>52</v>
      </c>
      <c r="W366" s="1" t="n">
        <f aca="false">SUM(Q366:V366)</f>
        <v>52</v>
      </c>
      <c r="X366" s="1" t="n">
        <v>3</v>
      </c>
      <c r="Y366" s="1" t="n">
        <v>6</v>
      </c>
      <c r="AE366" s="9" t="n">
        <f aca="false">(V366)*(1+(J366)*0.2)</f>
        <v>93.6</v>
      </c>
      <c r="AF366" s="9" t="n">
        <f aca="false">SUM(Z366:AE366)</f>
        <v>93.6</v>
      </c>
      <c r="AG366" s="10" t="s">
        <v>47</v>
      </c>
      <c r="AH366" s="11"/>
      <c r="AI366" s="11"/>
      <c r="AJ366" s="11"/>
      <c r="AK366" s="11"/>
      <c r="AL366" s="11"/>
      <c r="AM366" s="11" t="n">
        <f aca="false">IF(AG366="yes",AE366*1.2,AE366)</f>
        <v>112.32</v>
      </c>
      <c r="AN366" s="11" t="n">
        <f aca="false">SUM(AH366:AM366)</f>
        <v>112.32</v>
      </c>
      <c r="AO366" s="1"/>
      <c r="AP366" s="1"/>
      <c r="AQ366" s="1"/>
      <c r="AR366" s="1"/>
    </row>
    <row r="367" customFormat="false" ht="13.8" hidden="false" customHeight="false" outlineLevel="0" collapsed="false">
      <c r="A367" s="1" t="s">
        <v>488</v>
      </c>
      <c r="B367" s="1" t="n">
        <v>648</v>
      </c>
      <c r="C367" s="1" t="s">
        <v>475</v>
      </c>
      <c r="D367" s="1" t="s">
        <v>73</v>
      </c>
      <c r="E367" s="1" t="s">
        <v>476</v>
      </c>
      <c r="G367" s="1" t="n">
        <v>1</v>
      </c>
      <c r="H367" s="1" t="n">
        <v>1</v>
      </c>
      <c r="I367" s="8" t="n">
        <v>42</v>
      </c>
      <c r="J367" s="1" t="n">
        <v>2</v>
      </c>
      <c r="K367" s="1" t="s">
        <v>261</v>
      </c>
      <c r="L367" s="1" t="n">
        <v>0</v>
      </c>
      <c r="P367" s="1" t="n">
        <f aca="false">SUM(M367:O367)</f>
        <v>0</v>
      </c>
      <c r="W367" s="1" t="n">
        <f aca="false">SUM(Q367:V367)</f>
        <v>0</v>
      </c>
      <c r="X367" s="1" t="n">
        <v>1</v>
      </c>
      <c r="Y367" s="1" t="n">
        <v>1</v>
      </c>
      <c r="AF367" s="9" t="n">
        <f aca="false">SUM(Z367:AE367)</f>
        <v>0</v>
      </c>
      <c r="AG367" s="10"/>
      <c r="AH367" s="11"/>
      <c r="AI367" s="11"/>
      <c r="AJ367" s="11"/>
      <c r="AK367" s="11"/>
      <c r="AL367" s="11"/>
      <c r="AM367" s="11"/>
      <c r="AN367" s="11" t="n">
        <f aca="false">SUM(AH367:AM367)</f>
        <v>0</v>
      </c>
      <c r="AO367" s="1"/>
      <c r="AP367" s="1"/>
      <c r="AQ367" s="1"/>
      <c r="AR367" s="1"/>
    </row>
    <row r="368" customFormat="false" ht="13.8" hidden="false" customHeight="false" outlineLevel="0" collapsed="false">
      <c r="A368" s="1" t="s">
        <v>489</v>
      </c>
      <c r="B368" s="1" t="n">
        <v>633</v>
      </c>
      <c r="C368" s="1" t="s">
        <v>475</v>
      </c>
      <c r="D368" s="1" t="s">
        <v>73</v>
      </c>
      <c r="E368" s="1" t="s">
        <v>476</v>
      </c>
      <c r="F368" s="1" t="n">
        <v>4</v>
      </c>
      <c r="G368" s="1" t="n">
        <v>1</v>
      </c>
      <c r="H368" s="1" t="n">
        <v>9</v>
      </c>
      <c r="I368" s="8" t="n">
        <v>52581</v>
      </c>
      <c r="J368" s="1" t="n">
        <v>2</v>
      </c>
      <c r="K368" s="1" t="s">
        <v>84</v>
      </c>
      <c r="L368" s="1" t="n">
        <v>1</v>
      </c>
      <c r="P368" s="1" t="n">
        <f aca="false">SUM(M368:O368)</f>
        <v>0</v>
      </c>
      <c r="W368" s="1" t="n">
        <f aca="false">SUM(Q368:V368)</f>
        <v>0</v>
      </c>
      <c r="X368" s="1" t="n">
        <v>2</v>
      </c>
      <c r="Y368" s="1" t="n">
        <v>9</v>
      </c>
      <c r="AF368" s="9" t="n">
        <f aca="false">SUM(Z368:AE368)</f>
        <v>0</v>
      </c>
      <c r="AG368" s="10"/>
      <c r="AH368" s="11"/>
      <c r="AI368" s="11"/>
      <c r="AJ368" s="11"/>
      <c r="AK368" s="11"/>
      <c r="AL368" s="11"/>
      <c r="AM368" s="11"/>
      <c r="AN368" s="11" t="n">
        <f aca="false">SUM(AH368:AM368)</f>
        <v>0</v>
      </c>
      <c r="AO368" s="1"/>
      <c r="AP368" s="1"/>
      <c r="AQ368" s="1"/>
      <c r="AR368" s="1"/>
    </row>
    <row r="369" customFormat="false" ht="13.8" hidden="false" customHeight="false" outlineLevel="0" collapsed="false">
      <c r="A369" s="1" t="s">
        <v>490</v>
      </c>
      <c r="B369" s="1" t="n">
        <v>527</v>
      </c>
      <c r="C369" s="1" t="s">
        <v>475</v>
      </c>
      <c r="D369" s="1" t="s">
        <v>73</v>
      </c>
      <c r="E369" s="1" t="s">
        <v>476</v>
      </c>
      <c r="F369" s="1" t="n">
        <v>1</v>
      </c>
      <c r="G369" s="1" t="n">
        <v>1</v>
      </c>
      <c r="H369" s="1" t="n">
        <v>39</v>
      </c>
      <c r="I369" s="8" t="n">
        <v>6782469</v>
      </c>
      <c r="J369" s="1" t="n">
        <v>2</v>
      </c>
      <c r="K369" s="1" t="s">
        <v>46</v>
      </c>
      <c r="L369" s="1" t="n">
        <v>4</v>
      </c>
      <c r="O369" s="1" t="n">
        <v>1</v>
      </c>
      <c r="P369" s="1" t="n">
        <f aca="false">SUM(M369:O369)</f>
        <v>1</v>
      </c>
      <c r="T369" s="1" t="n">
        <v>28</v>
      </c>
      <c r="U369" s="1" t="n">
        <v>18</v>
      </c>
      <c r="W369" s="1" t="n">
        <f aca="false">SUM(Q369:V369)</f>
        <v>46</v>
      </c>
      <c r="AC369" s="9" t="n">
        <f aca="false">(T369)*(1+(J369)*0.2)</f>
        <v>39.2</v>
      </c>
      <c r="AD369" s="9" t="n">
        <f aca="false">(U369)*(1+(J369)*0.2)</f>
        <v>25.2</v>
      </c>
      <c r="AF369" s="9" t="n">
        <f aca="false">SUM(Z369:AE369)</f>
        <v>64.4</v>
      </c>
      <c r="AG369" s="10" t="s">
        <v>47</v>
      </c>
      <c r="AH369" s="11"/>
      <c r="AI369" s="11"/>
      <c r="AJ369" s="11"/>
      <c r="AK369" s="11" t="n">
        <f aca="false">IF(AG369="yes",AC369*1.2,AC369)</f>
        <v>47.04</v>
      </c>
      <c r="AL369" s="11" t="n">
        <f aca="false">IF(AG369="yes",AD369*1.2,AD369)</f>
        <v>30.24</v>
      </c>
      <c r="AM369" s="11"/>
      <c r="AN369" s="11" t="n">
        <f aca="false">SUM(AH369:AM369)</f>
        <v>77.28</v>
      </c>
      <c r="AO369" s="1"/>
      <c r="AP369" s="1"/>
      <c r="AQ369" s="1"/>
      <c r="AR369" s="1"/>
    </row>
    <row r="370" customFormat="false" ht="13.8" hidden="false" customHeight="false" outlineLevel="0" collapsed="false">
      <c r="A370" s="1" t="s">
        <v>491</v>
      </c>
      <c r="B370" s="1" t="n">
        <v>526</v>
      </c>
      <c r="C370" s="1" t="s">
        <v>475</v>
      </c>
      <c r="D370" s="1" t="s">
        <v>42</v>
      </c>
      <c r="E370" s="1" t="s">
        <v>476</v>
      </c>
      <c r="F370" s="1" t="n">
        <v>10</v>
      </c>
      <c r="G370" s="1" t="n">
        <v>1</v>
      </c>
      <c r="H370" s="1" t="n">
        <v>4</v>
      </c>
      <c r="I370" s="8" t="n">
        <v>578706</v>
      </c>
      <c r="J370" s="1" t="n">
        <v>2</v>
      </c>
      <c r="K370" s="1" t="s">
        <v>84</v>
      </c>
      <c r="L370" s="1" t="n">
        <v>1</v>
      </c>
      <c r="P370" s="1" t="n">
        <f aca="false">SUM(M370:O370)</f>
        <v>0</v>
      </c>
      <c r="W370" s="1" t="n">
        <f aca="false">SUM(Q370:V370)</f>
        <v>0</v>
      </c>
      <c r="X370" s="1" t="n">
        <v>3</v>
      </c>
      <c r="Y370" s="1" t="n">
        <v>3</v>
      </c>
      <c r="AD370" s="9"/>
      <c r="AF370" s="9" t="n">
        <f aca="false">SUM(Z370:AE370)</f>
        <v>0</v>
      </c>
      <c r="AG370" s="10"/>
      <c r="AH370" s="11"/>
      <c r="AI370" s="11"/>
      <c r="AJ370" s="11"/>
      <c r="AK370" s="11"/>
      <c r="AL370" s="11"/>
      <c r="AM370" s="11"/>
      <c r="AN370" s="11" t="n">
        <f aca="false">SUM(AH370:AM370)</f>
        <v>0</v>
      </c>
      <c r="AO370" s="1"/>
      <c r="AP370" s="1"/>
      <c r="AQ370" s="1"/>
      <c r="AR370" s="1"/>
    </row>
    <row r="371" customFormat="false" ht="13.8" hidden="false" customHeight="false" outlineLevel="0" collapsed="false">
      <c r="A371" s="1" t="s">
        <v>492</v>
      </c>
      <c r="B371" s="1" t="n">
        <v>647</v>
      </c>
      <c r="C371" s="1" t="s">
        <v>475</v>
      </c>
      <c r="D371" s="1" t="s">
        <v>73</v>
      </c>
      <c r="E371" s="1" t="s">
        <v>476</v>
      </c>
      <c r="F371" s="1" t="n">
        <v>1</v>
      </c>
      <c r="G371" s="1" t="n">
        <v>1</v>
      </c>
      <c r="H371" s="1" t="n">
        <v>2</v>
      </c>
      <c r="I371" s="8" t="n">
        <v>12115</v>
      </c>
      <c r="J371" s="1" t="n">
        <v>2</v>
      </c>
      <c r="K371" s="1" t="s">
        <v>84</v>
      </c>
      <c r="L371" s="1" t="n">
        <v>1</v>
      </c>
      <c r="P371" s="1" t="n">
        <f aca="false">SUM(M371:O371)</f>
        <v>0</v>
      </c>
      <c r="W371" s="1" t="n">
        <f aca="false">SUM(Q371:V371)</f>
        <v>0</v>
      </c>
      <c r="X371" s="1" t="n">
        <v>1</v>
      </c>
      <c r="Y371" s="1" t="n">
        <v>1</v>
      </c>
      <c r="AF371" s="9" t="n">
        <f aca="false">SUM(Z371:AE371)</f>
        <v>0</v>
      </c>
      <c r="AG371" s="10"/>
      <c r="AH371" s="11"/>
      <c r="AI371" s="11"/>
      <c r="AJ371" s="11"/>
      <c r="AK371" s="11"/>
      <c r="AL371" s="11"/>
      <c r="AM371" s="11"/>
      <c r="AN371" s="11" t="n">
        <f aca="false">SUM(AH371:AM371)</f>
        <v>0</v>
      </c>
      <c r="AO371" s="1"/>
      <c r="AP371" s="1"/>
      <c r="AQ371" s="1"/>
      <c r="AR371" s="1"/>
    </row>
    <row r="372" customFormat="false" ht="13.8" hidden="false" customHeight="false" outlineLevel="0" collapsed="false">
      <c r="A372" s="1" t="s">
        <v>493</v>
      </c>
      <c r="B372" s="1" t="n">
        <v>646</v>
      </c>
      <c r="C372" s="1" t="s">
        <v>475</v>
      </c>
      <c r="D372" s="1" t="s">
        <v>42</v>
      </c>
      <c r="E372" s="1" t="s">
        <v>476</v>
      </c>
      <c r="F372" s="1" t="n">
        <v>1</v>
      </c>
      <c r="G372" s="1" t="n">
        <v>1</v>
      </c>
      <c r="H372" s="1" t="n">
        <v>3</v>
      </c>
      <c r="I372" s="8" t="n">
        <v>21683</v>
      </c>
      <c r="J372" s="1" t="n">
        <v>2</v>
      </c>
      <c r="K372" s="1" t="s">
        <v>84</v>
      </c>
      <c r="L372" s="1" t="n">
        <v>1</v>
      </c>
      <c r="P372" s="1" t="n">
        <f aca="false">SUM(M372:O372)</f>
        <v>0</v>
      </c>
      <c r="W372" s="1" t="n">
        <f aca="false">SUM(Q372:V372)</f>
        <v>0</v>
      </c>
      <c r="X372" s="1" t="n">
        <v>3</v>
      </c>
      <c r="Y372" s="1" t="n">
        <v>2</v>
      </c>
      <c r="AD372" s="9"/>
      <c r="AF372" s="9" t="n">
        <f aca="false">SUM(Z372:AE372)</f>
        <v>0</v>
      </c>
      <c r="AG372" s="10"/>
      <c r="AH372" s="11"/>
      <c r="AI372" s="11"/>
      <c r="AJ372" s="11"/>
      <c r="AK372" s="11"/>
      <c r="AL372" s="11"/>
      <c r="AM372" s="11"/>
      <c r="AN372" s="11" t="n">
        <f aca="false">SUM(AH372:AM372)</f>
        <v>0</v>
      </c>
      <c r="AO372" s="1"/>
      <c r="AP372" s="1"/>
      <c r="AQ372" s="1"/>
      <c r="AR372" s="1"/>
    </row>
    <row r="373" customFormat="false" ht="13.8" hidden="false" customHeight="false" outlineLevel="0" collapsed="false">
      <c r="A373" s="1" t="s">
        <v>494</v>
      </c>
      <c r="B373" s="1" t="n">
        <v>530</v>
      </c>
      <c r="C373" s="1" t="s">
        <v>475</v>
      </c>
      <c r="D373" s="1" t="s">
        <v>42</v>
      </c>
      <c r="E373" s="1" t="s">
        <v>476</v>
      </c>
      <c r="F373" s="1" t="n">
        <v>10</v>
      </c>
      <c r="G373" s="1" t="n">
        <v>1</v>
      </c>
      <c r="H373" s="1" t="n">
        <v>7</v>
      </c>
      <c r="I373" s="8" t="n">
        <v>3314041</v>
      </c>
      <c r="J373" s="1" t="n">
        <v>2</v>
      </c>
      <c r="K373" s="1" t="s">
        <v>57</v>
      </c>
      <c r="L373" s="1" t="n">
        <v>8</v>
      </c>
      <c r="M373" s="1" t="n">
        <v>1</v>
      </c>
      <c r="O373" s="1" t="n">
        <v>2</v>
      </c>
      <c r="P373" s="1" t="n">
        <f aca="false">SUM(M373:O373)</f>
        <v>3</v>
      </c>
      <c r="W373" s="1" t="n">
        <f aca="false">SUM(Q373:V373)</f>
        <v>0</v>
      </c>
      <c r="X373" s="1" t="n">
        <v>3</v>
      </c>
      <c r="AF373" s="9" t="n">
        <f aca="false">SUM(Z373:AE373)</f>
        <v>0</v>
      </c>
      <c r="AG373" s="10"/>
      <c r="AH373" s="11"/>
      <c r="AI373" s="11"/>
      <c r="AJ373" s="11"/>
      <c r="AK373" s="11"/>
      <c r="AL373" s="11"/>
      <c r="AM373" s="11"/>
      <c r="AN373" s="11" t="n">
        <f aca="false">SUM(AH373:AM373)</f>
        <v>0</v>
      </c>
      <c r="AO373" s="1"/>
      <c r="AP373" s="1"/>
      <c r="AQ373" s="1"/>
      <c r="AR373" s="1"/>
    </row>
    <row r="374" customFormat="false" ht="13.8" hidden="false" customHeight="false" outlineLevel="0" collapsed="false">
      <c r="A374" s="1" t="s">
        <v>495</v>
      </c>
      <c r="B374" s="1" t="n">
        <v>525</v>
      </c>
      <c r="C374" s="1" t="s">
        <v>475</v>
      </c>
      <c r="D374" s="1" t="s">
        <v>73</v>
      </c>
      <c r="E374" s="1" t="s">
        <v>476</v>
      </c>
      <c r="F374" s="1" t="n">
        <v>4</v>
      </c>
      <c r="G374" s="1" t="n">
        <v>1</v>
      </c>
      <c r="H374" s="1" t="n">
        <v>30</v>
      </c>
      <c r="I374" s="8" t="n">
        <v>14301542</v>
      </c>
      <c r="J374" s="1" t="n">
        <v>2</v>
      </c>
      <c r="K374" s="1" t="s">
        <v>46</v>
      </c>
      <c r="L374" s="1" t="n">
        <v>4</v>
      </c>
      <c r="M374" s="1" t="n">
        <v>1</v>
      </c>
      <c r="N374" s="1" t="n">
        <v>1</v>
      </c>
      <c r="P374" s="1" t="n">
        <f aca="false">SUM(M374:O374)</f>
        <v>2</v>
      </c>
      <c r="W374" s="1" t="n">
        <f aca="false">SUM(Q374:V374)</f>
        <v>0</v>
      </c>
      <c r="Y374" s="1" t="n">
        <v>3</v>
      </c>
      <c r="AF374" s="9" t="n">
        <f aca="false">SUM(Z374:AE374)</f>
        <v>0</v>
      </c>
      <c r="AG374" s="10"/>
      <c r="AH374" s="11"/>
      <c r="AI374" s="11"/>
      <c r="AJ374" s="11"/>
      <c r="AK374" s="11"/>
      <c r="AL374" s="11"/>
      <c r="AM374" s="11"/>
      <c r="AN374" s="11" t="n">
        <f aca="false">SUM(AH374:AM374)</f>
        <v>0</v>
      </c>
      <c r="AO374" s="1"/>
      <c r="AP374" s="1"/>
      <c r="AQ374" s="1"/>
      <c r="AR374" s="1"/>
    </row>
    <row r="375" customFormat="false" ht="13.8" hidden="false" customHeight="false" outlineLevel="0" collapsed="false">
      <c r="A375" s="1" t="s">
        <v>496</v>
      </c>
      <c r="B375" s="1" t="n">
        <v>537</v>
      </c>
      <c r="C375" s="1" t="s">
        <v>475</v>
      </c>
      <c r="D375" s="1" t="s">
        <v>42</v>
      </c>
      <c r="E375" s="1" t="s">
        <v>476</v>
      </c>
      <c r="F375" s="1" t="n">
        <v>1</v>
      </c>
      <c r="G375" s="1" t="n">
        <v>1</v>
      </c>
      <c r="H375" s="1" t="n">
        <v>3</v>
      </c>
      <c r="I375" s="8" t="n">
        <v>295556</v>
      </c>
      <c r="J375" s="1" t="n">
        <v>2</v>
      </c>
      <c r="K375" s="1" t="s">
        <v>44</v>
      </c>
      <c r="L375" s="1" t="n">
        <v>2</v>
      </c>
      <c r="P375" s="1" t="n">
        <f aca="false">SUM(M375:O375)</f>
        <v>0</v>
      </c>
      <c r="Q375" s="1" t="n">
        <v>3</v>
      </c>
      <c r="W375" s="1" t="n">
        <f aca="false">SUM(Q375:V375)</f>
        <v>3</v>
      </c>
      <c r="Y375" s="1" t="n">
        <v>1</v>
      </c>
      <c r="Z375" s="9" t="n">
        <f aca="false">(Q375)*(1+(J375)*0.2)</f>
        <v>4.2</v>
      </c>
      <c r="AF375" s="9" t="n">
        <f aca="false">SUM(Z375:AE375)</f>
        <v>4.2</v>
      </c>
      <c r="AG375" s="10" t="s">
        <v>47</v>
      </c>
      <c r="AH375" s="11" t="n">
        <f aca="false">IF(AG375="yes",Z375*1.2,Z375)</f>
        <v>5.04</v>
      </c>
      <c r="AI375" s="11"/>
      <c r="AJ375" s="11"/>
      <c r="AK375" s="11"/>
      <c r="AL375" s="11"/>
      <c r="AM375" s="11"/>
      <c r="AN375" s="11" t="n">
        <f aca="false">SUM(AH375:AM375)</f>
        <v>5.04</v>
      </c>
      <c r="AO375" s="1"/>
      <c r="AP375" s="1"/>
      <c r="AQ375" s="1"/>
      <c r="AR375" s="1"/>
    </row>
    <row r="376" customFormat="false" ht="13.8" hidden="false" customHeight="false" outlineLevel="0" collapsed="false">
      <c r="A376" s="1" t="s">
        <v>497</v>
      </c>
      <c r="B376" s="1" t="n">
        <v>524</v>
      </c>
      <c r="C376" s="1" t="s">
        <v>475</v>
      </c>
      <c r="D376" s="1" t="s">
        <v>73</v>
      </c>
      <c r="E376" s="1" t="s">
        <v>476</v>
      </c>
      <c r="F376" s="1" t="n">
        <v>6</v>
      </c>
      <c r="G376" s="1" t="n">
        <v>1</v>
      </c>
      <c r="H376" s="1" t="n">
        <v>10</v>
      </c>
      <c r="I376" s="8" t="n">
        <v>4598143</v>
      </c>
      <c r="J376" s="1" t="n">
        <v>3</v>
      </c>
      <c r="K376" s="1" t="s">
        <v>120</v>
      </c>
      <c r="L376" s="1" t="n">
        <v>5</v>
      </c>
      <c r="M376" s="1" t="n">
        <v>1</v>
      </c>
      <c r="P376" s="1" t="n">
        <f aca="false">SUM(M376:O376)</f>
        <v>1</v>
      </c>
      <c r="W376" s="1" t="n">
        <f aca="false">SUM(Q376:V376)</f>
        <v>0</v>
      </c>
      <c r="X376" s="1" t="n">
        <v>6</v>
      </c>
      <c r="Y376" s="1" t="n">
        <v>10</v>
      </c>
      <c r="AF376" s="9" t="n">
        <f aca="false">SUM(Z376:AE376)</f>
        <v>0</v>
      </c>
      <c r="AG376" s="10"/>
      <c r="AH376" s="11"/>
      <c r="AI376" s="11"/>
      <c r="AJ376" s="11"/>
      <c r="AK376" s="11"/>
      <c r="AL376" s="11"/>
      <c r="AM376" s="11"/>
      <c r="AN376" s="11" t="n">
        <f aca="false">SUM(AH376:AM376)</f>
        <v>0</v>
      </c>
      <c r="AO376" s="1"/>
      <c r="AP376" s="1"/>
      <c r="AQ376" s="1"/>
      <c r="AR376" s="1"/>
    </row>
    <row r="377" customFormat="false" ht="13.8" hidden="false" customHeight="false" outlineLevel="0" collapsed="false">
      <c r="A377" s="1" t="s">
        <v>498</v>
      </c>
      <c r="B377" s="1" t="n">
        <v>533</v>
      </c>
      <c r="C377" s="1" t="s">
        <v>475</v>
      </c>
      <c r="D377" s="1" t="s">
        <v>42</v>
      </c>
      <c r="E377" s="1" t="s">
        <v>476</v>
      </c>
      <c r="F377" s="1" t="n">
        <v>20</v>
      </c>
      <c r="G377" s="1" t="n">
        <v>1</v>
      </c>
      <c r="H377" s="1" t="n">
        <v>17</v>
      </c>
      <c r="I377" s="8" t="n">
        <v>6583026</v>
      </c>
      <c r="J377" s="1" t="n">
        <v>2</v>
      </c>
      <c r="K377" s="1" t="s">
        <v>57</v>
      </c>
      <c r="L377" s="1" t="n">
        <v>8</v>
      </c>
      <c r="M377" s="1" t="n">
        <v>1</v>
      </c>
      <c r="O377" s="1" t="n">
        <v>2</v>
      </c>
      <c r="P377" s="1" t="n">
        <f aca="false">SUM(M377:O377)</f>
        <v>3</v>
      </c>
      <c r="U377" s="1" t="n">
        <v>27</v>
      </c>
      <c r="W377" s="1" t="n">
        <f aca="false">SUM(Q377:V377)</f>
        <v>27</v>
      </c>
      <c r="X377" s="1" t="n">
        <v>6</v>
      </c>
      <c r="Y377" s="1" t="n">
        <v>6</v>
      </c>
      <c r="AD377" s="9" t="n">
        <f aca="false">(U377)*(1+(J377)*0.2)</f>
        <v>37.8</v>
      </c>
      <c r="AF377" s="9" t="n">
        <f aca="false">SUM(Z377:AE377)</f>
        <v>37.8</v>
      </c>
      <c r="AG377" s="10" t="s">
        <v>47</v>
      </c>
      <c r="AH377" s="11"/>
      <c r="AI377" s="11"/>
      <c r="AJ377" s="11"/>
      <c r="AK377" s="11"/>
      <c r="AL377" s="11" t="n">
        <f aca="false">IF(AG377="yes",AD377*1.2,AD377)</f>
        <v>45.36</v>
      </c>
      <c r="AM377" s="11"/>
      <c r="AN377" s="11" t="n">
        <f aca="false">SUM(AH377:AM377)</f>
        <v>45.36</v>
      </c>
      <c r="AO377" s="1"/>
      <c r="AP377" s="1"/>
      <c r="AQ377" s="1"/>
      <c r="AR377" s="1"/>
    </row>
    <row r="378" customFormat="false" ht="13.8" hidden="false" customHeight="false" outlineLevel="0" collapsed="false">
      <c r="A378" s="1" t="s">
        <v>499</v>
      </c>
      <c r="B378" s="1" t="n">
        <v>532</v>
      </c>
      <c r="C378" s="1" t="s">
        <v>475</v>
      </c>
      <c r="D378" s="1" t="s">
        <v>42</v>
      </c>
      <c r="E378" s="1" t="s">
        <v>476</v>
      </c>
      <c r="F378" s="1" t="n">
        <v>28</v>
      </c>
      <c r="G378" s="1" t="n">
        <v>1</v>
      </c>
      <c r="H378" s="1" t="n">
        <v>9</v>
      </c>
      <c r="I378" s="8" t="n">
        <v>6181537</v>
      </c>
      <c r="J378" s="1" t="n">
        <v>4</v>
      </c>
      <c r="K378" s="1" t="s">
        <v>57</v>
      </c>
      <c r="L378" s="1" t="n">
        <v>8</v>
      </c>
      <c r="M378" s="1" t="n">
        <v>1</v>
      </c>
      <c r="N378" s="1" t="n">
        <v>1</v>
      </c>
      <c r="O378" s="1" t="n">
        <v>2</v>
      </c>
      <c r="P378" s="1" t="n">
        <f aca="false">SUM(M378:O378)</f>
        <v>4</v>
      </c>
      <c r="W378" s="1" t="n">
        <f aca="false">SUM(Q378:V378)</f>
        <v>0</v>
      </c>
      <c r="AF378" s="9" t="n">
        <f aca="false">SUM(Z378:AE378)</f>
        <v>0</v>
      </c>
      <c r="AG378" s="10"/>
      <c r="AH378" s="11"/>
      <c r="AI378" s="11"/>
      <c r="AJ378" s="11"/>
      <c r="AK378" s="11"/>
      <c r="AL378" s="11"/>
      <c r="AM378" s="11"/>
      <c r="AN378" s="11" t="n">
        <f aca="false">SUM(AH378:AM378)</f>
        <v>0</v>
      </c>
      <c r="AO378" s="1"/>
      <c r="AP378" s="1"/>
      <c r="AQ378" s="1"/>
      <c r="AR378" s="1"/>
    </row>
    <row r="379" customFormat="false" ht="13.8" hidden="false" customHeight="false" outlineLevel="0" collapsed="false">
      <c r="A379" s="1" t="s">
        <v>500</v>
      </c>
      <c r="B379" s="1" t="n">
        <v>187</v>
      </c>
      <c r="C379" s="1" t="s">
        <v>501</v>
      </c>
      <c r="D379" s="1" t="s">
        <v>42</v>
      </c>
      <c r="E379" s="1" t="s">
        <v>502</v>
      </c>
      <c r="F379" s="1" t="n">
        <v>2</v>
      </c>
      <c r="G379" s="1" t="n">
        <v>1</v>
      </c>
      <c r="H379" s="1" t="n">
        <v>3</v>
      </c>
      <c r="I379" s="8" t="n">
        <v>322994</v>
      </c>
      <c r="J379" s="1" t="n">
        <v>1</v>
      </c>
      <c r="K379" s="1" t="s">
        <v>84</v>
      </c>
      <c r="L379" s="1" t="n">
        <v>1</v>
      </c>
      <c r="N379" s="1" t="n">
        <v>1</v>
      </c>
      <c r="P379" s="1" t="n">
        <f aca="false">SUM(M379:O379)</f>
        <v>1</v>
      </c>
      <c r="V379" s="1" t="n">
        <v>7</v>
      </c>
      <c r="W379" s="1" t="n">
        <f aca="false">SUM(Q379:V379)</f>
        <v>7</v>
      </c>
      <c r="Y379" s="1" t="n">
        <v>2</v>
      </c>
      <c r="Z379" s="12"/>
      <c r="AA379" s="9"/>
      <c r="AE379" s="9" t="n">
        <f aca="false">(V379)*(1+(J379)*0.2)</f>
        <v>8.4</v>
      </c>
      <c r="AF379" s="9" t="n">
        <f aca="false">SUM(Z379:AE379)</f>
        <v>8.4</v>
      </c>
      <c r="AG379" s="10" t="s">
        <v>47</v>
      </c>
      <c r="AH379" s="11"/>
      <c r="AI379" s="11"/>
      <c r="AJ379" s="11"/>
      <c r="AK379" s="11"/>
      <c r="AL379" s="11"/>
      <c r="AM379" s="11" t="n">
        <f aca="false">IF(AG379="yes",AE379*1.2,AE379)</f>
        <v>10.08</v>
      </c>
      <c r="AN379" s="11" t="n">
        <f aca="false">SUM(AH379:AM379)</f>
        <v>10.08</v>
      </c>
      <c r="AO379" s="1"/>
      <c r="AP379" s="1"/>
      <c r="AQ379" s="1"/>
      <c r="AR379" s="1"/>
    </row>
    <row r="380" customFormat="false" ht="13.8" hidden="false" customHeight="false" outlineLevel="0" collapsed="false">
      <c r="A380" s="1" t="s">
        <v>503</v>
      </c>
      <c r="B380" s="1" t="n">
        <v>47</v>
      </c>
      <c r="C380" s="1" t="s">
        <v>501</v>
      </c>
      <c r="D380" s="1" t="s">
        <v>42</v>
      </c>
      <c r="E380" s="1" t="s">
        <v>502</v>
      </c>
      <c r="F380" s="1" t="n">
        <v>27</v>
      </c>
      <c r="G380" s="1" t="n">
        <v>1</v>
      </c>
      <c r="H380" s="1" t="n">
        <v>9</v>
      </c>
      <c r="I380" s="8" t="n">
        <v>2315323</v>
      </c>
      <c r="J380" s="1" t="n">
        <v>2</v>
      </c>
      <c r="K380" s="1" t="s">
        <v>96</v>
      </c>
      <c r="L380" s="1" t="n">
        <v>6</v>
      </c>
      <c r="N380" s="1" t="n">
        <v>1</v>
      </c>
      <c r="O380" s="1" t="n">
        <v>3</v>
      </c>
      <c r="P380" s="1" t="n">
        <f aca="false">SUM(M380:O380)</f>
        <v>4</v>
      </c>
      <c r="R380" s="1" t="n">
        <v>30</v>
      </c>
      <c r="T380" s="1" t="n">
        <v>10</v>
      </c>
      <c r="U380" s="1" t="n">
        <v>3</v>
      </c>
      <c r="V380" s="1" t="n">
        <v>12</v>
      </c>
      <c r="W380" s="1" t="n">
        <f aca="false">SUM(Q380:V380)</f>
        <v>55</v>
      </c>
      <c r="X380" s="1" t="n">
        <v>4</v>
      </c>
      <c r="Y380" s="1" t="n">
        <v>9</v>
      </c>
      <c r="Z380" s="12"/>
      <c r="AA380" s="9" t="n">
        <f aca="false">(R380)*(1+(J380)*0.2)</f>
        <v>42</v>
      </c>
      <c r="AC380" s="9" t="n">
        <f aca="false">(T380)*(1+(J380)*0.2)</f>
        <v>14</v>
      </c>
      <c r="AD380" s="9" t="n">
        <f aca="false">(U380)*(1+(J380)*0.2)</f>
        <v>4.2</v>
      </c>
      <c r="AE380" s="9" t="n">
        <f aca="false">(V380)*(1+(J380)*0.2)</f>
        <v>16.8</v>
      </c>
      <c r="AF380" s="9" t="n">
        <f aca="false">SUM(Z380:AE380)</f>
        <v>77</v>
      </c>
      <c r="AG380" s="10" t="s">
        <v>47</v>
      </c>
      <c r="AH380" s="11"/>
      <c r="AI380" s="11" t="n">
        <f aca="false">IF(AG380="yes",AA380*1.2,AA380)</f>
        <v>50.4</v>
      </c>
      <c r="AJ380" s="11"/>
      <c r="AK380" s="11" t="n">
        <f aca="false">IF(AG380="yes",AC380*1.2,AC380)</f>
        <v>16.8</v>
      </c>
      <c r="AL380" s="11" t="n">
        <f aca="false">IF(AG380="yes",AD380*1.2,AD380)</f>
        <v>5.04</v>
      </c>
      <c r="AM380" s="11" t="n">
        <f aca="false">IF(AG380="yes",AE380*1.2,AE380)</f>
        <v>20.16</v>
      </c>
      <c r="AN380" s="11" t="n">
        <f aca="false">SUM(AH380:AM380)</f>
        <v>92.4</v>
      </c>
      <c r="AO380" s="1"/>
      <c r="AP380" s="1"/>
      <c r="AQ380" s="1"/>
      <c r="AR380" s="1"/>
    </row>
    <row r="381" customFormat="false" ht="13.8" hidden="false" customHeight="false" outlineLevel="0" collapsed="false">
      <c r="A381" s="1" t="s">
        <v>504</v>
      </c>
      <c r="B381" s="1" t="n">
        <v>731</v>
      </c>
      <c r="C381" s="1" t="s">
        <v>501</v>
      </c>
      <c r="D381" s="1" t="s">
        <v>42</v>
      </c>
      <c r="E381" s="1" t="s">
        <v>502</v>
      </c>
      <c r="F381" s="1" t="n">
        <v>5</v>
      </c>
      <c r="G381" s="1" t="n">
        <v>1</v>
      </c>
      <c r="H381" s="1" t="n">
        <v>9</v>
      </c>
      <c r="I381" s="8" t="n">
        <v>1157111</v>
      </c>
      <c r="J381" s="1" t="n">
        <v>2</v>
      </c>
      <c r="K381" s="1" t="s">
        <v>46</v>
      </c>
      <c r="L381" s="1" t="n">
        <v>4</v>
      </c>
      <c r="O381" s="1" t="n">
        <v>3</v>
      </c>
      <c r="P381" s="1" t="n">
        <f aca="false">SUM(M381:O381)</f>
        <v>3</v>
      </c>
      <c r="W381" s="1" t="n">
        <f aca="false">SUM(Q381:V381)</f>
        <v>0</v>
      </c>
      <c r="X381" s="1" t="n">
        <v>2</v>
      </c>
      <c r="Y381" s="1" t="n">
        <v>3</v>
      </c>
      <c r="Z381" s="12"/>
      <c r="AA381" s="9"/>
      <c r="AF381" s="9" t="n">
        <f aca="false">SUM(Z381:AE381)</f>
        <v>0</v>
      </c>
      <c r="AG381" s="10"/>
      <c r="AH381" s="11"/>
      <c r="AI381" s="11"/>
      <c r="AJ381" s="11"/>
      <c r="AK381" s="11"/>
      <c r="AL381" s="11"/>
      <c r="AM381" s="11"/>
      <c r="AN381" s="11" t="n">
        <f aca="false">SUM(AH381:AM381)</f>
        <v>0</v>
      </c>
      <c r="AO381" s="1"/>
      <c r="AP381" s="1"/>
      <c r="AQ381" s="1"/>
      <c r="AR381" s="1"/>
    </row>
    <row r="382" customFormat="false" ht="13.8" hidden="false" customHeight="false" outlineLevel="0" collapsed="false">
      <c r="A382" s="1" t="s">
        <v>505</v>
      </c>
      <c r="B382" s="1" t="n">
        <v>182</v>
      </c>
      <c r="C382" s="1" t="s">
        <v>501</v>
      </c>
      <c r="D382" s="1" t="s">
        <v>42</v>
      </c>
      <c r="E382" s="1" t="s">
        <v>502</v>
      </c>
      <c r="F382" s="1" t="n">
        <v>8</v>
      </c>
      <c r="G382" s="1" t="n">
        <v>1</v>
      </c>
      <c r="H382" s="1" t="n">
        <v>4</v>
      </c>
      <c r="I382" s="8" t="n">
        <v>388374</v>
      </c>
      <c r="J382" s="1" t="n">
        <v>2</v>
      </c>
      <c r="K382" s="1" t="s">
        <v>46</v>
      </c>
      <c r="L382" s="1" t="n">
        <v>4</v>
      </c>
      <c r="P382" s="1" t="n">
        <f aca="false">SUM(M382:O382)</f>
        <v>0</v>
      </c>
      <c r="W382" s="1" t="n">
        <f aca="false">SUM(Q382:V382)</f>
        <v>0</v>
      </c>
      <c r="X382" s="1" t="n">
        <v>2</v>
      </c>
      <c r="Y382" s="1" t="n">
        <v>4</v>
      </c>
      <c r="Z382" s="12"/>
      <c r="AA382" s="9"/>
      <c r="AD382" s="9"/>
      <c r="AF382" s="9" t="n">
        <f aca="false">SUM(Z382:AE382)</f>
        <v>0</v>
      </c>
      <c r="AG382" s="10"/>
      <c r="AH382" s="11"/>
      <c r="AI382" s="11"/>
      <c r="AJ382" s="11"/>
      <c r="AK382" s="11"/>
      <c r="AL382" s="11"/>
      <c r="AM382" s="11"/>
      <c r="AN382" s="11" t="n">
        <f aca="false">SUM(AH382:AM382)</f>
        <v>0</v>
      </c>
      <c r="AO382" s="1"/>
      <c r="AP382" s="1"/>
      <c r="AQ382" s="1"/>
      <c r="AR382" s="1"/>
    </row>
    <row r="383" customFormat="false" ht="13.8" hidden="false" customHeight="false" outlineLevel="0" collapsed="false">
      <c r="A383" s="1" t="s">
        <v>506</v>
      </c>
      <c r="B383" s="1" t="n">
        <v>185</v>
      </c>
      <c r="C383" s="1" t="s">
        <v>501</v>
      </c>
      <c r="D383" s="1" t="s">
        <v>42</v>
      </c>
      <c r="E383" s="1" t="s">
        <v>502</v>
      </c>
      <c r="F383" s="1" t="n">
        <v>5</v>
      </c>
      <c r="G383" s="1" t="n">
        <v>1</v>
      </c>
      <c r="H383" s="1" t="n">
        <v>12</v>
      </c>
      <c r="I383" s="8" t="n">
        <v>761829</v>
      </c>
      <c r="J383" s="1" t="n">
        <v>2</v>
      </c>
      <c r="K383" s="1" t="s">
        <v>44</v>
      </c>
      <c r="L383" s="1" t="n">
        <v>2</v>
      </c>
      <c r="O383" s="1" t="n">
        <v>1</v>
      </c>
      <c r="P383" s="1" t="n">
        <f aca="false">SUM(M383:O383)</f>
        <v>1</v>
      </c>
      <c r="U383" s="1" t="n">
        <v>14</v>
      </c>
      <c r="V383" s="1" t="n">
        <v>14</v>
      </c>
      <c r="W383" s="1" t="n">
        <f aca="false">SUM(Q383:V383)</f>
        <v>28</v>
      </c>
      <c r="X383" s="1" t="n">
        <v>3</v>
      </c>
      <c r="Y383" s="1" t="n">
        <v>1</v>
      </c>
      <c r="Z383" s="12"/>
      <c r="AA383" s="9"/>
      <c r="AD383" s="9" t="n">
        <f aca="false">(U383)*(1+(J383)*0.2)</f>
        <v>19.6</v>
      </c>
      <c r="AE383" s="9" t="n">
        <f aca="false">(V383)*(1+(J383)*0.2)</f>
        <v>19.6</v>
      </c>
      <c r="AF383" s="9" t="n">
        <f aca="false">SUM(Z383:AE383)</f>
        <v>39.2</v>
      </c>
      <c r="AG383" s="10" t="s">
        <v>47</v>
      </c>
      <c r="AH383" s="11"/>
      <c r="AI383" s="11"/>
      <c r="AJ383" s="11"/>
      <c r="AK383" s="11"/>
      <c r="AL383" s="11" t="n">
        <f aca="false">IF(AG383="yes",AD383*1.2,AD383)</f>
        <v>23.52</v>
      </c>
      <c r="AM383" s="11" t="n">
        <f aca="false">IF(AG383="yes",AE383*1.2,AE383)</f>
        <v>23.52</v>
      </c>
      <c r="AN383" s="11" t="n">
        <f aca="false">SUM(AH383:AM383)</f>
        <v>47.04</v>
      </c>
      <c r="AO383" s="1"/>
      <c r="AP383" s="1"/>
      <c r="AQ383" s="1"/>
      <c r="AR383" s="1"/>
    </row>
    <row r="384" customFormat="false" ht="13.8" hidden="false" customHeight="false" outlineLevel="0" collapsed="false">
      <c r="A384" s="1" t="s">
        <v>507</v>
      </c>
      <c r="B384" s="1" t="n">
        <v>186</v>
      </c>
      <c r="C384" s="1" t="s">
        <v>501</v>
      </c>
      <c r="D384" s="1" t="s">
        <v>42</v>
      </c>
      <c r="E384" s="1" t="s">
        <v>502</v>
      </c>
      <c r="F384" s="1" t="n">
        <v>7</v>
      </c>
      <c r="G384" s="1" t="n">
        <v>1</v>
      </c>
      <c r="H384" s="1" t="n">
        <v>7</v>
      </c>
      <c r="I384" s="8" t="n">
        <v>946154</v>
      </c>
      <c r="J384" s="1" t="n">
        <v>2</v>
      </c>
      <c r="K384" s="1" t="s">
        <v>46</v>
      </c>
      <c r="L384" s="1" t="n">
        <v>4</v>
      </c>
      <c r="M384" s="1" t="n">
        <v>1</v>
      </c>
      <c r="P384" s="1" t="n">
        <f aca="false">SUM(M384:O384)</f>
        <v>1</v>
      </c>
      <c r="W384" s="1" t="n">
        <f aca="false">SUM(Q384:V384)</f>
        <v>0</v>
      </c>
      <c r="Y384" s="1" t="n">
        <v>3</v>
      </c>
      <c r="AA384" s="9"/>
      <c r="AC384" s="9"/>
      <c r="AD384" s="9"/>
      <c r="AF384" s="9" t="n">
        <f aca="false">SUM(Z384:AE384)</f>
        <v>0</v>
      </c>
      <c r="AG384" s="10"/>
      <c r="AH384" s="11"/>
      <c r="AI384" s="11"/>
      <c r="AJ384" s="11"/>
      <c r="AK384" s="11"/>
      <c r="AL384" s="11"/>
      <c r="AM384" s="11"/>
      <c r="AN384" s="11" t="n">
        <f aca="false">SUM(AH384:AM384)</f>
        <v>0</v>
      </c>
      <c r="AO384" s="1"/>
      <c r="AP384" s="1"/>
      <c r="AQ384" s="1"/>
      <c r="AR384" s="1"/>
    </row>
    <row r="385" customFormat="false" ht="13.8" hidden="false" customHeight="false" outlineLevel="0" collapsed="false">
      <c r="A385" s="1" t="s">
        <v>508</v>
      </c>
      <c r="B385" s="1" t="n">
        <v>184</v>
      </c>
      <c r="C385" s="1" t="s">
        <v>501</v>
      </c>
      <c r="D385" s="1" t="s">
        <v>42</v>
      </c>
      <c r="E385" s="1" t="s">
        <v>502</v>
      </c>
      <c r="F385" s="1" t="n">
        <v>1</v>
      </c>
      <c r="G385" s="1" t="n">
        <v>1</v>
      </c>
      <c r="H385" s="1" t="n">
        <v>4</v>
      </c>
      <c r="I385" s="8" t="n">
        <v>382967</v>
      </c>
      <c r="J385" s="1" t="n">
        <v>1</v>
      </c>
      <c r="K385" s="1" t="s">
        <v>44</v>
      </c>
      <c r="L385" s="1" t="n">
        <v>2</v>
      </c>
      <c r="M385" s="1" t="n">
        <v>1</v>
      </c>
      <c r="P385" s="1" t="n">
        <f aca="false">SUM(M385:O385)</f>
        <v>1</v>
      </c>
      <c r="V385" s="1" t="n">
        <v>11</v>
      </c>
      <c r="W385" s="1" t="n">
        <f aca="false">SUM(Q385:V385)</f>
        <v>11</v>
      </c>
      <c r="AC385" s="9"/>
      <c r="AE385" s="9" t="n">
        <f aca="false">(V385)*(1+(J385)*0.2)</f>
        <v>13.2</v>
      </c>
      <c r="AF385" s="9" t="n">
        <f aca="false">SUM(Z385:AE385)</f>
        <v>13.2</v>
      </c>
      <c r="AG385" s="10" t="s">
        <v>53</v>
      </c>
      <c r="AH385" s="11"/>
      <c r="AI385" s="11"/>
      <c r="AJ385" s="11"/>
      <c r="AK385" s="11"/>
      <c r="AL385" s="11"/>
      <c r="AM385" s="11" t="n">
        <f aca="false">IF(AG385="yes",AE385*1.2,AE385)</f>
        <v>13.2</v>
      </c>
      <c r="AN385" s="11" t="n">
        <f aca="false">SUM(AH385:AM385)</f>
        <v>13.2</v>
      </c>
      <c r="AO385" s="1"/>
      <c r="AP385" s="1"/>
      <c r="AQ385" s="1"/>
      <c r="AR385" s="1"/>
    </row>
    <row r="386" customFormat="false" ht="13.8" hidden="false" customHeight="false" outlineLevel="0" collapsed="false">
      <c r="A386" s="1" t="s">
        <v>509</v>
      </c>
      <c r="B386" s="1" t="n">
        <v>154</v>
      </c>
      <c r="C386" s="1" t="s">
        <v>510</v>
      </c>
      <c r="D386" s="1" t="s">
        <v>42</v>
      </c>
      <c r="E386" s="1" t="s">
        <v>511</v>
      </c>
      <c r="F386" s="1" t="n">
        <v>1</v>
      </c>
      <c r="G386" s="1" t="n">
        <v>1</v>
      </c>
      <c r="H386" s="1" t="n">
        <v>13</v>
      </c>
      <c r="I386" s="8" t="n">
        <v>2738722</v>
      </c>
      <c r="J386" s="1" t="n">
        <v>3</v>
      </c>
      <c r="K386" s="1" t="s">
        <v>96</v>
      </c>
      <c r="L386" s="1" t="n">
        <v>6</v>
      </c>
      <c r="M386" s="1" t="n">
        <v>1</v>
      </c>
      <c r="O386" s="1" t="n">
        <v>3</v>
      </c>
      <c r="P386" s="1" t="n">
        <f aca="false">SUM(M386:O386)</f>
        <v>4</v>
      </c>
      <c r="W386" s="1" t="n">
        <f aca="false">SUM(Q386:V386)</f>
        <v>0</v>
      </c>
      <c r="X386" s="1" t="n">
        <v>2</v>
      </c>
      <c r="AF386" s="9" t="n">
        <f aca="false">SUM(Z386:AE386)</f>
        <v>0</v>
      </c>
      <c r="AG386" s="10"/>
      <c r="AH386" s="11"/>
      <c r="AI386" s="11"/>
      <c r="AJ386" s="11"/>
      <c r="AK386" s="11"/>
      <c r="AL386" s="11"/>
      <c r="AM386" s="11"/>
      <c r="AN386" s="11" t="n">
        <f aca="false">SUM(AH386:AM386)</f>
        <v>0</v>
      </c>
      <c r="AO386" s="1"/>
      <c r="AP386" s="1"/>
      <c r="AQ386" s="1"/>
      <c r="AR386" s="1"/>
    </row>
    <row r="387" customFormat="false" ht="13.8" hidden="false" customHeight="false" outlineLevel="0" collapsed="false">
      <c r="A387" s="1" t="s">
        <v>512</v>
      </c>
      <c r="B387" s="1" t="n">
        <v>43</v>
      </c>
      <c r="C387" s="1" t="s">
        <v>510</v>
      </c>
      <c r="D387" s="1" t="s">
        <v>42</v>
      </c>
      <c r="E387" s="1" t="s">
        <v>511</v>
      </c>
      <c r="F387" s="1" t="n">
        <v>20</v>
      </c>
      <c r="G387" s="1" t="n">
        <v>1</v>
      </c>
      <c r="H387" s="1" t="n">
        <v>9</v>
      </c>
      <c r="I387" s="8" t="n">
        <v>3755331</v>
      </c>
      <c r="J387" s="1" t="n">
        <v>3</v>
      </c>
      <c r="K387" s="1" t="s">
        <v>57</v>
      </c>
      <c r="L387" s="1" t="n">
        <v>8</v>
      </c>
      <c r="M387" s="1" t="n">
        <v>4</v>
      </c>
      <c r="O387" s="1" t="n">
        <v>4</v>
      </c>
      <c r="P387" s="1" t="n">
        <f aca="false">SUM(M387:O387)</f>
        <v>8</v>
      </c>
      <c r="R387" s="1" t="n">
        <v>40</v>
      </c>
      <c r="U387" s="1" t="n">
        <v>6</v>
      </c>
      <c r="W387" s="1" t="n">
        <f aca="false">SUM(Q387:V387)</f>
        <v>46</v>
      </c>
      <c r="X387" s="1" t="n">
        <v>4</v>
      </c>
      <c r="Z387" s="12"/>
      <c r="AA387" s="9" t="n">
        <f aca="false">(R387)*(1+(J387)*0.2)</f>
        <v>64</v>
      </c>
      <c r="AD387" s="9" t="n">
        <f aca="false">(U387)*(1+(J387)*0.2)</f>
        <v>9.6</v>
      </c>
      <c r="AF387" s="9" t="n">
        <f aca="false">SUM(Z387:AE387)</f>
        <v>73.6</v>
      </c>
      <c r="AG387" s="10" t="s">
        <v>47</v>
      </c>
      <c r="AH387" s="11"/>
      <c r="AI387" s="11" t="n">
        <f aca="false">IF(AG387="yes",AA387*1.2,AA387)</f>
        <v>76.8</v>
      </c>
      <c r="AJ387" s="11"/>
      <c r="AK387" s="11"/>
      <c r="AL387" s="11" t="n">
        <f aca="false">IF(AG387="yes",AD387*1.2,AD387)</f>
        <v>11.52</v>
      </c>
      <c r="AM387" s="11"/>
      <c r="AN387" s="11" t="n">
        <f aca="false">SUM(AH387:AM387)</f>
        <v>88.32</v>
      </c>
      <c r="AO387" s="1"/>
      <c r="AP387" s="1"/>
      <c r="AQ387" s="1"/>
      <c r="AR387" s="1"/>
    </row>
    <row r="388" customFormat="false" ht="13.8" hidden="false" customHeight="false" outlineLevel="0" collapsed="false">
      <c r="A388" s="1" t="s">
        <v>513</v>
      </c>
      <c r="B388" s="1" t="n">
        <v>155</v>
      </c>
      <c r="C388" s="1" t="s">
        <v>510</v>
      </c>
      <c r="D388" s="1" t="s">
        <v>42</v>
      </c>
      <c r="E388" s="1" t="s">
        <v>511</v>
      </c>
      <c r="F388" s="1" t="n">
        <v>5</v>
      </c>
      <c r="G388" s="1" t="n">
        <v>1</v>
      </c>
      <c r="H388" s="1" t="n">
        <v>16</v>
      </c>
      <c r="I388" s="8" t="n">
        <v>2200288</v>
      </c>
      <c r="J388" s="1" t="n">
        <v>3</v>
      </c>
      <c r="K388" s="1" t="s">
        <v>96</v>
      </c>
      <c r="L388" s="1" t="n">
        <v>6</v>
      </c>
      <c r="M388" s="1" t="n">
        <v>1</v>
      </c>
      <c r="O388" s="1" t="n">
        <v>3</v>
      </c>
      <c r="P388" s="1" t="n">
        <f aca="false">SUM(M388:O388)</f>
        <v>4</v>
      </c>
      <c r="Q388" s="1" t="n">
        <v>1</v>
      </c>
      <c r="R388" s="1" t="n">
        <v>60</v>
      </c>
      <c r="W388" s="1" t="n">
        <f aca="false">SUM(Q388:V388)</f>
        <v>61</v>
      </c>
      <c r="X388" s="1" t="n">
        <v>3</v>
      </c>
      <c r="Z388" s="9" t="n">
        <f aca="false">(Q388)*(1+(J388)*0.2)</f>
        <v>1.6</v>
      </c>
      <c r="AA388" s="9" t="n">
        <f aca="false">(R388)*(1+(J388)*0.2)</f>
        <v>96</v>
      </c>
      <c r="AF388" s="9" t="n">
        <f aca="false">SUM(Z388:AE388)</f>
        <v>97.6</v>
      </c>
      <c r="AG388" s="10" t="s">
        <v>53</v>
      </c>
      <c r="AH388" s="11" t="n">
        <f aca="false">IF(AG388="yes",Z388*1.2,Z388)</f>
        <v>1.6</v>
      </c>
      <c r="AI388" s="11" t="n">
        <f aca="false">IF(AG388="yes",AA388*1.2,AA388)</f>
        <v>96</v>
      </c>
      <c r="AJ388" s="11"/>
      <c r="AK388" s="11"/>
      <c r="AL388" s="11"/>
      <c r="AM388" s="11"/>
      <c r="AN388" s="11" t="n">
        <f aca="false">SUM(AH388:AM388)</f>
        <v>97.6</v>
      </c>
      <c r="AO388" s="1"/>
      <c r="AP388" s="1"/>
      <c r="AQ388" s="1"/>
      <c r="AR388" s="1"/>
    </row>
    <row r="389" customFormat="false" ht="13.8" hidden="false" customHeight="false" outlineLevel="0" collapsed="false">
      <c r="A389" s="1" t="s">
        <v>514</v>
      </c>
      <c r="B389" s="1" t="n">
        <v>190</v>
      </c>
      <c r="C389" s="1" t="s">
        <v>515</v>
      </c>
      <c r="D389" s="1" t="s">
        <v>42</v>
      </c>
      <c r="E389" s="1" t="s">
        <v>516</v>
      </c>
      <c r="F389" s="1" t="n">
        <v>4</v>
      </c>
      <c r="G389" s="1" t="n">
        <v>1</v>
      </c>
      <c r="H389" s="1" t="n">
        <v>6</v>
      </c>
      <c r="I389" s="8" t="n">
        <v>315885</v>
      </c>
      <c r="J389" s="1" t="n">
        <v>3</v>
      </c>
      <c r="K389" s="1" t="s">
        <v>44</v>
      </c>
      <c r="L389" s="1" t="n">
        <v>2</v>
      </c>
      <c r="N389" s="1" t="n">
        <v>1</v>
      </c>
      <c r="P389" s="1" t="n">
        <f aca="false">SUM(M389:O389)</f>
        <v>1</v>
      </c>
      <c r="W389" s="1" t="n">
        <f aca="false">SUM(Q389:V389)</f>
        <v>0</v>
      </c>
      <c r="Y389" s="1" t="n">
        <v>1</v>
      </c>
      <c r="AF389" s="9" t="n">
        <f aca="false">SUM(Z389:AE389)</f>
        <v>0</v>
      </c>
      <c r="AG389" s="10"/>
      <c r="AH389" s="11"/>
      <c r="AI389" s="11"/>
      <c r="AJ389" s="11"/>
      <c r="AK389" s="11"/>
      <c r="AL389" s="11"/>
      <c r="AM389" s="11"/>
      <c r="AN389" s="11" t="n">
        <f aca="false">SUM(AH389:AM389)</f>
        <v>0</v>
      </c>
      <c r="AO389" s="1"/>
      <c r="AP389" s="1"/>
      <c r="AQ389" s="1"/>
      <c r="AR389" s="1"/>
    </row>
    <row r="390" customFormat="false" ht="13.8" hidden="false" customHeight="false" outlineLevel="0" collapsed="false">
      <c r="A390" s="1" t="s">
        <v>517</v>
      </c>
      <c r="B390" s="1" t="n">
        <v>810</v>
      </c>
      <c r="C390" s="1" t="s">
        <v>515</v>
      </c>
      <c r="D390" s="1" t="s">
        <v>42</v>
      </c>
      <c r="E390" s="1" t="s">
        <v>516</v>
      </c>
      <c r="F390" s="1" t="n">
        <v>4</v>
      </c>
      <c r="G390" s="1" t="n">
        <v>1</v>
      </c>
      <c r="H390" s="1" t="n">
        <v>9</v>
      </c>
      <c r="I390" s="8" t="n">
        <v>600983</v>
      </c>
      <c r="J390" s="1" t="n">
        <v>2</v>
      </c>
      <c r="K390" s="1" t="s">
        <v>46</v>
      </c>
      <c r="L390" s="1" t="n">
        <v>4</v>
      </c>
      <c r="M390" s="1" t="n">
        <v>1</v>
      </c>
      <c r="O390" s="1" t="n">
        <v>1</v>
      </c>
      <c r="P390" s="1" t="n">
        <f aca="false">SUM(M390:O390)</f>
        <v>2</v>
      </c>
      <c r="W390" s="1" t="n">
        <f aca="false">SUM(Q390:V390)</f>
        <v>0</v>
      </c>
      <c r="X390" s="1" t="n">
        <v>3</v>
      </c>
      <c r="AF390" s="9" t="n">
        <f aca="false">SUM(Z390:AE390)</f>
        <v>0</v>
      </c>
      <c r="AG390" s="10"/>
      <c r="AH390" s="11"/>
      <c r="AI390" s="11"/>
      <c r="AJ390" s="11"/>
      <c r="AK390" s="11"/>
      <c r="AL390" s="11"/>
      <c r="AM390" s="11"/>
      <c r="AN390" s="11" t="n">
        <f aca="false">SUM(AH390:AM390)</f>
        <v>0</v>
      </c>
      <c r="AO390" s="1"/>
      <c r="AP390" s="1"/>
      <c r="AQ390" s="1"/>
      <c r="AR390" s="1"/>
    </row>
    <row r="391" customFormat="false" ht="13.8" hidden="false" customHeight="false" outlineLevel="0" collapsed="false">
      <c r="A391" s="1" t="s">
        <v>518</v>
      </c>
      <c r="B391" s="1" t="n">
        <v>808</v>
      </c>
      <c r="C391" s="1" t="s">
        <v>515</v>
      </c>
      <c r="D391" s="1" t="s">
        <v>42</v>
      </c>
      <c r="E391" s="1" t="s">
        <v>516</v>
      </c>
      <c r="F391" s="1" t="n">
        <v>5</v>
      </c>
      <c r="G391" s="1" t="n">
        <v>1</v>
      </c>
      <c r="H391" s="1" t="n">
        <v>3</v>
      </c>
      <c r="I391" s="8" t="n">
        <v>420763</v>
      </c>
      <c r="J391" s="1" t="n">
        <v>3</v>
      </c>
      <c r="K391" s="1" t="s">
        <v>96</v>
      </c>
      <c r="L391" s="1" t="n">
        <v>6</v>
      </c>
      <c r="M391" s="1" t="n">
        <v>1</v>
      </c>
      <c r="O391" s="1" t="n">
        <v>4</v>
      </c>
      <c r="P391" s="1" t="n">
        <f aca="false">SUM(M391:O391)</f>
        <v>5</v>
      </c>
      <c r="U391" s="1" t="n">
        <v>1</v>
      </c>
      <c r="W391" s="1" t="n">
        <f aca="false">SUM(Q391:V391)</f>
        <v>1</v>
      </c>
      <c r="X391" s="1" t="n">
        <v>3</v>
      </c>
      <c r="Y391" s="1" t="n">
        <v>3</v>
      </c>
      <c r="AD391" s="9" t="n">
        <f aca="false">(U391)*(1+(J391)*0.2)</f>
        <v>1.6</v>
      </c>
      <c r="AF391" s="9" t="n">
        <f aca="false">SUM(Z391:AE391)</f>
        <v>1.6</v>
      </c>
      <c r="AG391" s="10" t="s">
        <v>47</v>
      </c>
      <c r="AH391" s="11"/>
      <c r="AI391" s="11"/>
      <c r="AJ391" s="11"/>
      <c r="AK391" s="11"/>
      <c r="AL391" s="11" t="n">
        <f aca="false">IF(AG391="yes",AD391*1.2,AD391)</f>
        <v>1.92</v>
      </c>
      <c r="AM391" s="11"/>
      <c r="AN391" s="11" t="n">
        <f aca="false">SUM(AH391:AM391)</f>
        <v>1.92</v>
      </c>
      <c r="AO391" s="1"/>
      <c r="AP391" s="1"/>
      <c r="AQ391" s="1"/>
      <c r="AR391" s="1"/>
    </row>
    <row r="392" customFormat="false" ht="13.8" hidden="false" customHeight="false" outlineLevel="0" collapsed="false">
      <c r="A392" s="1" t="s">
        <v>519</v>
      </c>
      <c r="B392" s="1" t="n">
        <v>12</v>
      </c>
      <c r="C392" s="1" t="s">
        <v>515</v>
      </c>
      <c r="D392" s="1" t="s">
        <v>42</v>
      </c>
      <c r="E392" s="1" t="s">
        <v>516</v>
      </c>
      <c r="F392" s="1" t="n">
        <v>1</v>
      </c>
      <c r="G392" s="1" t="n">
        <v>1</v>
      </c>
      <c r="H392" s="1" t="n">
        <v>5</v>
      </c>
      <c r="I392" s="8" t="n">
        <v>408999</v>
      </c>
      <c r="J392" s="1" t="n">
        <v>3</v>
      </c>
      <c r="K392" s="1" t="s">
        <v>44</v>
      </c>
      <c r="L392" s="1" t="n">
        <v>2</v>
      </c>
      <c r="O392" s="1" t="n">
        <v>1</v>
      </c>
      <c r="P392" s="1" t="n">
        <f aca="false">SUM(M392:O392)</f>
        <v>1</v>
      </c>
      <c r="U392" s="1" t="n">
        <v>1</v>
      </c>
      <c r="W392" s="1" t="n">
        <f aca="false">SUM(Q392:V392)</f>
        <v>1</v>
      </c>
      <c r="X392" s="1" t="n">
        <v>3</v>
      </c>
      <c r="AC392" s="9"/>
      <c r="AD392" s="9" t="n">
        <f aca="false">(U392)*(1+(J392)*0.2)</f>
        <v>1.6</v>
      </c>
      <c r="AE392" s="20"/>
      <c r="AF392" s="9" t="n">
        <f aca="false">SUM(Z392:AE392)</f>
        <v>1.6</v>
      </c>
      <c r="AG392" s="10" t="s">
        <v>53</v>
      </c>
      <c r="AH392" s="11"/>
      <c r="AI392" s="11"/>
      <c r="AJ392" s="11"/>
      <c r="AK392" s="11"/>
      <c r="AL392" s="11" t="n">
        <f aca="false">IF(AG392="yes",AD392*1.2,AD392)</f>
        <v>1.6</v>
      </c>
      <c r="AM392" s="11"/>
      <c r="AN392" s="11" t="n">
        <f aca="false">SUM(AH392:AM392)</f>
        <v>1.6</v>
      </c>
      <c r="AO392" s="1"/>
      <c r="AP392" s="1"/>
      <c r="AQ392" s="1"/>
      <c r="AR392" s="1"/>
    </row>
    <row r="393" customFormat="false" ht="13.8" hidden="false" customHeight="false" outlineLevel="0" collapsed="false">
      <c r="A393" s="1" t="s">
        <v>520</v>
      </c>
      <c r="B393" s="1" t="n">
        <v>809</v>
      </c>
      <c r="C393" s="1" t="s">
        <v>515</v>
      </c>
      <c r="D393" s="1" t="s">
        <v>42</v>
      </c>
      <c r="E393" s="1" t="s">
        <v>516</v>
      </c>
      <c r="F393" s="1" t="n">
        <v>4</v>
      </c>
      <c r="G393" s="1" t="n">
        <v>1</v>
      </c>
      <c r="H393" s="1" t="n">
        <v>6</v>
      </c>
      <c r="I393" s="8" t="n">
        <v>215763</v>
      </c>
      <c r="J393" s="1" t="n">
        <v>2</v>
      </c>
      <c r="K393" s="1" t="s">
        <v>46</v>
      </c>
      <c r="L393" s="1" t="n">
        <v>4</v>
      </c>
      <c r="M393" s="1" t="n">
        <v>1</v>
      </c>
      <c r="O393" s="1" t="n">
        <v>1</v>
      </c>
      <c r="P393" s="1" t="n">
        <f aca="false">SUM(M393:O393)</f>
        <v>2</v>
      </c>
      <c r="W393" s="1" t="n">
        <f aca="false">SUM(Q393:V393)</f>
        <v>0</v>
      </c>
      <c r="AC393" s="9"/>
      <c r="AF393" s="9" t="n">
        <f aca="false">SUM(Z393:AE393)</f>
        <v>0</v>
      </c>
      <c r="AG393" s="10"/>
      <c r="AH393" s="11"/>
      <c r="AI393" s="11"/>
      <c r="AJ393" s="11"/>
      <c r="AK393" s="11"/>
      <c r="AL393" s="11"/>
      <c r="AM393" s="11"/>
      <c r="AN393" s="11" t="n">
        <f aca="false">SUM(AH393:AM393)</f>
        <v>0</v>
      </c>
      <c r="AO393" s="1"/>
      <c r="AP393" s="1"/>
      <c r="AQ393" s="1"/>
      <c r="AR393" s="1"/>
    </row>
    <row r="394" customFormat="false" ht="13.8" hidden="false" customHeight="false" outlineLevel="0" collapsed="false">
      <c r="A394" s="1" t="s">
        <v>521</v>
      </c>
      <c r="B394" s="1" t="n">
        <v>298</v>
      </c>
      <c r="C394" s="1" t="s">
        <v>522</v>
      </c>
      <c r="D394" s="1" t="s">
        <v>42</v>
      </c>
      <c r="E394" s="1" t="s">
        <v>521</v>
      </c>
      <c r="F394" s="1" t="n">
        <v>3</v>
      </c>
      <c r="G394" s="1" t="n">
        <v>1</v>
      </c>
      <c r="H394" s="1" t="n">
        <v>2</v>
      </c>
      <c r="I394" s="8" t="n">
        <v>745909</v>
      </c>
      <c r="J394" s="1" t="n">
        <v>1</v>
      </c>
      <c r="K394" s="1" t="s">
        <v>44</v>
      </c>
      <c r="L394" s="1" t="n">
        <v>2</v>
      </c>
      <c r="M394" s="1" t="n">
        <v>1</v>
      </c>
      <c r="O394" s="1" t="n">
        <v>1</v>
      </c>
      <c r="P394" s="1" t="n">
        <f aca="false">SUM(M394:O394)</f>
        <v>2</v>
      </c>
      <c r="S394" s="1" t="n">
        <v>6</v>
      </c>
      <c r="W394" s="1" t="n">
        <f aca="false">SUM(Q394:V394)</f>
        <v>6</v>
      </c>
      <c r="Y394" s="1" t="n">
        <v>2</v>
      </c>
      <c r="Z394" s="12"/>
      <c r="AB394" s="9" t="n">
        <f aca="false">(S394)*(1+(J394)*0.2)</f>
        <v>7.2</v>
      </c>
      <c r="AD394" s="9"/>
      <c r="AF394" s="9" t="n">
        <f aca="false">SUM(Z394:AE394)</f>
        <v>7.2</v>
      </c>
      <c r="AG394" s="10" t="s">
        <v>47</v>
      </c>
      <c r="AH394" s="11"/>
      <c r="AI394" s="11"/>
      <c r="AJ394" s="11" t="n">
        <f aca="false">IF(AG394="yes",AB394*1.2,AB394)</f>
        <v>8.64</v>
      </c>
      <c r="AK394" s="11"/>
      <c r="AL394" s="11"/>
      <c r="AM394" s="11"/>
      <c r="AN394" s="11" t="n">
        <f aca="false">SUM(AH394:AM394)</f>
        <v>8.64</v>
      </c>
      <c r="AO394" s="1"/>
      <c r="AP394" s="1"/>
      <c r="AQ394" s="1"/>
      <c r="AR394" s="1"/>
    </row>
    <row r="395" customFormat="false" ht="13.8" hidden="false" customHeight="false" outlineLevel="0" collapsed="false">
      <c r="A395" s="1" t="s">
        <v>523</v>
      </c>
      <c r="B395" s="1" t="n">
        <v>815</v>
      </c>
      <c r="C395" s="1" t="s">
        <v>524</v>
      </c>
      <c r="D395" s="1" t="s">
        <v>42</v>
      </c>
      <c r="E395" s="1" t="s">
        <v>525</v>
      </c>
      <c r="F395" s="1" t="n">
        <v>1</v>
      </c>
      <c r="G395" s="1" t="n">
        <v>1</v>
      </c>
      <c r="H395" s="1" t="n">
        <v>8</v>
      </c>
      <c r="I395" s="8" t="n">
        <v>161647</v>
      </c>
      <c r="J395" s="1" t="n">
        <v>2</v>
      </c>
      <c r="K395" s="1" t="s">
        <v>46</v>
      </c>
      <c r="L395" s="1" t="n">
        <v>4</v>
      </c>
      <c r="P395" s="1" t="n">
        <f aca="false">SUM(M395:O395)</f>
        <v>0</v>
      </c>
      <c r="W395" s="1" t="n">
        <f aca="false">SUM(Q395:V395)</f>
        <v>0</v>
      </c>
      <c r="AF395" s="9" t="n">
        <f aca="false">SUM(Z395:AE395)</f>
        <v>0</v>
      </c>
      <c r="AG395" s="10"/>
      <c r="AH395" s="11"/>
      <c r="AI395" s="11"/>
      <c r="AJ395" s="11"/>
      <c r="AK395" s="11"/>
      <c r="AL395" s="11"/>
      <c r="AM395" s="11"/>
      <c r="AN395" s="11" t="n">
        <f aca="false">SUM(AH395:AM395)</f>
        <v>0</v>
      </c>
      <c r="AO395" s="1"/>
      <c r="AP395" s="1"/>
      <c r="AQ395" s="1"/>
      <c r="AR395" s="1"/>
    </row>
    <row r="396" customFormat="false" ht="13.8" hidden="false" customHeight="false" outlineLevel="0" collapsed="false">
      <c r="A396" s="1" t="s">
        <v>526</v>
      </c>
      <c r="B396" s="1" t="n">
        <v>11</v>
      </c>
      <c r="C396" s="1" t="s">
        <v>524</v>
      </c>
      <c r="D396" s="1" t="s">
        <v>42</v>
      </c>
      <c r="E396" s="1" t="s">
        <v>525</v>
      </c>
      <c r="F396" s="1" t="n">
        <v>6</v>
      </c>
      <c r="G396" s="1" t="n">
        <v>1</v>
      </c>
      <c r="H396" s="1" t="n">
        <v>5</v>
      </c>
      <c r="I396" s="8" t="n">
        <v>973126</v>
      </c>
      <c r="J396" s="1" t="n">
        <v>3</v>
      </c>
      <c r="K396" s="1" t="s">
        <v>46</v>
      </c>
      <c r="L396" s="1" t="n">
        <v>4</v>
      </c>
      <c r="M396" s="1" t="n">
        <v>1</v>
      </c>
      <c r="O396" s="1" t="n">
        <v>3</v>
      </c>
      <c r="P396" s="1" t="n">
        <f aca="false">SUM(M396:O396)</f>
        <v>4</v>
      </c>
      <c r="W396" s="1" t="n">
        <f aca="false">SUM(Q396:V396)</f>
        <v>0</v>
      </c>
      <c r="AD396" s="9"/>
      <c r="AF396" s="9" t="n">
        <f aca="false">SUM(Z396:AE396)</f>
        <v>0</v>
      </c>
      <c r="AG396" s="10"/>
      <c r="AH396" s="11"/>
      <c r="AI396" s="11"/>
      <c r="AJ396" s="11"/>
      <c r="AK396" s="11"/>
      <c r="AL396" s="11"/>
      <c r="AM396" s="11"/>
      <c r="AN396" s="11" t="n">
        <f aca="false">SUM(AH396:AM396)</f>
        <v>0</v>
      </c>
      <c r="AO396" s="1"/>
      <c r="AP396" s="1"/>
      <c r="AQ396" s="1"/>
      <c r="AR396" s="1"/>
    </row>
    <row r="397" customFormat="false" ht="13.8" hidden="false" customHeight="false" outlineLevel="0" collapsed="false">
      <c r="A397" s="1" t="s">
        <v>527</v>
      </c>
      <c r="B397" s="1" t="n">
        <v>188</v>
      </c>
      <c r="C397" s="1" t="s">
        <v>524</v>
      </c>
      <c r="D397" s="1" t="s">
        <v>42</v>
      </c>
      <c r="E397" s="1" t="s">
        <v>525</v>
      </c>
      <c r="F397" s="1" t="n">
        <v>3</v>
      </c>
      <c r="G397" s="1" t="n">
        <v>1</v>
      </c>
      <c r="H397" s="1" t="n">
        <v>1</v>
      </c>
      <c r="I397" s="8" t="n">
        <v>150183</v>
      </c>
      <c r="J397" s="1" t="n">
        <v>3</v>
      </c>
      <c r="K397" s="1" t="s">
        <v>44</v>
      </c>
      <c r="L397" s="1" t="n">
        <v>2</v>
      </c>
      <c r="O397" s="1" t="n">
        <v>1</v>
      </c>
      <c r="P397" s="1" t="n">
        <f aca="false">SUM(M397:O397)</f>
        <v>1</v>
      </c>
      <c r="W397" s="1" t="n">
        <f aca="false">SUM(Q397:V397)</f>
        <v>0</v>
      </c>
      <c r="Y397" s="1" t="n">
        <v>1</v>
      </c>
      <c r="AF397" s="9" t="n">
        <f aca="false">SUM(Z397:AE397)</f>
        <v>0</v>
      </c>
      <c r="AG397" s="10"/>
      <c r="AH397" s="11"/>
      <c r="AI397" s="11"/>
      <c r="AJ397" s="11"/>
      <c r="AK397" s="11"/>
      <c r="AL397" s="11"/>
      <c r="AM397" s="11"/>
      <c r="AN397" s="11" t="n">
        <f aca="false">SUM(AH397:AM397)</f>
        <v>0</v>
      </c>
      <c r="AO397" s="1"/>
      <c r="AP397" s="1"/>
      <c r="AQ397" s="1"/>
      <c r="AR397" s="1"/>
    </row>
    <row r="398" customFormat="false" ht="13.8" hidden="false" customHeight="false" outlineLevel="0" collapsed="false">
      <c r="A398" s="1" t="s">
        <v>528</v>
      </c>
      <c r="B398" s="1" t="n">
        <v>814</v>
      </c>
      <c r="C398" s="1" t="s">
        <v>524</v>
      </c>
      <c r="D398" s="1" t="s">
        <v>42</v>
      </c>
      <c r="E398" s="1" t="s">
        <v>525</v>
      </c>
      <c r="F398" s="1" t="n">
        <v>1</v>
      </c>
      <c r="G398" s="1" t="n">
        <v>1</v>
      </c>
      <c r="H398" s="1" t="n">
        <v>4</v>
      </c>
      <c r="I398" s="8" t="n">
        <v>220008</v>
      </c>
      <c r="J398" s="1" t="n">
        <v>2</v>
      </c>
      <c r="K398" s="1" t="s">
        <v>46</v>
      </c>
      <c r="L398" s="1" t="n">
        <v>4</v>
      </c>
      <c r="M398" s="1" t="n">
        <v>1</v>
      </c>
      <c r="O398" s="1" t="n">
        <v>1</v>
      </c>
      <c r="P398" s="1" t="n">
        <f aca="false">SUM(M398:O398)</f>
        <v>2</v>
      </c>
      <c r="W398" s="1" t="n">
        <f aca="false">SUM(Q398:V398)</f>
        <v>0</v>
      </c>
      <c r="X398" s="1" t="n">
        <v>4</v>
      </c>
      <c r="Z398" s="12"/>
      <c r="AD398" s="9"/>
      <c r="AF398" s="9" t="n">
        <f aca="false">SUM(Z398:AE398)</f>
        <v>0</v>
      </c>
      <c r="AG398" s="10"/>
      <c r="AH398" s="11"/>
      <c r="AI398" s="11"/>
      <c r="AJ398" s="11"/>
      <c r="AK398" s="11"/>
      <c r="AL398" s="11"/>
      <c r="AM398" s="11"/>
      <c r="AN398" s="11" t="n">
        <f aca="false">SUM(AH398:AM398)</f>
        <v>0</v>
      </c>
      <c r="AO398" s="1"/>
      <c r="AP398" s="1"/>
      <c r="AQ398" s="1"/>
      <c r="AR398" s="1"/>
    </row>
    <row r="399" customFormat="false" ht="13.8" hidden="false" customHeight="false" outlineLevel="0" collapsed="false">
      <c r="A399" s="1" t="s">
        <v>529</v>
      </c>
      <c r="B399" s="1" t="n">
        <v>189</v>
      </c>
      <c r="C399" s="1" t="s">
        <v>524</v>
      </c>
      <c r="D399" s="1" t="s">
        <v>42</v>
      </c>
      <c r="E399" s="1" t="s">
        <v>525</v>
      </c>
      <c r="F399" s="1" t="n">
        <v>4</v>
      </c>
      <c r="G399" s="1" t="n">
        <v>1</v>
      </c>
      <c r="H399" s="1" t="n">
        <v>6</v>
      </c>
      <c r="I399" s="8" t="n">
        <v>697951</v>
      </c>
      <c r="J399" s="1" t="n">
        <v>3</v>
      </c>
      <c r="K399" s="1" t="s">
        <v>46</v>
      </c>
      <c r="L399" s="1" t="n">
        <v>4</v>
      </c>
      <c r="P399" s="1" t="n">
        <f aca="false">SUM(M399:O399)</f>
        <v>0</v>
      </c>
      <c r="U399" s="1" t="n">
        <v>2</v>
      </c>
      <c r="W399" s="1" t="n">
        <f aca="false">SUM(Q399:V399)</f>
        <v>2</v>
      </c>
      <c r="Y399" s="1" t="n">
        <v>1</v>
      </c>
      <c r="AD399" s="9" t="n">
        <f aca="false">(U399)*(1+(J399)*0.2)</f>
        <v>3.2</v>
      </c>
      <c r="AF399" s="9" t="n">
        <f aca="false">SUM(Z399:AE399)</f>
        <v>3.2</v>
      </c>
      <c r="AG399" s="10" t="s">
        <v>47</v>
      </c>
      <c r="AH399" s="11"/>
      <c r="AI399" s="11"/>
      <c r="AJ399" s="11"/>
      <c r="AK399" s="11"/>
      <c r="AL399" s="11" t="n">
        <f aca="false">IF(AG399="yes",AD399*1.2,AD399)</f>
        <v>3.84</v>
      </c>
      <c r="AM399" s="11"/>
      <c r="AN399" s="11" t="n">
        <f aca="false">SUM(AH399:AM399)</f>
        <v>3.84</v>
      </c>
      <c r="AO399" s="1"/>
      <c r="AP399" s="1"/>
      <c r="AQ399" s="1"/>
      <c r="AR399" s="1"/>
    </row>
    <row r="400" customFormat="false" ht="13.8" hidden="false" customHeight="false" outlineLevel="0" collapsed="false">
      <c r="A400" s="1" t="s">
        <v>530</v>
      </c>
      <c r="B400" s="1" t="n">
        <v>8</v>
      </c>
      <c r="C400" s="1" t="s">
        <v>531</v>
      </c>
      <c r="D400" s="1" t="s">
        <v>42</v>
      </c>
      <c r="E400" s="1" t="s">
        <v>532</v>
      </c>
      <c r="F400" s="1" t="n">
        <v>5</v>
      </c>
      <c r="G400" s="1" t="n">
        <v>1</v>
      </c>
      <c r="H400" s="1" t="n">
        <v>1</v>
      </c>
      <c r="I400" s="8" t="n">
        <v>295108</v>
      </c>
      <c r="J400" s="1" t="n">
        <v>3</v>
      </c>
      <c r="K400" s="1" t="s">
        <v>46</v>
      </c>
      <c r="L400" s="1" t="n">
        <v>4</v>
      </c>
      <c r="M400" s="1" t="n">
        <v>1</v>
      </c>
      <c r="O400" s="1" t="n">
        <v>3</v>
      </c>
      <c r="P400" s="1" t="n">
        <f aca="false">SUM(M400:O400)</f>
        <v>4</v>
      </c>
      <c r="U400" s="1" t="n">
        <v>5</v>
      </c>
      <c r="W400" s="1" t="n">
        <f aca="false">SUM(Q400:V400)</f>
        <v>5</v>
      </c>
      <c r="AD400" s="9" t="n">
        <f aca="false">(U400)*(1+(J400)*0.2)</f>
        <v>8</v>
      </c>
      <c r="AF400" s="9" t="n">
        <f aca="false">SUM(Z400:AE400)</f>
        <v>8</v>
      </c>
      <c r="AG400" s="10" t="s">
        <v>47</v>
      </c>
      <c r="AH400" s="11"/>
      <c r="AI400" s="11"/>
      <c r="AJ400" s="11"/>
      <c r="AK400" s="11"/>
      <c r="AL400" s="11" t="n">
        <f aca="false">IF(AG400="yes",AD400*1.2,AD400)</f>
        <v>9.6</v>
      </c>
      <c r="AM400" s="11"/>
      <c r="AN400" s="11" t="n">
        <f aca="false">SUM(AH400:AM400)</f>
        <v>9.6</v>
      </c>
      <c r="AO400" s="1"/>
      <c r="AP400" s="1"/>
      <c r="AQ400" s="1"/>
      <c r="AR400" s="1"/>
    </row>
    <row r="401" customFormat="false" ht="13.8" hidden="false" customHeight="false" outlineLevel="0" collapsed="false">
      <c r="A401" s="1" t="s">
        <v>533</v>
      </c>
      <c r="B401" s="1" t="n">
        <v>714</v>
      </c>
      <c r="C401" s="1" t="s">
        <v>534</v>
      </c>
      <c r="D401" s="1" t="s">
        <v>42</v>
      </c>
      <c r="E401" s="1" t="s">
        <v>535</v>
      </c>
      <c r="G401" s="1" t="n">
        <v>1</v>
      </c>
      <c r="H401" s="1" t="n">
        <v>28</v>
      </c>
      <c r="I401" s="8" t="n">
        <v>3698701</v>
      </c>
      <c r="J401" s="1" t="n">
        <v>2</v>
      </c>
      <c r="K401" s="1" t="s">
        <v>51</v>
      </c>
      <c r="L401" s="1" t="n">
        <v>1</v>
      </c>
      <c r="P401" s="1" t="n">
        <f aca="false">SUM(M401:O401)</f>
        <v>0</v>
      </c>
      <c r="W401" s="1" t="n">
        <f aca="false">SUM(Q401:V401)</f>
        <v>0</v>
      </c>
      <c r="AF401" s="9" t="n">
        <f aca="false">SUM(Z401:AE401)</f>
        <v>0</v>
      </c>
      <c r="AG401" s="10"/>
      <c r="AH401" s="11"/>
      <c r="AI401" s="11"/>
      <c r="AJ401" s="11"/>
      <c r="AK401" s="11"/>
      <c r="AL401" s="11"/>
      <c r="AM401" s="11"/>
      <c r="AN401" s="11" t="n">
        <f aca="false">SUM(AH401:AM401)</f>
        <v>0</v>
      </c>
      <c r="AO401" s="1"/>
      <c r="AP401" s="1"/>
      <c r="AQ401" s="1"/>
      <c r="AR401" s="1"/>
    </row>
    <row r="402" customFormat="false" ht="13.8" hidden="false" customHeight="false" outlineLevel="0" collapsed="false">
      <c r="A402" s="1" t="s">
        <v>536</v>
      </c>
      <c r="B402" s="1" t="n">
        <v>761</v>
      </c>
      <c r="C402" s="1" t="s">
        <v>534</v>
      </c>
      <c r="D402" s="1" t="s">
        <v>42</v>
      </c>
      <c r="E402" s="1" t="s">
        <v>535</v>
      </c>
      <c r="G402" s="1" t="n">
        <v>1</v>
      </c>
      <c r="H402" s="1" t="n">
        <v>12</v>
      </c>
      <c r="I402" s="8" t="n">
        <v>2002441</v>
      </c>
      <c r="J402" s="1" t="n">
        <v>2</v>
      </c>
      <c r="K402" s="1" t="s">
        <v>51</v>
      </c>
      <c r="L402" s="1" t="n">
        <v>1</v>
      </c>
      <c r="P402" s="1" t="n">
        <f aca="false">SUM(M402:O402)</f>
        <v>0</v>
      </c>
      <c r="W402" s="1" t="n">
        <f aca="false">SUM(Q402:V402)</f>
        <v>0</v>
      </c>
      <c r="AC402" s="9"/>
      <c r="AF402" s="9" t="n">
        <f aca="false">SUM(Z402:AE402)</f>
        <v>0</v>
      </c>
      <c r="AG402" s="10"/>
      <c r="AH402" s="11"/>
      <c r="AI402" s="11"/>
      <c r="AJ402" s="11"/>
      <c r="AK402" s="11"/>
      <c r="AL402" s="11"/>
      <c r="AM402" s="11"/>
      <c r="AN402" s="11" t="n">
        <f aca="false">SUM(AH402:AM402)</f>
        <v>0</v>
      </c>
      <c r="AO402" s="1"/>
      <c r="AP402" s="1"/>
      <c r="AQ402" s="1"/>
      <c r="AR402" s="1"/>
    </row>
    <row r="403" customFormat="false" ht="13.8" hidden="false" customHeight="false" outlineLevel="0" collapsed="false">
      <c r="A403" s="1" t="s">
        <v>537</v>
      </c>
      <c r="B403" s="1" t="n">
        <v>610</v>
      </c>
      <c r="C403" s="1" t="s">
        <v>534</v>
      </c>
      <c r="D403" s="1" t="s">
        <v>42</v>
      </c>
      <c r="E403" s="1" t="s">
        <v>535</v>
      </c>
      <c r="G403" s="1" t="n">
        <v>1</v>
      </c>
      <c r="H403" s="1" t="n">
        <v>27</v>
      </c>
      <c r="I403" s="8" t="n">
        <v>1977788</v>
      </c>
      <c r="J403" s="1" t="n">
        <v>2</v>
      </c>
      <c r="K403" s="1" t="s">
        <v>51</v>
      </c>
      <c r="L403" s="1" t="n">
        <v>1</v>
      </c>
      <c r="P403" s="1" t="n">
        <f aca="false">SUM(M403:O403)</f>
        <v>0</v>
      </c>
      <c r="W403" s="1" t="n">
        <f aca="false">SUM(Q403:V403)</f>
        <v>0</v>
      </c>
      <c r="Z403" s="12"/>
      <c r="AF403" s="9" t="n">
        <f aca="false">SUM(Z403:AE403)</f>
        <v>0</v>
      </c>
      <c r="AG403" s="10"/>
      <c r="AH403" s="11"/>
      <c r="AI403" s="11"/>
      <c r="AJ403" s="11"/>
      <c r="AK403" s="11"/>
      <c r="AL403" s="11"/>
      <c r="AM403" s="11"/>
      <c r="AN403" s="11" t="n">
        <f aca="false">SUM(AH403:AM403)</f>
        <v>0</v>
      </c>
      <c r="AO403" s="1"/>
      <c r="AP403" s="1"/>
      <c r="AQ403" s="1"/>
      <c r="AR403" s="1"/>
    </row>
    <row r="404" customFormat="false" ht="13.8" hidden="false" customHeight="false" outlineLevel="0" collapsed="false">
      <c r="A404" s="1" t="s">
        <v>538</v>
      </c>
      <c r="B404" s="1" t="n">
        <v>328</v>
      </c>
      <c r="C404" s="1" t="s">
        <v>534</v>
      </c>
      <c r="D404" s="1" t="s">
        <v>42</v>
      </c>
      <c r="E404" s="1" t="s">
        <v>535</v>
      </c>
      <c r="F404" s="1" t="n">
        <v>2</v>
      </c>
      <c r="G404" s="1" t="n">
        <v>1</v>
      </c>
      <c r="H404" s="1" t="n">
        <v>39</v>
      </c>
      <c r="I404" s="8" t="n">
        <v>7545466</v>
      </c>
      <c r="J404" s="1" t="n">
        <v>2</v>
      </c>
      <c r="K404" s="1" t="s">
        <v>44</v>
      </c>
      <c r="L404" s="1" t="n">
        <v>2</v>
      </c>
      <c r="P404" s="1" t="n">
        <f aca="false">SUM(M404:O404)</f>
        <v>0</v>
      </c>
      <c r="R404" s="1" t="n">
        <v>7</v>
      </c>
      <c r="W404" s="1" t="n">
        <f aca="false">SUM(Q404:V404)</f>
        <v>7</v>
      </c>
      <c r="AA404" s="9" t="n">
        <f aca="false">(R404)*(1+(J404)*0.2)</f>
        <v>9.8</v>
      </c>
      <c r="AF404" s="9" t="n">
        <f aca="false">SUM(Z404:AE404)</f>
        <v>9.8</v>
      </c>
      <c r="AG404" s="10" t="s">
        <v>47</v>
      </c>
      <c r="AH404" s="11"/>
      <c r="AI404" s="11" t="n">
        <f aca="false">IF(AG404="yes",AA404*1.2,AA404)</f>
        <v>11.76</v>
      </c>
      <c r="AJ404" s="11"/>
      <c r="AK404" s="11"/>
      <c r="AL404" s="11"/>
      <c r="AM404" s="11"/>
      <c r="AN404" s="11" t="n">
        <f aca="false">SUM(AH404:AM404)</f>
        <v>11.76</v>
      </c>
      <c r="AO404" s="1"/>
      <c r="AP404" s="1"/>
      <c r="AQ404" s="1"/>
      <c r="AR404" s="1"/>
    </row>
    <row r="405" customFormat="false" ht="13.8" hidden="false" customHeight="false" outlineLevel="0" collapsed="false">
      <c r="A405" s="1" t="s">
        <v>539</v>
      </c>
      <c r="B405" s="1" t="n">
        <v>715</v>
      </c>
      <c r="C405" s="1" t="s">
        <v>534</v>
      </c>
      <c r="D405" s="1" t="s">
        <v>42</v>
      </c>
      <c r="E405" s="1" t="s">
        <v>535</v>
      </c>
      <c r="G405" s="1" t="n">
        <v>1</v>
      </c>
      <c r="H405" s="1" t="n">
        <v>21</v>
      </c>
      <c r="I405" s="8" t="n">
        <v>3647820</v>
      </c>
      <c r="J405" s="1" t="n">
        <v>2</v>
      </c>
      <c r="K405" s="1" t="s">
        <v>46</v>
      </c>
      <c r="L405" s="1" t="n">
        <v>4</v>
      </c>
      <c r="M405" s="1" t="n">
        <v>1</v>
      </c>
      <c r="O405" s="1" t="n">
        <v>1</v>
      </c>
      <c r="P405" s="1" t="n">
        <f aca="false">SUM(M405:O405)</f>
        <v>2</v>
      </c>
      <c r="W405" s="1" t="n">
        <f aca="false">SUM(Q405:V405)</f>
        <v>0</v>
      </c>
      <c r="AA405" s="9"/>
      <c r="AF405" s="9" t="n">
        <f aca="false">SUM(Z405:AE405)</f>
        <v>0</v>
      </c>
      <c r="AG405" s="10"/>
      <c r="AH405" s="11"/>
      <c r="AI405" s="11"/>
      <c r="AJ405" s="11"/>
      <c r="AK405" s="11"/>
      <c r="AL405" s="11"/>
      <c r="AM405" s="11"/>
      <c r="AN405" s="11" t="n">
        <f aca="false">SUM(AH405:AM405)</f>
        <v>0</v>
      </c>
      <c r="AO405" s="1"/>
      <c r="AP405" s="1"/>
      <c r="AQ405" s="1"/>
      <c r="AR405" s="1"/>
    </row>
    <row r="406" customFormat="false" ht="13.8" hidden="false" customHeight="false" outlineLevel="0" collapsed="false">
      <c r="A406" s="1" t="s">
        <v>540</v>
      </c>
      <c r="B406" s="1" t="n">
        <v>716</v>
      </c>
      <c r="C406" s="1" t="s">
        <v>534</v>
      </c>
      <c r="D406" s="1" t="s">
        <v>42</v>
      </c>
      <c r="E406" s="1" t="s">
        <v>535</v>
      </c>
      <c r="F406" s="1" t="n">
        <v>3</v>
      </c>
      <c r="G406" s="1" t="n">
        <v>1</v>
      </c>
      <c r="H406" s="1" t="n">
        <v>25</v>
      </c>
      <c r="I406" s="8" t="n">
        <v>10277150</v>
      </c>
      <c r="J406" s="1" t="n">
        <v>2</v>
      </c>
      <c r="K406" s="1" t="s">
        <v>96</v>
      </c>
      <c r="L406" s="1" t="n">
        <v>6</v>
      </c>
      <c r="M406" s="1" t="n">
        <v>2</v>
      </c>
      <c r="O406" s="1" t="n">
        <v>1</v>
      </c>
      <c r="P406" s="1" t="n">
        <f aca="false">SUM(M406:O406)</f>
        <v>3</v>
      </c>
      <c r="U406" s="1" t="n">
        <v>27</v>
      </c>
      <c r="W406" s="1" t="n">
        <f aca="false">SUM(Q406:V406)</f>
        <v>27</v>
      </c>
      <c r="X406" s="1" t="n">
        <v>5</v>
      </c>
      <c r="Y406" s="1" t="n">
        <v>3</v>
      </c>
      <c r="AD406" s="9" t="n">
        <f aca="false">(U406)*(1+(J406)*0.2)</f>
        <v>37.8</v>
      </c>
      <c r="AF406" s="9" t="n">
        <f aca="false">SUM(Z406:AE406)</f>
        <v>37.8</v>
      </c>
      <c r="AG406" s="10" t="s">
        <v>47</v>
      </c>
      <c r="AH406" s="11"/>
      <c r="AI406" s="11"/>
      <c r="AJ406" s="11"/>
      <c r="AK406" s="11"/>
      <c r="AL406" s="11" t="n">
        <f aca="false">IF(AG406="yes",AD406*1.2,AD406)</f>
        <v>45.36</v>
      </c>
      <c r="AM406" s="11"/>
      <c r="AN406" s="11" t="n">
        <f aca="false">SUM(AH406:AM406)</f>
        <v>45.36</v>
      </c>
      <c r="AO406" s="1"/>
      <c r="AP406" s="1"/>
      <c r="AQ406" s="1"/>
      <c r="AR406" s="1"/>
    </row>
    <row r="407" customFormat="false" ht="13.8" hidden="false" customHeight="false" outlineLevel="0" collapsed="false">
      <c r="A407" s="1" t="s">
        <v>541</v>
      </c>
      <c r="B407" s="1" t="n">
        <v>717</v>
      </c>
      <c r="C407" s="1" t="s">
        <v>534</v>
      </c>
      <c r="D407" s="1" t="s">
        <v>42</v>
      </c>
      <c r="E407" s="1" t="s">
        <v>535</v>
      </c>
      <c r="G407" s="1" t="n">
        <v>1</v>
      </c>
      <c r="H407" s="1" t="n">
        <v>34</v>
      </c>
      <c r="I407" s="8" t="n">
        <v>5230551</v>
      </c>
      <c r="J407" s="1" t="n">
        <v>2</v>
      </c>
      <c r="K407" s="1" t="s">
        <v>51</v>
      </c>
      <c r="L407" s="1" t="n">
        <v>1</v>
      </c>
      <c r="P407" s="1" t="n">
        <f aca="false">SUM(M407:O407)</f>
        <v>0</v>
      </c>
      <c r="W407" s="1" t="n">
        <f aca="false">SUM(Q407:V407)</f>
        <v>0</v>
      </c>
      <c r="AB407" s="9"/>
      <c r="AF407" s="9" t="n">
        <f aca="false">SUM(Z407:AE407)</f>
        <v>0</v>
      </c>
      <c r="AG407" s="10"/>
      <c r="AH407" s="11"/>
      <c r="AI407" s="11"/>
      <c r="AJ407" s="11"/>
      <c r="AK407" s="11"/>
      <c r="AL407" s="11"/>
      <c r="AM407" s="11"/>
      <c r="AN407" s="11" t="n">
        <f aca="false">SUM(AH407:AM407)</f>
        <v>0</v>
      </c>
      <c r="AO407" s="1"/>
      <c r="AP407" s="1"/>
      <c r="AQ407" s="1"/>
      <c r="AR407" s="1"/>
    </row>
    <row r="408" customFormat="false" ht="13.8" hidden="false" customHeight="false" outlineLevel="0" collapsed="false">
      <c r="A408" s="1" t="s">
        <v>542</v>
      </c>
      <c r="B408" s="1" t="n">
        <v>612</v>
      </c>
      <c r="C408" s="1" t="s">
        <v>543</v>
      </c>
      <c r="D408" s="1" t="s">
        <v>42</v>
      </c>
      <c r="E408" s="1" t="s">
        <v>544</v>
      </c>
      <c r="G408" s="1" t="n">
        <v>1</v>
      </c>
      <c r="H408" s="1" t="n">
        <v>14</v>
      </c>
      <c r="I408" s="8" t="n">
        <v>566691</v>
      </c>
      <c r="J408" s="1" t="n">
        <v>1</v>
      </c>
      <c r="K408" s="1" t="s">
        <v>44</v>
      </c>
      <c r="L408" s="1" t="n">
        <v>2</v>
      </c>
      <c r="P408" s="1" t="n">
        <f aca="false">SUM(M408:O408)</f>
        <v>0</v>
      </c>
      <c r="W408" s="1" t="n">
        <f aca="false">SUM(Q408:V408)</f>
        <v>0</v>
      </c>
      <c r="AF408" s="9" t="n">
        <f aca="false">SUM(Z408:AE408)</f>
        <v>0</v>
      </c>
      <c r="AG408" s="10"/>
      <c r="AH408" s="11"/>
      <c r="AI408" s="11"/>
      <c r="AJ408" s="11"/>
      <c r="AK408" s="11"/>
      <c r="AL408" s="11"/>
      <c r="AM408" s="11"/>
      <c r="AN408" s="11" t="n">
        <f aca="false">SUM(AH408:AM408)</f>
        <v>0</v>
      </c>
      <c r="AO408" s="1"/>
      <c r="AP408" s="1"/>
      <c r="AQ408" s="1"/>
      <c r="AR408" s="1"/>
    </row>
    <row r="409" customFormat="false" ht="13.8" hidden="false" customHeight="false" outlineLevel="0" collapsed="false">
      <c r="A409" s="1" t="s">
        <v>545</v>
      </c>
      <c r="B409" s="1" t="n">
        <v>611</v>
      </c>
      <c r="C409" s="1" t="s">
        <v>543</v>
      </c>
      <c r="D409" s="1" t="s">
        <v>42</v>
      </c>
      <c r="E409" s="1" t="s">
        <v>544</v>
      </c>
      <c r="F409" s="1" t="n">
        <v>4</v>
      </c>
      <c r="G409" s="1" t="n">
        <v>1</v>
      </c>
      <c r="H409" s="1" t="n">
        <v>13</v>
      </c>
      <c r="I409" s="8" t="n">
        <v>1471794</v>
      </c>
      <c r="J409" s="1" t="n">
        <v>3</v>
      </c>
      <c r="K409" s="1" t="s">
        <v>51</v>
      </c>
      <c r="L409" s="1" t="n">
        <v>1</v>
      </c>
      <c r="O409" s="1" t="n">
        <v>1</v>
      </c>
      <c r="P409" s="1" t="n">
        <f aca="false">SUM(M409:O409)</f>
        <v>1</v>
      </c>
      <c r="W409" s="1" t="n">
        <f aca="false">SUM(Q409:V409)</f>
        <v>0</v>
      </c>
      <c r="AF409" s="9" t="n">
        <f aca="false">SUM(Z409:AE409)</f>
        <v>0</v>
      </c>
      <c r="AG409" s="10"/>
      <c r="AH409" s="11"/>
      <c r="AI409" s="11"/>
      <c r="AJ409" s="11"/>
      <c r="AK409" s="11"/>
      <c r="AL409" s="11"/>
      <c r="AM409" s="11"/>
      <c r="AN409" s="11" t="n">
        <f aca="false">SUM(AH409:AM409)</f>
        <v>0</v>
      </c>
      <c r="AO409" s="1"/>
      <c r="AP409" s="1"/>
      <c r="AQ409" s="1"/>
      <c r="AR409" s="1"/>
    </row>
    <row r="410" customFormat="false" ht="13.8" hidden="false" customHeight="false" outlineLevel="0" collapsed="false">
      <c r="A410" s="1" t="s">
        <v>546</v>
      </c>
      <c r="B410" s="1" t="n">
        <v>484</v>
      </c>
      <c r="C410" s="1" t="s">
        <v>547</v>
      </c>
      <c r="D410" s="1" t="s">
        <v>42</v>
      </c>
      <c r="E410" s="1" t="s">
        <v>548</v>
      </c>
      <c r="F410" s="1" t="n">
        <v>10</v>
      </c>
      <c r="G410" s="1" t="n">
        <v>1</v>
      </c>
      <c r="H410" s="1" t="n">
        <v>9</v>
      </c>
      <c r="I410" s="8" t="n">
        <v>108974</v>
      </c>
      <c r="J410" s="1" t="n">
        <v>2</v>
      </c>
      <c r="K410" s="1" t="s">
        <v>44</v>
      </c>
      <c r="L410" s="1" t="n">
        <v>2</v>
      </c>
      <c r="P410" s="1" t="n">
        <f aca="false">SUM(M410:O410)</f>
        <v>0</v>
      </c>
      <c r="W410" s="1" t="n">
        <f aca="false">SUM(Q410:V410)</f>
        <v>0</v>
      </c>
      <c r="X410" s="1" t="n">
        <v>3</v>
      </c>
      <c r="Y410" s="1" t="n">
        <v>3</v>
      </c>
      <c r="AA410" s="9"/>
      <c r="AF410" s="9" t="n">
        <f aca="false">SUM(Z410:AE410)</f>
        <v>0</v>
      </c>
      <c r="AG410" s="10"/>
      <c r="AH410" s="11"/>
      <c r="AI410" s="11"/>
      <c r="AJ410" s="11"/>
      <c r="AK410" s="11"/>
      <c r="AL410" s="11"/>
      <c r="AM410" s="11"/>
      <c r="AN410" s="11" t="n">
        <f aca="false">SUM(AH410:AM410)</f>
        <v>0</v>
      </c>
      <c r="AO410" s="1"/>
      <c r="AP410" s="1"/>
      <c r="AQ410" s="1"/>
      <c r="AR410" s="1"/>
    </row>
    <row r="411" customFormat="false" ht="13.8" hidden="false" customHeight="false" outlineLevel="0" collapsed="false">
      <c r="A411" s="1" t="s">
        <v>549</v>
      </c>
      <c r="B411" s="1" t="n">
        <v>475</v>
      </c>
      <c r="C411" s="1" t="s">
        <v>547</v>
      </c>
      <c r="D411" s="1" t="s">
        <v>42</v>
      </c>
      <c r="E411" s="1" t="s">
        <v>548</v>
      </c>
      <c r="F411" s="1" t="n">
        <v>3</v>
      </c>
      <c r="G411" s="1" t="n">
        <v>1</v>
      </c>
      <c r="H411" s="1" t="n">
        <v>3</v>
      </c>
      <c r="I411" s="8" t="n">
        <v>806858</v>
      </c>
      <c r="J411" s="1" t="n">
        <v>2</v>
      </c>
      <c r="K411" s="1" t="s">
        <v>44</v>
      </c>
      <c r="L411" s="1" t="n">
        <v>2</v>
      </c>
      <c r="P411" s="1" t="n">
        <f aca="false">SUM(M411:O411)</f>
        <v>0</v>
      </c>
      <c r="W411" s="1" t="n">
        <f aca="false">SUM(Q411:V411)</f>
        <v>0</v>
      </c>
      <c r="AE411" s="20"/>
      <c r="AF411" s="9" t="n">
        <f aca="false">SUM(Z411:AE411)</f>
        <v>0</v>
      </c>
      <c r="AG411" s="10"/>
      <c r="AH411" s="11"/>
      <c r="AI411" s="11"/>
      <c r="AJ411" s="11"/>
      <c r="AK411" s="11"/>
      <c r="AL411" s="11"/>
      <c r="AM411" s="11"/>
      <c r="AN411" s="11" t="n">
        <f aca="false">SUM(AH411:AM411)</f>
        <v>0</v>
      </c>
      <c r="AO411" s="1"/>
      <c r="AP411" s="1"/>
      <c r="AQ411" s="1"/>
      <c r="AR411" s="1"/>
    </row>
    <row r="412" customFormat="false" ht="13.8" hidden="false" customHeight="false" outlineLevel="0" collapsed="false">
      <c r="A412" s="1" t="s">
        <v>550</v>
      </c>
      <c r="B412" s="1" t="n">
        <v>482</v>
      </c>
      <c r="C412" s="1" t="s">
        <v>547</v>
      </c>
      <c r="D412" s="1" t="s">
        <v>42</v>
      </c>
      <c r="E412" s="1" t="s">
        <v>548</v>
      </c>
      <c r="F412" s="1" t="n">
        <v>20</v>
      </c>
      <c r="G412" s="1" t="n">
        <v>1</v>
      </c>
      <c r="H412" s="1" t="n">
        <v>11</v>
      </c>
      <c r="I412" s="8" t="n">
        <v>521387</v>
      </c>
      <c r="J412" s="1" t="n">
        <v>2</v>
      </c>
      <c r="K412" s="1" t="s">
        <v>44</v>
      </c>
      <c r="L412" s="1" t="n">
        <v>2</v>
      </c>
      <c r="P412" s="1" t="n">
        <f aca="false">SUM(M412:O412)</f>
        <v>0</v>
      </c>
      <c r="W412" s="1" t="n">
        <f aca="false">SUM(Q412:V412)</f>
        <v>0</v>
      </c>
      <c r="AA412" s="9"/>
      <c r="AF412" s="9" t="n">
        <f aca="false">SUM(Z412:AE412)</f>
        <v>0</v>
      </c>
      <c r="AG412" s="10"/>
      <c r="AH412" s="11"/>
      <c r="AI412" s="11"/>
      <c r="AJ412" s="11"/>
      <c r="AK412" s="11"/>
      <c r="AL412" s="11"/>
      <c r="AM412" s="11"/>
      <c r="AN412" s="11" t="n">
        <f aca="false">SUM(AH412:AM412)</f>
        <v>0</v>
      </c>
      <c r="AO412" s="1"/>
      <c r="AP412" s="1"/>
      <c r="AQ412" s="1"/>
      <c r="AR412" s="1"/>
    </row>
    <row r="413" customFormat="false" ht="13.8" hidden="false" customHeight="false" outlineLevel="0" collapsed="false">
      <c r="A413" s="1" t="s">
        <v>551</v>
      </c>
      <c r="B413" s="1" t="n">
        <v>480</v>
      </c>
      <c r="C413" s="1" t="s">
        <v>547</v>
      </c>
      <c r="D413" s="1" t="s">
        <v>42</v>
      </c>
      <c r="E413" s="1" t="s">
        <v>548</v>
      </c>
      <c r="F413" s="13" t="n">
        <v>16</v>
      </c>
      <c r="G413" s="1" t="n">
        <v>1</v>
      </c>
      <c r="H413" s="1" t="n">
        <v>9</v>
      </c>
      <c r="I413" s="8" t="n">
        <v>828837</v>
      </c>
      <c r="J413" s="1" t="n">
        <v>2</v>
      </c>
      <c r="K413" s="1" t="s">
        <v>120</v>
      </c>
      <c r="L413" s="1" t="n">
        <v>5</v>
      </c>
      <c r="M413" s="1" t="n">
        <v>1</v>
      </c>
      <c r="O413" s="1" t="n">
        <v>1</v>
      </c>
      <c r="P413" s="1" t="n">
        <f aca="false">SUM(M413:O413)</f>
        <v>2</v>
      </c>
      <c r="Q413" s="1" t="n">
        <v>8</v>
      </c>
      <c r="W413" s="1" t="n">
        <f aca="false">SUM(Q413:V413)</f>
        <v>8</v>
      </c>
      <c r="Z413" s="9" t="n">
        <f aca="false">(Q413)*(1+(J413)*0.2)</f>
        <v>11.2</v>
      </c>
      <c r="AC413" s="9"/>
      <c r="AD413" s="9"/>
      <c r="AF413" s="9" t="n">
        <f aca="false">SUM(Z413:AE413)</f>
        <v>11.2</v>
      </c>
      <c r="AG413" s="10" t="s">
        <v>47</v>
      </c>
      <c r="AH413" s="11" t="n">
        <f aca="false">IF(AG413="yes",Z413*1.2,Z413)</f>
        <v>13.44</v>
      </c>
      <c r="AI413" s="11"/>
      <c r="AJ413" s="11"/>
      <c r="AK413" s="11"/>
      <c r="AL413" s="11"/>
      <c r="AM413" s="11"/>
      <c r="AN413" s="11" t="n">
        <f aca="false">SUM(AH413:AM413)</f>
        <v>13.44</v>
      </c>
      <c r="AO413" s="1"/>
      <c r="AP413" s="1"/>
      <c r="AQ413" s="1"/>
      <c r="AR413" s="1"/>
    </row>
    <row r="414" customFormat="false" ht="13.8" hidden="false" customHeight="false" outlineLevel="0" collapsed="false">
      <c r="A414" s="1" t="s">
        <v>552</v>
      </c>
      <c r="B414" s="1" t="n">
        <v>481</v>
      </c>
      <c r="C414" s="1" t="s">
        <v>547</v>
      </c>
      <c r="D414" s="1" t="s">
        <v>42</v>
      </c>
      <c r="E414" s="1" t="s">
        <v>548</v>
      </c>
      <c r="F414" s="1" t="n">
        <v>10</v>
      </c>
      <c r="G414" s="1" t="n">
        <v>1</v>
      </c>
      <c r="H414" s="1" t="n">
        <v>9</v>
      </c>
      <c r="I414" s="8" t="n">
        <v>1256626</v>
      </c>
      <c r="J414" s="1" t="n">
        <v>2</v>
      </c>
      <c r="K414" s="1" t="s">
        <v>44</v>
      </c>
      <c r="L414" s="1" t="n">
        <v>2</v>
      </c>
      <c r="N414" s="1" t="n">
        <v>1</v>
      </c>
      <c r="P414" s="1" t="n">
        <f aca="false">SUM(M414:O414)</f>
        <v>1</v>
      </c>
      <c r="W414" s="1" t="n">
        <f aca="false">SUM(Q414:V414)</f>
        <v>0</v>
      </c>
      <c r="Y414" s="1" t="n">
        <v>3</v>
      </c>
      <c r="AE414" s="20"/>
      <c r="AF414" s="9" t="n">
        <f aca="false">SUM(Z414:AE414)</f>
        <v>0</v>
      </c>
      <c r="AG414" s="10"/>
      <c r="AH414" s="11"/>
      <c r="AI414" s="11"/>
      <c r="AJ414" s="11"/>
      <c r="AK414" s="11"/>
      <c r="AL414" s="11"/>
      <c r="AM414" s="11"/>
      <c r="AN414" s="11" t="n">
        <f aca="false">SUM(AH414:AM414)</f>
        <v>0</v>
      </c>
      <c r="AO414" s="1"/>
      <c r="AP414" s="1"/>
      <c r="AQ414" s="1"/>
      <c r="AR414" s="1"/>
    </row>
    <row r="415" customFormat="false" ht="13.8" hidden="false" customHeight="false" outlineLevel="0" collapsed="false">
      <c r="A415" s="1" t="s">
        <v>553</v>
      </c>
      <c r="B415" s="1" t="n">
        <v>485</v>
      </c>
      <c r="C415" s="1" t="s">
        <v>547</v>
      </c>
      <c r="D415" s="1" t="s">
        <v>42</v>
      </c>
      <c r="E415" s="1" t="s">
        <v>548</v>
      </c>
      <c r="F415" s="1" t="n">
        <v>9</v>
      </c>
      <c r="G415" s="1" t="n">
        <v>1</v>
      </c>
      <c r="H415" s="1" t="n">
        <v>5</v>
      </c>
      <c r="I415" s="8" t="n">
        <v>1600262</v>
      </c>
      <c r="J415" s="1" t="n">
        <v>2</v>
      </c>
      <c r="K415" s="1" t="s">
        <v>44</v>
      </c>
      <c r="L415" s="1" t="n">
        <v>2</v>
      </c>
      <c r="O415" s="1" t="n">
        <v>1</v>
      </c>
      <c r="P415" s="1" t="n">
        <f aca="false">SUM(M415:O415)</f>
        <v>1</v>
      </c>
      <c r="U415" s="1" t="n">
        <v>4</v>
      </c>
      <c r="W415" s="1" t="n">
        <f aca="false">SUM(Q415:V415)</f>
        <v>4</v>
      </c>
      <c r="Y415" s="1" t="n">
        <v>3</v>
      </c>
      <c r="AD415" s="9" t="n">
        <f aca="false">(U415)*(1+(J415)*0.2)</f>
        <v>5.6</v>
      </c>
      <c r="AF415" s="9" t="n">
        <f aca="false">SUM(Z415:AE415)</f>
        <v>5.6</v>
      </c>
      <c r="AG415" s="10" t="s">
        <v>47</v>
      </c>
      <c r="AH415" s="11"/>
      <c r="AI415" s="11"/>
      <c r="AJ415" s="11"/>
      <c r="AK415" s="11"/>
      <c r="AL415" s="11" t="n">
        <f aca="false">IF(AG415="yes",AD415*1.2,AD415)</f>
        <v>6.72</v>
      </c>
      <c r="AM415" s="11"/>
      <c r="AN415" s="11" t="n">
        <f aca="false">SUM(AH415:AM415)</f>
        <v>6.72</v>
      </c>
      <c r="AO415" s="1"/>
      <c r="AP415" s="1"/>
      <c r="AQ415" s="1"/>
      <c r="AR415" s="1"/>
    </row>
    <row r="416" customFormat="false" ht="13.8" hidden="false" customHeight="false" outlineLevel="0" collapsed="false">
      <c r="A416" s="1" t="s">
        <v>554</v>
      </c>
      <c r="B416" s="1" t="n">
        <v>478</v>
      </c>
      <c r="C416" s="1" t="s">
        <v>547</v>
      </c>
      <c r="D416" s="1" t="s">
        <v>42</v>
      </c>
      <c r="E416" s="1" t="s">
        <v>548</v>
      </c>
      <c r="F416" s="1" t="n">
        <v>16</v>
      </c>
      <c r="G416" s="1" t="n">
        <v>1</v>
      </c>
      <c r="H416" s="1" t="n">
        <v>6</v>
      </c>
      <c r="I416" s="8" t="n">
        <v>2473891</v>
      </c>
      <c r="J416" s="1" t="n">
        <v>2</v>
      </c>
      <c r="K416" s="1" t="s">
        <v>46</v>
      </c>
      <c r="L416" s="1" t="n">
        <v>4</v>
      </c>
      <c r="O416" s="1" t="n">
        <v>1</v>
      </c>
      <c r="P416" s="1" t="n">
        <f aca="false">SUM(M416:O416)</f>
        <v>1</v>
      </c>
      <c r="T416" s="1" t="n">
        <v>8</v>
      </c>
      <c r="W416" s="1" t="n">
        <f aca="false">SUM(Q416:V416)</f>
        <v>8</v>
      </c>
      <c r="AC416" s="9" t="n">
        <f aca="false">(T416)*(1+(J416)*0.2)</f>
        <v>11.2</v>
      </c>
      <c r="AF416" s="9" t="n">
        <f aca="false">SUM(Z416:AE416)</f>
        <v>11.2</v>
      </c>
      <c r="AG416" s="10" t="s">
        <v>47</v>
      </c>
      <c r="AH416" s="11"/>
      <c r="AI416" s="11"/>
      <c r="AJ416" s="11"/>
      <c r="AK416" s="11" t="n">
        <f aca="false">IF(AG416="yes",AC416*1.2,AC416)</f>
        <v>13.44</v>
      </c>
      <c r="AL416" s="11"/>
      <c r="AM416" s="11"/>
      <c r="AN416" s="11" t="n">
        <f aca="false">SUM(AH416:AM416)</f>
        <v>13.44</v>
      </c>
      <c r="AO416" s="1"/>
      <c r="AP416" s="1"/>
      <c r="AQ416" s="1"/>
      <c r="AR416" s="1"/>
    </row>
    <row r="417" customFormat="false" ht="13.8" hidden="false" customHeight="false" outlineLevel="0" collapsed="false">
      <c r="A417" s="1" t="s">
        <v>555</v>
      </c>
      <c r="B417" s="1" t="n">
        <v>277</v>
      </c>
      <c r="C417" s="1" t="s">
        <v>547</v>
      </c>
      <c r="D417" s="1" t="s">
        <v>42</v>
      </c>
      <c r="E417" s="1" t="s">
        <v>548</v>
      </c>
      <c r="F417" s="1" t="n">
        <v>35</v>
      </c>
      <c r="G417" s="1" t="n">
        <v>1</v>
      </c>
      <c r="H417" s="1" t="n">
        <v>5</v>
      </c>
      <c r="I417" s="8" t="n">
        <v>3428583</v>
      </c>
      <c r="J417" s="1" t="n">
        <v>3</v>
      </c>
      <c r="K417" s="1" t="s">
        <v>96</v>
      </c>
      <c r="L417" s="1" t="n">
        <v>6</v>
      </c>
      <c r="M417" s="1" t="n">
        <v>2</v>
      </c>
      <c r="O417" s="1" t="n">
        <v>4</v>
      </c>
      <c r="P417" s="1" t="n">
        <f aca="false">SUM(M417:O417)</f>
        <v>6</v>
      </c>
      <c r="U417" s="1" t="n">
        <v>6</v>
      </c>
      <c r="W417" s="1" t="n">
        <f aca="false">SUM(Q417:V417)</f>
        <v>6</v>
      </c>
      <c r="X417" s="1" t="n">
        <v>3</v>
      </c>
      <c r="AD417" s="9" t="n">
        <f aca="false">(U417)*(1+(J417)*0.2)</f>
        <v>9.6</v>
      </c>
      <c r="AF417" s="9" t="n">
        <f aca="false">SUM(Z417:AE417)</f>
        <v>9.6</v>
      </c>
      <c r="AG417" s="10" t="s">
        <v>47</v>
      </c>
      <c r="AH417" s="11"/>
      <c r="AI417" s="11"/>
      <c r="AJ417" s="11"/>
      <c r="AK417" s="11"/>
      <c r="AL417" s="11" t="n">
        <f aca="false">IF(AG417="yes",AD417*1.2,AD417)</f>
        <v>11.52</v>
      </c>
      <c r="AM417" s="11"/>
      <c r="AN417" s="11" t="n">
        <f aca="false">SUM(AH417:AM417)</f>
        <v>11.52</v>
      </c>
      <c r="AO417" s="1"/>
      <c r="AP417" s="1"/>
      <c r="AQ417" s="1"/>
      <c r="AR417" s="1"/>
    </row>
    <row r="418" customFormat="false" ht="13.8" hidden="false" customHeight="false" outlineLevel="0" collapsed="false">
      <c r="A418" s="1" t="s">
        <v>556</v>
      </c>
      <c r="B418" s="1" t="n">
        <v>476</v>
      </c>
      <c r="C418" s="1" t="s">
        <v>547</v>
      </c>
      <c r="D418" s="1" t="s">
        <v>42</v>
      </c>
      <c r="E418" s="1" t="s">
        <v>548</v>
      </c>
      <c r="F418" s="1" t="n">
        <v>4</v>
      </c>
      <c r="G418" s="1" t="n">
        <v>1</v>
      </c>
      <c r="H418" s="1" t="n">
        <v>5</v>
      </c>
      <c r="I418" s="8" t="n">
        <v>1665361</v>
      </c>
      <c r="J418" s="1" t="n">
        <v>2</v>
      </c>
      <c r="K418" s="1" t="s">
        <v>44</v>
      </c>
      <c r="L418" s="1" t="n">
        <v>2</v>
      </c>
      <c r="P418" s="1" t="n">
        <f aca="false">SUM(M418:O418)</f>
        <v>0</v>
      </c>
      <c r="Q418" s="1" t="n">
        <v>8</v>
      </c>
      <c r="W418" s="1" t="n">
        <f aca="false">SUM(Q418:V418)</f>
        <v>8</v>
      </c>
      <c r="X418" s="1" t="n">
        <v>2</v>
      </c>
      <c r="Y418" s="1" t="n">
        <v>2</v>
      </c>
      <c r="Z418" s="9" t="n">
        <f aca="false">(Q418)*(1+(J418)*0.2)</f>
        <v>11.2</v>
      </c>
      <c r="AF418" s="9" t="n">
        <f aca="false">SUM(Z418:AE418)</f>
        <v>11.2</v>
      </c>
      <c r="AG418" s="10" t="s">
        <v>47</v>
      </c>
      <c r="AH418" s="11" t="n">
        <f aca="false">IF(AG418="yes",Z418*1.2,Z418)</f>
        <v>13.44</v>
      </c>
      <c r="AI418" s="11"/>
      <c r="AJ418" s="11"/>
      <c r="AK418" s="11"/>
      <c r="AL418" s="11"/>
      <c r="AM418" s="11"/>
      <c r="AN418" s="11" t="n">
        <f aca="false">SUM(AH418:AM418)</f>
        <v>13.44</v>
      </c>
      <c r="AO418" s="1"/>
      <c r="AP418" s="1"/>
      <c r="AQ418" s="1"/>
      <c r="AR418" s="1"/>
    </row>
    <row r="419" customFormat="false" ht="13.8" hidden="false" customHeight="false" outlineLevel="0" collapsed="false">
      <c r="A419" s="1" t="s">
        <v>557</v>
      </c>
      <c r="B419" s="1" t="n">
        <v>483</v>
      </c>
      <c r="C419" s="1" t="s">
        <v>547</v>
      </c>
      <c r="D419" s="1" t="s">
        <v>42</v>
      </c>
      <c r="E419" s="1" t="s">
        <v>548</v>
      </c>
      <c r="F419" s="1" t="n">
        <v>5</v>
      </c>
      <c r="G419" s="1" t="n">
        <v>1</v>
      </c>
      <c r="H419" s="1" t="n">
        <v>10</v>
      </c>
      <c r="I419" s="8" t="n">
        <v>304358</v>
      </c>
      <c r="J419" s="1" t="n">
        <v>2</v>
      </c>
      <c r="K419" s="1" t="s">
        <v>44</v>
      </c>
      <c r="L419" s="1" t="n">
        <v>2</v>
      </c>
      <c r="P419" s="1" t="n">
        <f aca="false">SUM(M419:O419)</f>
        <v>0</v>
      </c>
      <c r="W419" s="1" t="n">
        <f aca="false">SUM(Q419:V419)</f>
        <v>0</v>
      </c>
      <c r="Y419" s="1" t="n">
        <v>3</v>
      </c>
      <c r="AF419" s="9" t="n">
        <f aca="false">SUM(Z419:AE419)</f>
        <v>0</v>
      </c>
      <c r="AG419" s="10"/>
      <c r="AH419" s="11"/>
      <c r="AI419" s="11"/>
      <c r="AJ419" s="11"/>
      <c r="AK419" s="11"/>
      <c r="AL419" s="11"/>
      <c r="AM419" s="11"/>
      <c r="AN419" s="11" t="n">
        <f aca="false">SUM(AH419:AM419)</f>
        <v>0</v>
      </c>
      <c r="AO419" s="1"/>
      <c r="AP419" s="1"/>
      <c r="AQ419" s="1"/>
      <c r="AR419" s="1"/>
    </row>
    <row r="420" customFormat="false" ht="13.8" hidden="false" customHeight="false" outlineLevel="0" collapsed="false">
      <c r="A420" s="1" t="s">
        <v>558</v>
      </c>
      <c r="B420" s="1" t="n">
        <v>479</v>
      </c>
      <c r="C420" s="1" t="s">
        <v>547</v>
      </c>
      <c r="D420" s="1" t="s">
        <v>42</v>
      </c>
      <c r="E420" s="1" t="s">
        <v>548</v>
      </c>
      <c r="F420" s="1" t="n">
        <v>15</v>
      </c>
      <c r="G420" s="1" t="n">
        <v>1</v>
      </c>
      <c r="H420" s="1" t="n">
        <v>7</v>
      </c>
      <c r="I420" s="8" t="n">
        <v>1034249</v>
      </c>
      <c r="J420" s="1" t="n">
        <v>2</v>
      </c>
      <c r="K420" s="1" t="s">
        <v>46</v>
      </c>
      <c r="L420" s="1" t="n">
        <v>4</v>
      </c>
      <c r="O420" s="1" t="n">
        <v>1</v>
      </c>
      <c r="P420" s="1" t="n">
        <f aca="false">SUM(M420:O420)</f>
        <v>1</v>
      </c>
      <c r="Q420" s="1" t="n">
        <v>9</v>
      </c>
      <c r="W420" s="1" t="n">
        <f aca="false">SUM(Q420:V420)</f>
        <v>9</v>
      </c>
      <c r="Z420" s="9" t="n">
        <f aca="false">(Q420)*(1+(J420)*0.2)</f>
        <v>12.6</v>
      </c>
      <c r="AE420" s="20"/>
      <c r="AF420" s="9" t="n">
        <f aca="false">SUM(Z420:AE420)</f>
        <v>12.6</v>
      </c>
      <c r="AG420" s="10" t="s">
        <v>47</v>
      </c>
      <c r="AH420" s="11" t="n">
        <f aca="false">IF(AG420="yes",Z420*1.2,Z420)</f>
        <v>15.12</v>
      </c>
      <c r="AI420" s="11"/>
      <c r="AJ420" s="11"/>
      <c r="AK420" s="11"/>
      <c r="AL420" s="11"/>
      <c r="AM420" s="11"/>
      <c r="AN420" s="11" t="n">
        <f aca="false">SUM(AH420:AM420)</f>
        <v>15.12</v>
      </c>
      <c r="AO420" s="1"/>
      <c r="AP420" s="1"/>
      <c r="AQ420" s="1"/>
      <c r="AR420" s="1"/>
    </row>
    <row r="421" customFormat="false" ht="13.8" hidden="false" customHeight="false" outlineLevel="0" collapsed="false">
      <c r="A421" s="1" t="s">
        <v>559</v>
      </c>
      <c r="B421" s="1" t="n">
        <v>477</v>
      </c>
      <c r="C421" s="1" t="s">
        <v>547</v>
      </c>
      <c r="D421" s="1" t="s">
        <v>42</v>
      </c>
      <c r="E421" s="1" t="s">
        <v>548</v>
      </c>
      <c r="F421" s="1" t="n">
        <v>15</v>
      </c>
      <c r="G421" s="1" t="n">
        <v>1</v>
      </c>
      <c r="H421" s="1" t="n">
        <v>4</v>
      </c>
      <c r="I421" s="8" t="n">
        <v>1953842</v>
      </c>
      <c r="J421" s="1" t="n">
        <v>2</v>
      </c>
      <c r="K421" s="1" t="s">
        <v>46</v>
      </c>
      <c r="L421" s="1" t="n">
        <v>4</v>
      </c>
      <c r="N421" s="1" t="n">
        <v>1</v>
      </c>
      <c r="P421" s="1" t="n">
        <f aca="false">SUM(M421:O421)</f>
        <v>1</v>
      </c>
      <c r="Q421" s="1" t="n">
        <v>9</v>
      </c>
      <c r="W421" s="1" t="n">
        <f aca="false">SUM(Q421:V421)</f>
        <v>9</v>
      </c>
      <c r="Y421" s="1" t="n">
        <v>3</v>
      </c>
      <c r="Z421" s="9" t="n">
        <f aca="false">(Q421)*(1+(J421)*0.2)</f>
        <v>12.6</v>
      </c>
      <c r="AE421" s="20"/>
      <c r="AF421" s="9" t="n">
        <f aca="false">SUM(Z421:AE421)</f>
        <v>12.6</v>
      </c>
      <c r="AG421" s="10" t="s">
        <v>47</v>
      </c>
      <c r="AH421" s="11" t="n">
        <f aca="false">IF(AG421="yes",Z421*1.2,Z421)</f>
        <v>15.12</v>
      </c>
      <c r="AI421" s="11"/>
      <c r="AJ421" s="11"/>
      <c r="AK421" s="11"/>
      <c r="AL421" s="11"/>
      <c r="AM421" s="11"/>
      <c r="AN421" s="11" t="n">
        <f aca="false">SUM(AH421:AM421)</f>
        <v>15.12</v>
      </c>
      <c r="AO421" s="1"/>
      <c r="AP421" s="1"/>
      <c r="AQ421" s="1"/>
      <c r="AR421" s="1"/>
    </row>
    <row r="422" customFormat="false" ht="13.8" hidden="false" customHeight="false" outlineLevel="0" collapsed="false">
      <c r="A422" s="1" t="s">
        <v>560</v>
      </c>
      <c r="B422" s="1" t="n">
        <v>474</v>
      </c>
      <c r="C422" s="1" t="s">
        <v>547</v>
      </c>
      <c r="D422" s="1" t="s">
        <v>42</v>
      </c>
      <c r="E422" s="1" t="s">
        <v>548</v>
      </c>
      <c r="F422" s="13" t="n">
        <v>4</v>
      </c>
      <c r="G422" s="1" t="n">
        <v>1</v>
      </c>
      <c r="H422" s="1" t="n">
        <v>3</v>
      </c>
      <c r="I422" s="8" t="n">
        <v>440826</v>
      </c>
      <c r="J422" s="1" t="n">
        <v>2</v>
      </c>
      <c r="K422" s="1" t="s">
        <v>44</v>
      </c>
      <c r="L422" s="1" t="n">
        <v>2</v>
      </c>
      <c r="P422" s="1" t="n">
        <f aca="false">SUM(M422:O422)</f>
        <v>0</v>
      </c>
      <c r="W422" s="1" t="n">
        <f aca="false">SUM(Q422:V422)</f>
        <v>0</v>
      </c>
      <c r="X422" s="1" t="n">
        <v>1</v>
      </c>
      <c r="Y422" s="1" t="n">
        <v>5</v>
      </c>
      <c r="AF422" s="9" t="n">
        <f aca="false">SUM(Z422:AE422)</f>
        <v>0</v>
      </c>
      <c r="AG422" s="10"/>
      <c r="AH422" s="11"/>
      <c r="AI422" s="11"/>
      <c r="AJ422" s="11"/>
      <c r="AK422" s="11"/>
      <c r="AL422" s="11"/>
      <c r="AM422" s="11"/>
      <c r="AN422" s="11" t="n">
        <f aca="false">SUM(AH422:AM422)</f>
        <v>0</v>
      </c>
      <c r="AO422" s="1"/>
      <c r="AP422" s="1"/>
      <c r="AQ422" s="1"/>
      <c r="AR422" s="1"/>
    </row>
    <row r="423" customFormat="false" ht="13.8" hidden="false" customHeight="false" outlineLevel="0" collapsed="false">
      <c r="A423" s="1" t="s">
        <v>561</v>
      </c>
      <c r="B423" s="1" t="n">
        <v>819</v>
      </c>
      <c r="C423" s="1" t="s">
        <v>562</v>
      </c>
      <c r="D423" s="1" t="s">
        <v>42</v>
      </c>
      <c r="E423" s="1" t="s">
        <v>563</v>
      </c>
      <c r="F423" s="1" t="n">
        <v>1</v>
      </c>
      <c r="G423" s="1" t="n">
        <v>1</v>
      </c>
      <c r="H423" s="1" t="n">
        <v>13</v>
      </c>
      <c r="I423" s="8" t="n">
        <v>88358</v>
      </c>
      <c r="J423" s="1" t="n">
        <v>1</v>
      </c>
      <c r="K423" s="1" t="s">
        <v>51</v>
      </c>
      <c r="L423" s="1" t="n">
        <v>1</v>
      </c>
      <c r="P423" s="1" t="n">
        <f aca="false">SUM(M423:O423)</f>
        <v>0</v>
      </c>
      <c r="W423" s="1" t="n">
        <f aca="false">SUM(Q423:V423)</f>
        <v>0</v>
      </c>
      <c r="Z423" s="12"/>
      <c r="AF423" s="9" t="n">
        <f aca="false">SUM(Z423:AE423)</f>
        <v>0</v>
      </c>
      <c r="AG423" s="10"/>
      <c r="AH423" s="11"/>
      <c r="AI423" s="11"/>
      <c r="AJ423" s="11"/>
      <c r="AK423" s="11"/>
      <c r="AL423" s="11"/>
      <c r="AM423" s="11"/>
      <c r="AN423" s="11" t="n">
        <f aca="false">SUM(AH423:AM423)</f>
        <v>0</v>
      </c>
      <c r="AO423" s="1"/>
      <c r="AP423" s="1"/>
      <c r="AQ423" s="1"/>
      <c r="AR423" s="1"/>
    </row>
    <row r="424" customFormat="false" ht="13.8" hidden="false" customHeight="false" outlineLevel="0" collapsed="false">
      <c r="A424" s="1" t="s">
        <v>564</v>
      </c>
      <c r="B424" s="1" t="n">
        <v>817</v>
      </c>
      <c r="C424" s="1" t="s">
        <v>562</v>
      </c>
      <c r="D424" s="1" t="s">
        <v>42</v>
      </c>
      <c r="E424" s="1" t="s">
        <v>563</v>
      </c>
      <c r="F424" s="1" t="n">
        <v>1</v>
      </c>
      <c r="G424" s="1" t="n">
        <v>1</v>
      </c>
      <c r="H424" s="1" t="n">
        <v>29</v>
      </c>
      <c r="I424" s="8" t="n">
        <v>11013</v>
      </c>
      <c r="J424" s="1" t="n">
        <v>1</v>
      </c>
      <c r="K424" s="1" t="s">
        <v>76</v>
      </c>
      <c r="L424" s="1" t="n">
        <v>0</v>
      </c>
      <c r="P424" s="1" t="n">
        <f aca="false">SUM(M424:O424)</f>
        <v>0</v>
      </c>
      <c r="W424" s="1" t="n">
        <f aca="false">SUM(Q424:V424)</f>
        <v>0</v>
      </c>
      <c r="Z424" s="12"/>
      <c r="AF424" s="9" t="n">
        <f aca="false">SUM(Z424:AE424)</f>
        <v>0</v>
      </c>
      <c r="AG424" s="10"/>
      <c r="AH424" s="11"/>
      <c r="AI424" s="11"/>
      <c r="AJ424" s="11"/>
      <c r="AK424" s="11"/>
      <c r="AL424" s="11"/>
      <c r="AM424" s="11"/>
      <c r="AN424" s="11" t="n">
        <f aca="false">SUM(AH424:AM424)</f>
        <v>0</v>
      </c>
      <c r="AO424" s="1"/>
      <c r="AP424" s="1"/>
      <c r="AQ424" s="1"/>
      <c r="AR424" s="1"/>
    </row>
    <row r="425" customFormat="false" ht="13.8" hidden="false" customHeight="false" outlineLevel="0" collapsed="false">
      <c r="A425" s="1" t="s">
        <v>565</v>
      </c>
      <c r="B425" s="1" t="n">
        <v>818</v>
      </c>
      <c r="C425" s="1" t="s">
        <v>562</v>
      </c>
      <c r="D425" s="1" t="s">
        <v>42</v>
      </c>
      <c r="E425" s="1" t="s">
        <v>563</v>
      </c>
      <c r="F425" s="1" t="n">
        <v>1</v>
      </c>
      <c r="G425" s="1" t="n">
        <v>1</v>
      </c>
      <c r="H425" s="1" t="n">
        <v>12</v>
      </c>
      <c r="I425" s="8" t="n">
        <v>149182</v>
      </c>
      <c r="J425" s="1" t="n">
        <v>1</v>
      </c>
      <c r="K425" s="1" t="s">
        <v>51</v>
      </c>
      <c r="L425" s="1" t="n">
        <v>1</v>
      </c>
      <c r="P425" s="1" t="n">
        <f aca="false">SUM(M425:O425)</f>
        <v>0</v>
      </c>
      <c r="W425" s="1" t="n">
        <f aca="false">SUM(Q425:V425)</f>
        <v>0</v>
      </c>
      <c r="Z425" s="12"/>
      <c r="AF425" s="9" t="n">
        <f aca="false">SUM(Z425:AE425)</f>
        <v>0</v>
      </c>
      <c r="AG425" s="10"/>
      <c r="AH425" s="11"/>
      <c r="AI425" s="11"/>
      <c r="AJ425" s="11"/>
      <c r="AK425" s="11"/>
      <c r="AL425" s="11"/>
      <c r="AM425" s="11"/>
      <c r="AN425" s="11" t="n">
        <f aca="false">SUM(AH425:AM425)</f>
        <v>0</v>
      </c>
      <c r="AO425" s="1"/>
      <c r="AP425" s="1"/>
      <c r="AQ425" s="1"/>
      <c r="AR425" s="1"/>
    </row>
    <row r="426" customFormat="false" ht="13.8" hidden="false" customHeight="false" outlineLevel="0" collapsed="false">
      <c r="A426" s="1" t="s">
        <v>566</v>
      </c>
      <c r="B426" s="1" t="n">
        <v>820</v>
      </c>
      <c r="C426" s="1" t="s">
        <v>562</v>
      </c>
      <c r="D426" s="1" t="s">
        <v>42</v>
      </c>
      <c r="E426" s="1" t="s">
        <v>563</v>
      </c>
      <c r="F426" s="1" t="n">
        <v>3</v>
      </c>
      <c r="G426" s="1" t="n">
        <v>1</v>
      </c>
      <c r="H426" s="1" t="n">
        <v>8</v>
      </c>
      <c r="I426" s="8" t="n">
        <v>88308</v>
      </c>
      <c r="J426" s="1" t="n">
        <v>1</v>
      </c>
      <c r="K426" s="1" t="s">
        <v>51</v>
      </c>
      <c r="L426" s="1" t="n">
        <v>1</v>
      </c>
      <c r="P426" s="1" t="n">
        <f aca="false">SUM(M426:O426)</f>
        <v>0</v>
      </c>
      <c r="W426" s="1" t="n">
        <f aca="false">SUM(Q426:V426)</f>
        <v>0</v>
      </c>
      <c r="AF426" s="9" t="n">
        <f aca="false">SUM(Z426:AE426)</f>
        <v>0</v>
      </c>
      <c r="AG426" s="10"/>
      <c r="AH426" s="11"/>
      <c r="AI426" s="11"/>
      <c r="AJ426" s="11"/>
      <c r="AK426" s="11"/>
      <c r="AL426" s="11"/>
      <c r="AM426" s="11"/>
      <c r="AN426" s="11" t="n">
        <f aca="false">SUM(AH426:AM426)</f>
        <v>0</v>
      </c>
      <c r="AO426" s="1"/>
      <c r="AP426" s="1"/>
      <c r="AQ426" s="1"/>
      <c r="AR426" s="1"/>
    </row>
    <row r="427" customFormat="false" ht="13.8" hidden="false" customHeight="false" outlineLevel="0" collapsed="false">
      <c r="A427" s="1" t="s">
        <v>567</v>
      </c>
      <c r="B427" s="1" t="n">
        <v>330</v>
      </c>
      <c r="C427" s="1" t="s">
        <v>562</v>
      </c>
      <c r="D427" s="1" t="s">
        <v>42</v>
      </c>
      <c r="E427" s="1" t="s">
        <v>563</v>
      </c>
      <c r="F427" s="1" t="n">
        <v>11</v>
      </c>
      <c r="G427" s="1" t="n">
        <v>1</v>
      </c>
      <c r="H427" s="1" t="n">
        <v>14</v>
      </c>
      <c r="I427" s="8" t="n">
        <v>436082</v>
      </c>
      <c r="J427" s="1" t="n">
        <v>1</v>
      </c>
      <c r="K427" s="1" t="s">
        <v>120</v>
      </c>
      <c r="L427" s="1" t="n">
        <v>5</v>
      </c>
      <c r="M427" s="1" t="n">
        <v>1</v>
      </c>
      <c r="O427" s="1" t="n">
        <v>3</v>
      </c>
      <c r="P427" s="1" t="n">
        <f aca="false">SUM(M427:O427)</f>
        <v>4</v>
      </c>
      <c r="U427" s="1" t="n">
        <v>2</v>
      </c>
      <c r="V427" s="1" t="n">
        <v>3</v>
      </c>
      <c r="W427" s="1" t="n">
        <f aca="false">SUM(Q427:V427)</f>
        <v>5</v>
      </c>
      <c r="X427" s="1" t="n">
        <v>1</v>
      </c>
      <c r="AD427" s="9" t="n">
        <f aca="false">(U427)*(1+(J427)*0.2)</f>
        <v>2.4</v>
      </c>
      <c r="AE427" s="9" t="n">
        <f aca="false">(V427)*(1+(J427)*0.2)</f>
        <v>3.6</v>
      </c>
      <c r="AF427" s="9" t="n">
        <f aca="false">SUM(Z427:AE427)</f>
        <v>6</v>
      </c>
      <c r="AG427" s="10" t="s">
        <v>47</v>
      </c>
      <c r="AH427" s="11"/>
      <c r="AI427" s="11"/>
      <c r="AJ427" s="11"/>
      <c r="AK427" s="11"/>
      <c r="AL427" s="11" t="n">
        <f aca="false">IF(AG427="yes",AD427*1.2,AD427)</f>
        <v>2.88</v>
      </c>
      <c r="AM427" s="11" t="n">
        <f aca="false">IF(AG427="yes",AE427*1.2,AE427)</f>
        <v>4.32</v>
      </c>
      <c r="AN427" s="11" t="n">
        <f aca="false">SUM(AH427:AM427)</f>
        <v>7.2</v>
      </c>
      <c r="AO427" s="1"/>
      <c r="AP427" s="1"/>
      <c r="AQ427" s="1"/>
      <c r="AR427" s="1"/>
    </row>
    <row r="428" customFormat="false" ht="13.8" hidden="false" customHeight="false" outlineLevel="0" collapsed="false">
      <c r="A428" s="1" t="s">
        <v>568</v>
      </c>
      <c r="B428" s="1" t="n">
        <v>323</v>
      </c>
      <c r="C428" s="1" t="s">
        <v>569</v>
      </c>
      <c r="D428" s="1" t="s">
        <v>42</v>
      </c>
      <c r="E428" s="1" t="s">
        <v>568</v>
      </c>
      <c r="F428" s="1" t="n">
        <v>3</v>
      </c>
      <c r="G428" s="1" t="n">
        <v>1</v>
      </c>
      <c r="H428" s="1" t="n">
        <v>7</v>
      </c>
      <c r="I428" s="8" t="n">
        <v>5580595</v>
      </c>
      <c r="J428" s="1" t="n">
        <v>2</v>
      </c>
      <c r="K428" s="1" t="s">
        <v>46</v>
      </c>
      <c r="L428" s="1" t="n">
        <v>4</v>
      </c>
      <c r="M428" s="1" t="n">
        <v>1</v>
      </c>
      <c r="O428" s="1" t="n">
        <v>2</v>
      </c>
      <c r="P428" s="1" t="n">
        <f aca="false">SUM(M428:O428)</f>
        <v>3</v>
      </c>
      <c r="V428" s="1" t="n">
        <v>2</v>
      </c>
      <c r="W428" s="1" t="n">
        <f aca="false">SUM(Q428:V428)</f>
        <v>2</v>
      </c>
      <c r="AE428" s="9" t="n">
        <f aca="false">(V428)*(1+(J428)*0.2)</f>
        <v>2.8</v>
      </c>
      <c r="AF428" s="9" t="n">
        <f aca="false">SUM(Z428:AE428)</f>
        <v>2.8</v>
      </c>
      <c r="AG428" s="10" t="s">
        <v>47</v>
      </c>
      <c r="AH428" s="11"/>
      <c r="AI428" s="11"/>
      <c r="AJ428" s="11"/>
      <c r="AK428" s="11"/>
      <c r="AL428" s="11"/>
      <c r="AM428" s="11" t="n">
        <f aca="false">IF(AG428="yes",AE428*1.2,AE428)</f>
        <v>3.36</v>
      </c>
      <c r="AN428" s="11" t="n">
        <f aca="false">SUM(AH428:AM428)</f>
        <v>3.36</v>
      </c>
      <c r="AO428" s="1"/>
      <c r="AP428" s="1"/>
      <c r="AQ428" s="1"/>
      <c r="AR428" s="1"/>
    </row>
    <row r="429" customFormat="false" ht="13.8" hidden="false" customHeight="false" outlineLevel="0" collapsed="false">
      <c r="A429" s="1" t="s">
        <v>570</v>
      </c>
      <c r="B429" s="1" t="n">
        <v>35</v>
      </c>
      <c r="C429" s="1" t="s">
        <v>571</v>
      </c>
      <c r="D429" s="1" t="s">
        <v>42</v>
      </c>
      <c r="E429" s="1" t="s">
        <v>572</v>
      </c>
      <c r="F429" s="1" t="n">
        <v>9</v>
      </c>
      <c r="G429" s="1" t="n">
        <v>1</v>
      </c>
      <c r="H429" s="1" t="n">
        <v>7</v>
      </c>
      <c r="I429" s="8" t="n">
        <v>1450769</v>
      </c>
      <c r="J429" s="1" t="n">
        <v>3</v>
      </c>
      <c r="K429" s="1" t="s">
        <v>96</v>
      </c>
      <c r="L429" s="1" t="n">
        <v>6</v>
      </c>
      <c r="O429" s="1" t="n">
        <v>5</v>
      </c>
      <c r="P429" s="1" t="n">
        <f aca="false">SUM(M429:O429)</f>
        <v>5</v>
      </c>
      <c r="W429" s="1" t="n">
        <f aca="false">SUM(Q429:V429)</f>
        <v>0</v>
      </c>
      <c r="AF429" s="9" t="n">
        <f aca="false">SUM(Z429:AE429)</f>
        <v>0</v>
      </c>
      <c r="AG429" s="10"/>
      <c r="AH429" s="11"/>
      <c r="AI429" s="11"/>
      <c r="AJ429" s="11"/>
      <c r="AK429" s="11"/>
      <c r="AL429" s="11"/>
      <c r="AM429" s="11"/>
      <c r="AN429" s="11" t="n">
        <f aca="false">SUM(AH429:AM429)</f>
        <v>0</v>
      </c>
      <c r="AO429" s="1"/>
      <c r="AP429" s="1"/>
      <c r="AQ429" s="1"/>
      <c r="AR429" s="1"/>
    </row>
    <row r="430" customFormat="false" ht="13.8" hidden="false" customHeight="false" outlineLevel="0" collapsed="false">
      <c r="A430" s="1" t="s">
        <v>573</v>
      </c>
      <c r="B430" s="1" t="n">
        <v>695</v>
      </c>
      <c r="C430" s="1" t="s">
        <v>571</v>
      </c>
      <c r="D430" s="1" t="s">
        <v>73</v>
      </c>
      <c r="E430" s="1" t="s">
        <v>572</v>
      </c>
      <c r="F430" s="1" t="n">
        <v>1</v>
      </c>
      <c r="G430" s="1" t="n">
        <v>1</v>
      </c>
      <c r="H430" s="1" t="n">
        <v>1</v>
      </c>
      <c r="I430" s="8" t="n">
        <v>76392</v>
      </c>
      <c r="J430" s="1" t="n">
        <v>2</v>
      </c>
      <c r="K430" s="1" t="s">
        <v>44</v>
      </c>
      <c r="L430" s="1" t="n">
        <v>2</v>
      </c>
      <c r="P430" s="1" t="n">
        <f aca="false">SUM(M430:O430)</f>
        <v>0</v>
      </c>
      <c r="Q430" s="1" t="n">
        <v>35</v>
      </c>
      <c r="W430" s="1" t="n">
        <f aca="false">SUM(Q430:V430)</f>
        <v>35</v>
      </c>
      <c r="Y430" s="1" t="n">
        <v>1</v>
      </c>
      <c r="Z430" s="9" t="n">
        <f aca="false">(Q430)*(1+(J430)*0.2)</f>
        <v>49</v>
      </c>
      <c r="AF430" s="9" t="n">
        <f aca="false">SUM(Z430:AE430)</f>
        <v>49</v>
      </c>
      <c r="AG430" s="10" t="s">
        <v>47</v>
      </c>
      <c r="AH430" s="11" t="n">
        <f aca="false">IF(AG430="yes",Z430*1.2,Z430)</f>
        <v>58.8</v>
      </c>
      <c r="AI430" s="11"/>
      <c r="AJ430" s="11"/>
      <c r="AK430" s="11"/>
      <c r="AL430" s="11"/>
      <c r="AM430" s="11"/>
      <c r="AN430" s="11" t="n">
        <f aca="false">SUM(AH430:AM430)</f>
        <v>58.8</v>
      </c>
      <c r="AO430" s="1"/>
      <c r="AP430" s="1"/>
      <c r="AQ430" s="1"/>
      <c r="AR430" s="1"/>
    </row>
    <row r="431" customFormat="false" ht="13.8" hidden="false" customHeight="false" outlineLevel="0" collapsed="false">
      <c r="A431" s="1" t="s">
        <v>574</v>
      </c>
      <c r="B431" s="1" t="n">
        <v>36</v>
      </c>
      <c r="C431" s="1" t="s">
        <v>571</v>
      </c>
      <c r="D431" s="1" t="s">
        <v>42</v>
      </c>
      <c r="E431" s="1" t="s">
        <v>572</v>
      </c>
      <c r="F431" s="1" t="n">
        <v>10</v>
      </c>
      <c r="G431" s="1" t="n">
        <v>1</v>
      </c>
      <c r="H431" s="1" t="n">
        <v>9</v>
      </c>
      <c r="I431" s="8" t="n">
        <v>2366886</v>
      </c>
      <c r="J431" s="1" t="n">
        <v>2</v>
      </c>
      <c r="K431" s="1" t="s">
        <v>96</v>
      </c>
      <c r="L431" s="1" t="n">
        <v>6</v>
      </c>
      <c r="O431" s="1" t="n">
        <v>2</v>
      </c>
      <c r="P431" s="1" t="n">
        <f aca="false">SUM(M431:O431)</f>
        <v>2</v>
      </c>
      <c r="W431" s="1" t="n">
        <f aca="false">SUM(Q431:V431)</f>
        <v>0</v>
      </c>
      <c r="Y431" s="1" t="n">
        <v>3</v>
      </c>
      <c r="AF431" s="9" t="n">
        <f aca="false">SUM(Z431:AE431)</f>
        <v>0</v>
      </c>
      <c r="AG431" s="10"/>
      <c r="AH431" s="11"/>
      <c r="AI431" s="11"/>
      <c r="AJ431" s="11"/>
      <c r="AK431" s="11"/>
      <c r="AL431" s="11"/>
      <c r="AM431" s="11"/>
      <c r="AN431" s="11" t="n">
        <f aca="false">SUM(AH431:AM431)</f>
        <v>0</v>
      </c>
      <c r="AO431" s="1"/>
      <c r="AP431" s="1"/>
      <c r="AQ431" s="1"/>
      <c r="AR431" s="1"/>
    </row>
    <row r="432" customFormat="false" ht="13.8" hidden="false" customHeight="false" outlineLevel="0" collapsed="false">
      <c r="A432" s="1" t="s">
        <v>575</v>
      </c>
      <c r="B432" s="1" t="n">
        <v>7</v>
      </c>
      <c r="C432" s="1" t="s">
        <v>571</v>
      </c>
      <c r="D432" s="1" t="s">
        <v>42</v>
      </c>
      <c r="E432" s="1" t="s">
        <v>572</v>
      </c>
      <c r="F432" s="1" t="n">
        <v>70</v>
      </c>
      <c r="G432" s="1" t="n">
        <v>1</v>
      </c>
      <c r="H432" s="1" t="n">
        <v>5</v>
      </c>
      <c r="I432" s="8" t="n">
        <v>4128033</v>
      </c>
      <c r="J432" s="1" t="n">
        <v>3</v>
      </c>
      <c r="K432" s="1" t="s">
        <v>109</v>
      </c>
      <c r="L432" s="1" t="n">
        <v>10</v>
      </c>
      <c r="M432" s="1" t="n">
        <v>4</v>
      </c>
      <c r="N432" s="1" t="n">
        <v>3</v>
      </c>
      <c r="O432" s="1" t="n">
        <v>3</v>
      </c>
      <c r="P432" s="1" t="n">
        <f aca="false">SUM(M432:O432)</f>
        <v>10</v>
      </c>
      <c r="U432" s="1" t="n">
        <v>4</v>
      </c>
      <c r="W432" s="1" t="n">
        <f aca="false">SUM(Q432:V432)</f>
        <v>4</v>
      </c>
      <c r="X432" s="1" t="n">
        <v>5</v>
      </c>
      <c r="Y432" s="1" t="n">
        <v>15</v>
      </c>
      <c r="AD432" s="9" t="n">
        <f aca="false">(U432)*(1+(J432)*0.2)</f>
        <v>6.4</v>
      </c>
      <c r="AF432" s="9" t="n">
        <f aca="false">SUM(Z432:AE432)</f>
        <v>6.4</v>
      </c>
      <c r="AG432" s="10" t="s">
        <v>47</v>
      </c>
      <c r="AH432" s="11"/>
      <c r="AI432" s="11"/>
      <c r="AJ432" s="11"/>
      <c r="AK432" s="11"/>
      <c r="AL432" s="11" t="n">
        <f aca="false">IF(AG432="yes",AD432*1.2,AD432)</f>
        <v>7.68</v>
      </c>
      <c r="AM432" s="11"/>
      <c r="AN432" s="11" t="n">
        <f aca="false">SUM(AH432:AM432)</f>
        <v>7.68</v>
      </c>
      <c r="AO432" s="1"/>
      <c r="AP432" s="1"/>
      <c r="AQ432" s="1"/>
      <c r="AR432" s="1"/>
    </row>
    <row r="433" customFormat="false" ht="13.8" hidden="false" customHeight="false" outlineLevel="0" collapsed="false">
      <c r="A433" s="1" t="s">
        <v>576</v>
      </c>
      <c r="B433" s="1" t="n">
        <v>309</v>
      </c>
      <c r="C433" s="1" t="s">
        <v>571</v>
      </c>
      <c r="D433" s="1" t="s">
        <v>73</v>
      </c>
      <c r="E433" s="1" t="s">
        <v>572</v>
      </c>
      <c r="F433" s="1" t="n">
        <v>1</v>
      </c>
      <c r="G433" s="1" t="n">
        <v>1</v>
      </c>
      <c r="H433" s="1" t="n">
        <v>3</v>
      </c>
      <c r="I433" s="8" t="n">
        <v>152186</v>
      </c>
      <c r="J433" s="1" t="n">
        <v>2</v>
      </c>
      <c r="K433" s="1" t="s">
        <v>44</v>
      </c>
      <c r="L433" s="1" t="n">
        <v>2</v>
      </c>
      <c r="O433" s="1" t="n">
        <v>1</v>
      </c>
      <c r="P433" s="1" t="n">
        <f aca="false">SUM(M433:O433)</f>
        <v>1</v>
      </c>
      <c r="R433" s="1" t="n">
        <v>60</v>
      </c>
      <c r="W433" s="1" t="n">
        <f aca="false">SUM(Q433:V433)</f>
        <v>60</v>
      </c>
      <c r="Y433" s="1" t="n">
        <v>1</v>
      </c>
      <c r="AA433" s="9" t="n">
        <f aca="false">(R433)*(1+(J433)*0.2)</f>
        <v>84</v>
      </c>
      <c r="AF433" s="9" t="n">
        <f aca="false">SUM(Z433:AE433)</f>
        <v>84</v>
      </c>
      <c r="AG433" s="10" t="s">
        <v>47</v>
      </c>
      <c r="AH433" s="11"/>
      <c r="AI433" s="11" t="n">
        <f aca="false">IF(AG433="yes",AA433*1.2,AA433)</f>
        <v>100.8</v>
      </c>
      <c r="AJ433" s="11"/>
      <c r="AK433" s="11"/>
      <c r="AL433" s="11"/>
      <c r="AM433" s="11"/>
      <c r="AN433" s="11" t="n">
        <f aca="false">SUM(AH433:AM433)</f>
        <v>100.8</v>
      </c>
      <c r="AO433" s="1"/>
      <c r="AP433" s="1"/>
      <c r="AQ433" s="1"/>
      <c r="AR433" s="1"/>
    </row>
    <row r="434" customFormat="false" ht="13.8" hidden="false" customHeight="false" outlineLevel="0" collapsed="false">
      <c r="A434" s="1" t="s">
        <v>577</v>
      </c>
      <c r="B434" s="1" t="n">
        <v>284</v>
      </c>
      <c r="C434" s="1" t="s">
        <v>578</v>
      </c>
      <c r="D434" s="1" t="s">
        <v>42</v>
      </c>
      <c r="E434" s="1" t="s">
        <v>579</v>
      </c>
      <c r="F434" s="1" t="n">
        <v>15</v>
      </c>
      <c r="G434" s="1" t="n">
        <v>1</v>
      </c>
      <c r="H434" s="1" t="n">
        <v>24</v>
      </c>
      <c r="I434" s="8" t="n">
        <v>900934</v>
      </c>
      <c r="J434" s="1" t="n">
        <v>3</v>
      </c>
      <c r="K434" s="1" t="s">
        <v>96</v>
      </c>
      <c r="L434" s="1" t="n">
        <v>6</v>
      </c>
      <c r="M434" s="1" t="n">
        <v>1</v>
      </c>
      <c r="O434" s="1" t="n">
        <v>4</v>
      </c>
      <c r="P434" s="1" t="n">
        <f aca="false">SUM(M434:O434)</f>
        <v>5</v>
      </c>
      <c r="W434" s="1" t="n">
        <f aca="false">SUM(Q434:V434)</f>
        <v>0</v>
      </c>
      <c r="X434" s="1" t="n">
        <v>3</v>
      </c>
      <c r="Y434" s="1" t="n">
        <v>5</v>
      </c>
      <c r="AB434" s="9"/>
      <c r="AF434" s="9" t="n">
        <f aca="false">SUM(Z434:AE434)</f>
        <v>0</v>
      </c>
      <c r="AG434" s="10"/>
      <c r="AH434" s="11"/>
      <c r="AI434" s="11"/>
      <c r="AJ434" s="11"/>
      <c r="AK434" s="11"/>
      <c r="AL434" s="11"/>
      <c r="AM434" s="11"/>
      <c r="AN434" s="11" t="n">
        <f aca="false">SUM(AH434:AM434)</f>
        <v>0</v>
      </c>
      <c r="AO434" s="1"/>
      <c r="AP434" s="1"/>
      <c r="AQ434" s="1"/>
      <c r="AR434" s="1"/>
    </row>
    <row r="435" customFormat="false" ht="13.8" hidden="false" customHeight="false" outlineLevel="0" collapsed="false">
      <c r="A435" s="1" t="s">
        <v>580</v>
      </c>
      <c r="B435" s="1" t="n">
        <v>726</v>
      </c>
      <c r="C435" s="1" t="s">
        <v>578</v>
      </c>
      <c r="D435" s="1" t="s">
        <v>73</v>
      </c>
      <c r="E435" s="1" t="s">
        <v>579</v>
      </c>
      <c r="F435" s="1" t="n">
        <v>1</v>
      </c>
      <c r="G435" s="1" t="n">
        <v>1</v>
      </c>
      <c r="H435" s="1" t="n">
        <v>2</v>
      </c>
      <c r="I435" s="8" t="n">
        <v>123364</v>
      </c>
      <c r="J435" s="1" t="n">
        <v>2</v>
      </c>
      <c r="K435" s="1" t="s">
        <v>84</v>
      </c>
      <c r="L435" s="1" t="n">
        <v>1</v>
      </c>
      <c r="P435" s="1" t="n">
        <f aca="false">SUM(M435:O435)</f>
        <v>0</v>
      </c>
      <c r="W435" s="1" t="n">
        <f aca="false">SUM(Q435:V435)</f>
        <v>0</v>
      </c>
      <c r="Y435" s="1" t="n">
        <v>1</v>
      </c>
      <c r="AB435" s="9"/>
      <c r="AF435" s="9" t="n">
        <f aca="false">SUM(Z435:AE435)</f>
        <v>0</v>
      </c>
      <c r="AG435" s="10"/>
      <c r="AH435" s="11"/>
      <c r="AI435" s="11"/>
      <c r="AJ435" s="11"/>
      <c r="AK435" s="11"/>
      <c r="AL435" s="11"/>
      <c r="AM435" s="11"/>
      <c r="AN435" s="11" t="n">
        <f aca="false">SUM(AH435:AM435)</f>
        <v>0</v>
      </c>
      <c r="AO435" s="1"/>
      <c r="AP435" s="1"/>
      <c r="AQ435" s="1"/>
      <c r="AR435" s="1"/>
    </row>
    <row r="436" customFormat="false" ht="13.8" hidden="false" customHeight="false" outlineLevel="0" collapsed="false">
      <c r="A436" s="1" t="s">
        <v>581</v>
      </c>
      <c r="B436" s="1" t="n">
        <v>723</v>
      </c>
      <c r="C436" s="1" t="s">
        <v>578</v>
      </c>
      <c r="D436" s="1" t="s">
        <v>42</v>
      </c>
      <c r="E436" s="1" t="s">
        <v>579</v>
      </c>
      <c r="F436" s="1" t="n">
        <v>2</v>
      </c>
      <c r="G436" s="1" t="n">
        <v>1</v>
      </c>
      <c r="H436" s="1" t="n">
        <v>16</v>
      </c>
      <c r="I436" s="8" t="n">
        <v>547866</v>
      </c>
      <c r="J436" s="1" t="n">
        <v>3</v>
      </c>
      <c r="K436" s="1" t="s">
        <v>44</v>
      </c>
      <c r="L436" s="1" t="n">
        <v>2</v>
      </c>
      <c r="P436" s="1" t="n">
        <f aca="false">SUM(M436:O436)</f>
        <v>0</v>
      </c>
      <c r="T436" s="1" t="n">
        <v>4</v>
      </c>
      <c r="W436" s="1" t="n">
        <f aca="false">SUM(Q436:V436)</f>
        <v>4</v>
      </c>
      <c r="X436" s="1" t="n">
        <v>1</v>
      </c>
      <c r="Y436" s="1" t="n">
        <v>1</v>
      </c>
      <c r="AC436" s="9" t="n">
        <f aca="false">(T436)*(1+(J436)*0.2)</f>
        <v>6.4</v>
      </c>
      <c r="AF436" s="9" t="n">
        <f aca="false">SUM(Z436:AE436)</f>
        <v>6.4</v>
      </c>
      <c r="AG436" s="10" t="s">
        <v>47</v>
      </c>
      <c r="AH436" s="11"/>
      <c r="AI436" s="11"/>
      <c r="AJ436" s="11"/>
      <c r="AK436" s="11" t="n">
        <f aca="false">IF(AG436="yes",AC436*1.2,AC436)</f>
        <v>7.68</v>
      </c>
      <c r="AL436" s="11"/>
      <c r="AM436" s="11"/>
      <c r="AN436" s="11" t="n">
        <f aca="false">SUM(AH436:AM436)</f>
        <v>7.68</v>
      </c>
      <c r="AO436" s="1"/>
      <c r="AP436" s="1"/>
      <c r="AQ436" s="1"/>
      <c r="AR436" s="1"/>
    </row>
    <row r="437" customFormat="false" ht="13.8" hidden="false" customHeight="false" outlineLevel="0" collapsed="false">
      <c r="A437" s="1" t="s">
        <v>582</v>
      </c>
      <c r="B437" s="1" t="n">
        <v>317</v>
      </c>
      <c r="C437" s="1" t="s">
        <v>13</v>
      </c>
      <c r="D437" s="1" t="s">
        <v>42</v>
      </c>
      <c r="E437" s="1" t="s">
        <v>582</v>
      </c>
      <c r="F437" s="13" t="n">
        <v>4</v>
      </c>
      <c r="G437" s="1" t="n">
        <v>1</v>
      </c>
      <c r="H437" s="1" t="n">
        <v>6</v>
      </c>
      <c r="I437" s="8" t="n">
        <v>683834</v>
      </c>
      <c r="J437" s="1" t="n">
        <v>2</v>
      </c>
      <c r="K437" s="1" t="s">
        <v>46</v>
      </c>
      <c r="L437" s="1" t="n">
        <v>4</v>
      </c>
      <c r="M437" s="1" t="n">
        <v>1</v>
      </c>
      <c r="O437" s="1" t="n">
        <v>2</v>
      </c>
      <c r="P437" s="1" t="n">
        <f aca="false">SUM(M437:O437)</f>
        <v>3</v>
      </c>
      <c r="V437" s="1" t="n">
        <v>1</v>
      </c>
      <c r="W437" s="1" t="n">
        <f aca="false">SUM(Q437:V437)</f>
        <v>1</v>
      </c>
      <c r="X437" s="1" t="n">
        <v>1</v>
      </c>
      <c r="Y437" s="1" t="n">
        <v>1</v>
      </c>
      <c r="AE437" s="9" t="n">
        <f aca="false">(V437)*(1+(J437)*0.2)</f>
        <v>1.4</v>
      </c>
      <c r="AF437" s="9" t="n">
        <f aca="false">SUM(Z437:AE437)</f>
        <v>1.4</v>
      </c>
      <c r="AG437" s="10" t="s">
        <v>47</v>
      </c>
      <c r="AH437" s="11"/>
      <c r="AI437" s="11"/>
      <c r="AJ437" s="11"/>
      <c r="AK437" s="11"/>
      <c r="AL437" s="11"/>
      <c r="AM437" s="11" t="n">
        <f aca="false">IF(AG437="yes",AE437*1.2,AE437)</f>
        <v>1.68</v>
      </c>
      <c r="AN437" s="11" t="n">
        <f aca="false">SUM(AH437:AM437)</f>
        <v>1.68</v>
      </c>
      <c r="AO437" s="1"/>
      <c r="AP437" s="1"/>
      <c r="AQ437" s="1"/>
      <c r="AR437" s="1"/>
    </row>
    <row r="438" customFormat="false" ht="13.8" hidden="false" customHeight="false" outlineLevel="0" collapsed="false">
      <c r="A438" s="1" t="s">
        <v>583</v>
      </c>
      <c r="B438" s="1" t="n">
        <v>922</v>
      </c>
      <c r="C438" s="1" t="s">
        <v>584</v>
      </c>
      <c r="D438" s="1" t="s">
        <v>42</v>
      </c>
      <c r="E438" s="1" t="s">
        <v>585</v>
      </c>
      <c r="F438" s="1" t="n">
        <v>3</v>
      </c>
      <c r="G438" s="1" t="n">
        <v>1</v>
      </c>
      <c r="H438" s="1" t="n">
        <v>9</v>
      </c>
      <c r="I438" s="8" t="n">
        <v>396909</v>
      </c>
      <c r="J438" s="1" t="n">
        <v>3</v>
      </c>
      <c r="K438" s="1" t="s">
        <v>46</v>
      </c>
      <c r="L438" s="1" t="n">
        <v>4</v>
      </c>
      <c r="M438" s="1" t="n">
        <v>1</v>
      </c>
      <c r="N438" s="1" t="n">
        <v>1</v>
      </c>
      <c r="O438" s="1" t="n">
        <v>1</v>
      </c>
      <c r="P438" s="1" t="n">
        <f aca="false">SUM(M438:O438)</f>
        <v>3</v>
      </c>
      <c r="R438" s="1" t="n">
        <v>5</v>
      </c>
      <c r="W438" s="1" t="n">
        <f aca="false">SUM(Q438:V438)</f>
        <v>5</v>
      </c>
      <c r="Y438" s="1" t="n">
        <v>3</v>
      </c>
      <c r="AA438" s="9" t="n">
        <f aca="false">(R438)*(1+(J438)*0.2)</f>
        <v>8</v>
      </c>
      <c r="AD438" s="9"/>
      <c r="AE438" s="20"/>
      <c r="AF438" s="9" t="n">
        <f aca="false">SUM(Z438:AE438)</f>
        <v>8</v>
      </c>
      <c r="AG438" s="10" t="s">
        <v>47</v>
      </c>
      <c r="AH438" s="11"/>
      <c r="AI438" s="11" t="n">
        <f aca="false">IF(AG438="yes",AA438*1.2,AA438)</f>
        <v>9.6</v>
      </c>
      <c r="AJ438" s="11"/>
      <c r="AK438" s="11"/>
      <c r="AL438" s="11"/>
      <c r="AM438" s="11"/>
      <c r="AN438" s="11" t="n">
        <f aca="false">SUM(AH438:AM438)</f>
        <v>9.6</v>
      </c>
      <c r="AO438" s="1"/>
      <c r="AP438" s="1"/>
      <c r="AQ438" s="1"/>
      <c r="AR438" s="1"/>
    </row>
    <row r="439" customFormat="false" ht="13.8" hidden="false" customHeight="false" outlineLevel="0" collapsed="false">
      <c r="A439" s="1" t="s">
        <v>586</v>
      </c>
      <c r="B439" s="1" t="n">
        <v>925</v>
      </c>
      <c r="C439" s="1" t="s">
        <v>584</v>
      </c>
      <c r="D439" s="1" t="s">
        <v>42</v>
      </c>
      <c r="E439" s="1" t="s">
        <v>585</v>
      </c>
      <c r="F439" s="1" t="n">
        <v>1</v>
      </c>
      <c r="G439" s="1" t="n">
        <v>1</v>
      </c>
      <c r="H439" s="1" t="n">
        <v>20</v>
      </c>
      <c r="I439" s="8" t="n">
        <v>142273</v>
      </c>
      <c r="J439" s="1" t="n">
        <v>1</v>
      </c>
      <c r="K439" s="1" t="s">
        <v>51</v>
      </c>
      <c r="L439" s="1" t="n">
        <v>1</v>
      </c>
      <c r="P439" s="1" t="n">
        <f aca="false">SUM(M439:O439)</f>
        <v>0</v>
      </c>
      <c r="T439" s="1" t="n">
        <v>5</v>
      </c>
      <c r="W439" s="1" t="n">
        <f aca="false">SUM(Q439:V439)</f>
        <v>5</v>
      </c>
      <c r="Y439" s="1" t="n">
        <v>3</v>
      </c>
      <c r="AC439" s="9" t="n">
        <f aca="false">(T439)*(1+(J439)*0.2)</f>
        <v>6</v>
      </c>
      <c r="AE439" s="20"/>
      <c r="AF439" s="9" t="n">
        <f aca="false">SUM(Z439:AE439)</f>
        <v>6</v>
      </c>
      <c r="AG439" s="10" t="s">
        <v>47</v>
      </c>
      <c r="AH439" s="11"/>
      <c r="AI439" s="11"/>
      <c r="AJ439" s="11"/>
      <c r="AK439" s="11" t="n">
        <f aca="false">IF(AG439="yes",AC439*1.2,AC439)</f>
        <v>7.2</v>
      </c>
      <c r="AL439" s="11"/>
      <c r="AM439" s="11"/>
      <c r="AN439" s="11" t="n">
        <f aca="false">SUM(AH439:AM439)</f>
        <v>7.2</v>
      </c>
      <c r="AO439" s="1"/>
      <c r="AP439" s="1"/>
      <c r="AQ439" s="1"/>
      <c r="AR439" s="1"/>
    </row>
    <row r="440" customFormat="false" ht="13.8" hidden="false" customHeight="false" outlineLevel="0" collapsed="false">
      <c r="A440" s="1" t="s">
        <v>587</v>
      </c>
      <c r="B440" s="1" t="n">
        <v>923</v>
      </c>
      <c r="C440" s="1" t="s">
        <v>584</v>
      </c>
      <c r="D440" s="1" t="s">
        <v>42</v>
      </c>
      <c r="E440" s="1" t="s">
        <v>585</v>
      </c>
      <c r="F440" s="1" t="n">
        <v>1</v>
      </c>
      <c r="G440" s="1" t="n">
        <v>1</v>
      </c>
      <c r="H440" s="1" t="n">
        <v>8</v>
      </c>
      <c r="I440" s="8" t="n">
        <v>88920</v>
      </c>
      <c r="J440" s="1" t="n">
        <v>2</v>
      </c>
      <c r="K440" s="1" t="s">
        <v>44</v>
      </c>
      <c r="L440" s="1" t="n">
        <v>2</v>
      </c>
      <c r="P440" s="1" t="n">
        <f aca="false">SUM(M440:O440)</f>
        <v>0</v>
      </c>
      <c r="T440" s="1" t="n">
        <v>5</v>
      </c>
      <c r="U440" s="1" t="n">
        <v>3</v>
      </c>
      <c r="W440" s="1" t="n">
        <f aca="false">SUM(Q440:V440)</f>
        <v>8</v>
      </c>
      <c r="Z440" s="12"/>
      <c r="AC440" s="9" t="n">
        <f aca="false">(T440)*(1+(J440)*0.2)</f>
        <v>7</v>
      </c>
      <c r="AD440" s="9" t="n">
        <f aca="false">(U440)*(1+(J440)*0.2)</f>
        <v>4.2</v>
      </c>
      <c r="AF440" s="9" t="n">
        <f aca="false">SUM(Z440:AE440)</f>
        <v>11.2</v>
      </c>
      <c r="AG440" s="10" t="s">
        <v>53</v>
      </c>
      <c r="AH440" s="11"/>
      <c r="AI440" s="11"/>
      <c r="AJ440" s="11"/>
      <c r="AK440" s="11" t="n">
        <f aca="false">IF(AG440="yes",AC440*1.2,AC440)</f>
        <v>7</v>
      </c>
      <c r="AL440" s="11" t="n">
        <f aca="false">IF(AG440="yes",AD440*1.2,AD440)</f>
        <v>4.2</v>
      </c>
      <c r="AM440" s="11"/>
      <c r="AN440" s="11" t="n">
        <f aca="false">SUM(AH440:AM440)</f>
        <v>11.2</v>
      </c>
      <c r="AO440" s="1"/>
      <c r="AP440" s="1"/>
      <c r="AQ440" s="1"/>
      <c r="AR440" s="1"/>
    </row>
    <row r="441" customFormat="false" ht="13.8" hidden="false" customHeight="false" outlineLevel="0" collapsed="false">
      <c r="A441" s="1" t="s">
        <v>588</v>
      </c>
      <c r="B441" s="1" t="n">
        <v>914</v>
      </c>
      <c r="C441" s="1" t="s">
        <v>584</v>
      </c>
      <c r="D441" s="1" t="s">
        <v>42</v>
      </c>
      <c r="E441" s="1" t="s">
        <v>585</v>
      </c>
      <c r="G441" s="1" t="n">
        <v>1</v>
      </c>
      <c r="H441" s="1" t="n">
        <v>1</v>
      </c>
      <c r="I441" s="8" t="n">
        <v>10</v>
      </c>
      <c r="K441" s="1" t="s">
        <v>261</v>
      </c>
      <c r="L441" s="1" t="n">
        <v>0</v>
      </c>
      <c r="P441" s="1" t="n">
        <f aca="false">SUM(M441:O441)</f>
        <v>0</v>
      </c>
      <c r="W441" s="1" t="n">
        <f aca="false">SUM(Q441:V441)</f>
        <v>0</v>
      </c>
      <c r="Y441" s="1" t="n">
        <v>1</v>
      </c>
      <c r="AF441" s="9" t="n">
        <f aca="false">SUM(Z441:AE441)</f>
        <v>0</v>
      </c>
      <c r="AG441" s="10"/>
      <c r="AH441" s="11"/>
      <c r="AI441" s="11"/>
      <c r="AJ441" s="11"/>
      <c r="AK441" s="11"/>
      <c r="AL441" s="11"/>
      <c r="AM441" s="11"/>
      <c r="AN441" s="11" t="n">
        <f aca="false">SUM(AH441:AM441)</f>
        <v>0</v>
      </c>
      <c r="AO441" s="1"/>
      <c r="AP441" s="1"/>
      <c r="AQ441" s="1"/>
      <c r="AR441" s="1"/>
    </row>
    <row r="442" customFormat="false" ht="13.8" hidden="false" customHeight="false" outlineLevel="0" collapsed="false">
      <c r="A442" s="1" t="s">
        <v>589</v>
      </c>
      <c r="B442" s="1" t="n">
        <v>144</v>
      </c>
      <c r="C442" s="1" t="s">
        <v>584</v>
      </c>
      <c r="D442" s="1" t="s">
        <v>42</v>
      </c>
      <c r="E442" s="1" t="s">
        <v>585</v>
      </c>
      <c r="F442" s="1" t="n">
        <v>6</v>
      </c>
      <c r="G442" s="1" t="n">
        <v>1</v>
      </c>
      <c r="H442" s="1" t="n">
        <v>8</v>
      </c>
      <c r="I442" s="8" t="n">
        <v>142273</v>
      </c>
      <c r="J442" s="1" t="n">
        <v>2</v>
      </c>
      <c r="K442" s="1" t="s">
        <v>44</v>
      </c>
      <c r="L442" s="1" t="n">
        <v>2</v>
      </c>
      <c r="P442" s="1" t="n">
        <f aca="false">SUM(M442:O442)</f>
        <v>0</v>
      </c>
      <c r="U442" s="1" t="n">
        <v>6</v>
      </c>
      <c r="W442" s="1" t="n">
        <f aca="false">SUM(Q442:V442)</f>
        <v>6</v>
      </c>
      <c r="X442" s="1" t="n">
        <v>1</v>
      </c>
      <c r="Y442" s="1" t="n">
        <v>3</v>
      </c>
      <c r="AD442" s="9" t="n">
        <f aca="false">(U442)*(1+(J442)*0.2)</f>
        <v>8.4</v>
      </c>
      <c r="AF442" s="9" t="n">
        <f aca="false">SUM(Z442:AE442)</f>
        <v>8.4</v>
      </c>
      <c r="AG442" s="10" t="s">
        <v>47</v>
      </c>
      <c r="AH442" s="11"/>
      <c r="AI442" s="11"/>
      <c r="AJ442" s="11"/>
      <c r="AK442" s="11"/>
      <c r="AL442" s="11" t="n">
        <f aca="false">IF(AG442="yes",AD442*1.2,AD442)</f>
        <v>10.08</v>
      </c>
      <c r="AM442" s="11"/>
      <c r="AN442" s="11" t="n">
        <f aca="false">SUM(AH442:AM442)</f>
        <v>10.08</v>
      </c>
      <c r="AO442" s="1"/>
      <c r="AP442" s="1"/>
      <c r="AQ442" s="1"/>
      <c r="AR442" s="1"/>
    </row>
    <row r="443" customFormat="false" ht="13.8" hidden="false" customHeight="false" outlineLevel="0" collapsed="false">
      <c r="A443" s="1" t="s">
        <v>590</v>
      </c>
      <c r="B443" s="1" t="n">
        <v>920</v>
      </c>
      <c r="C443" s="1" t="s">
        <v>584</v>
      </c>
      <c r="D443" s="1" t="s">
        <v>42</v>
      </c>
      <c r="E443" s="1" t="s">
        <v>585</v>
      </c>
      <c r="F443" s="1" t="n">
        <v>3</v>
      </c>
      <c r="G443" s="1" t="n">
        <v>1</v>
      </c>
      <c r="H443" s="1" t="n">
        <v>22</v>
      </c>
      <c r="I443" s="8" t="n">
        <v>211790</v>
      </c>
      <c r="J443" s="1" t="n">
        <v>2</v>
      </c>
      <c r="K443" s="1" t="s">
        <v>44</v>
      </c>
      <c r="L443" s="1" t="n">
        <v>2</v>
      </c>
      <c r="P443" s="1" t="n">
        <f aca="false">SUM(M443:O443)</f>
        <v>0</v>
      </c>
      <c r="R443" s="1" t="n">
        <v>5</v>
      </c>
      <c r="W443" s="1" t="n">
        <f aca="false">SUM(Q443:V443)</f>
        <v>5</v>
      </c>
      <c r="AA443" s="9" t="n">
        <f aca="false">(R443)*(1+(J443)*0.2)</f>
        <v>7</v>
      </c>
      <c r="AD443" s="9"/>
      <c r="AF443" s="9" t="n">
        <f aca="false">SUM(Z443:AE443)</f>
        <v>7</v>
      </c>
      <c r="AG443" s="10" t="s">
        <v>47</v>
      </c>
      <c r="AH443" s="11"/>
      <c r="AI443" s="11" t="n">
        <f aca="false">IF(AG443="yes",AA443*1.2,AA443)</f>
        <v>8.4</v>
      </c>
      <c r="AJ443" s="11"/>
      <c r="AK443" s="11"/>
      <c r="AL443" s="11"/>
      <c r="AM443" s="11"/>
      <c r="AN443" s="11" t="n">
        <f aca="false">SUM(AH443:AM443)</f>
        <v>8.4</v>
      </c>
      <c r="AO443" s="1"/>
      <c r="AP443" s="1"/>
      <c r="AQ443" s="1"/>
      <c r="AR443" s="1"/>
    </row>
    <row r="444" customFormat="false" ht="13.8" hidden="false" customHeight="false" outlineLevel="0" collapsed="false">
      <c r="A444" s="1" t="s">
        <v>591</v>
      </c>
      <c r="B444" s="1" t="n">
        <v>110</v>
      </c>
      <c r="C444" s="1" t="s">
        <v>584</v>
      </c>
      <c r="D444" s="1" t="s">
        <v>42</v>
      </c>
      <c r="E444" s="1" t="s">
        <v>585</v>
      </c>
      <c r="F444" s="1" t="n">
        <v>15</v>
      </c>
      <c r="G444" s="1" t="n">
        <v>1</v>
      </c>
      <c r="H444" s="1" t="n">
        <v>8</v>
      </c>
      <c r="I444" s="8" t="n">
        <v>1058476</v>
      </c>
      <c r="J444" s="1" t="n">
        <v>3</v>
      </c>
      <c r="K444" s="1" t="s">
        <v>120</v>
      </c>
      <c r="L444" s="1" t="n">
        <v>5</v>
      </c>
      <c r="M444" s="1" t="n">
        <v>1</v>
      </c>
      <c r="N444" s="1" t="n">
        <v>1</v>
      </c>
      <c r="O444" s="1" t="n">
        <v>2</v>
      </c>
      <c r="P444" s="1" t="n">
        <f aca="false">SUM(M444:O444)</f>
        <v>4</v>
      </c>
      <c r="W444" s="1" t="n">
        <f aca="false">SUM(Q444:V444)</f>
        <v>0</v>
      </c>
      <c r="X444" s="1" t="n">
        <v>4</v>
      </c>
      <c r="Y444" s="1" t="n">
        <v>6</v>
      </c>
      <c r="Z444" s="12"/>
      <c r="AF444" s="9" t="n">
        <f aca="false">SUM(Z444:AE444)</f>
        <v>0</v>
      </c>
      <c r="AG444" s="21"/>
      <c r="AH444" s="11"/>
      <c r="AI444" s="11"/>
      <c r="AJ444" s="11"/>
      <c r="AK444" s="11"/>
      <c r="AL444" s="11"/>
      <c r="AM444" s="11"/>
      <c r="AN444" s="11" t="n">
        <f aca="false">SUM(AH444:AM444)</f>
        <v>0</v>
      </c>
      <c r="AO444" s="1"/>
      <c r="AP444" s="1"/>
      <c r="AQ444" s="1"/>
      <c r="AR444" s="1"/>
    </row>
    <row r="445" customFormat="false" ht="13.8" hidden="false" customHeight="false" outlineLevel="0" collapsed="false">
      <c r="A445" s="1" t="s">
        <v>592</v>
      </c>
      <c r="B445" s="1" t="n">
        <v>921</v>
      </c>
      <c r="C445" s="1" t="s">
        <v>584</v>
      </c>
      <c r="D445" s="1" t="s">
        <v>42</v>
      </c>
      <c r="E445" s="1" t="s">
        <v>585</v>
      </c>
      <c r="F445" s="1" t="n">
        <v>1</v>
      </c>
      <c r="G445" s="1" t="n">
        <v>1</v>
      </c>
      <c r="H445" s="1" t="n">
        <v>10</v>
      </c>
      <c r="I445" s="8" t="n">
        <v>141675</v>
      </c>
      <c r="J445" s="1" t="n">
        <v>3</v>
      </c>
      <c r="K445" s="1" t="s">
        <v>44</v>
      </c>
      <c r="L445" s="1" t="n">
        <v>2</v>
      </c>
      <c r="O445" s="1" t="n">
        <v>1</v>
      </c>
      <c r="P445" s="1" t="n">
        <f aca="false">SUM(M445:O445)</f>
        <v>1</v>
      </c>
      <c r="W445" s="1" t="n">
        <f aca="false">SUM(Q445:V445)</f>
        <v>0</v>
      </c>
      <c r="AF445" s="9" t="n">
        <f aca="false">SUM(Z445:AE445)</f>
        <v>0</v>
      </c>
      <c r="AG445" s="10"/>
      <c r="AH445" s="11"/>
      <c r="AI445" s="11"/>
      <c r="AJ445" s="11"/>
      <c r="AK445" s="11"/>
      <c r="AL445" s="11"/>
      <c r="AM445" s="11"/>
      <c r="AN445" s="11" t="n">
        <f aca="false">SUM(AH445:AM445)</f>
        <v>0</v>
      </c>
      <c r="AO445" s="1"/>
      <c r="AP445" s="1"/>
      <c r="AQ445" s="1"/>
      <c r="AR445" s="1"/>
    </row>
    <row r="446" customFormat="false" ht="13.8" hidden="false" customHeight="false" outlineLevel="0" collapsed="false">
      <c r="A446" s="1" t="s">
        <v>593</v>
      </c>
      <c r="B446" s="1" t="n">
        <v>924</v>
      </c>
      <c r="C446" s="1" t="s">
        <v>584</v>
      </c>
      <c r="D446" s="1" t="s">
        <v>42</v>
      </c>
      <c r="E446" s="1" t="s">
        <v>585</v>
      </c>
      <c r="F446" s="1" t="n">
        <v>1</v>
      </c>
      <c r="G446" s="1" t="n">
        <v>1</v>
      </c>
      <c r="H446" s="1" t="n">
        <v>9</v>
      </c>
      <c r="I446" s="8" t="n">
        <v>142273</v>
      </c>
      <c r="J446" s="1" t="n">
        <v>1</v>
      </c>
      <c r="K446" s="1" t="s">
        <v>44</v>
      </c>
      <c r="L446" s="1" t="n">
        <v>2</v>
      </c>
      <c r="P446" s="1" t="n">
        <f aca="false">SUM(M446:O446)</f>
        <v>0</v>
      </c>
      <c r="T446" s="1" t="n">
        <v>5</v>
      </c>
      <c r="W446" s="1" t="n">
        <f aca="false">SUM(Q446:V446)</f>
        <v>5</v>
      </c>
      <c r="X446" s="1" t="n">
        <v>1</v>
      </c>
      <c r="Y446" s="1" t="n">
        <v>2</v>
      </c>
      <c r="AC446" s="9" t="n">
        <f aca="false">(T446)*(1+(J446)*0.2)</f>
        <v>6</v>
      </c>
      <c r="AF446" s="9" t="n">
        <f aca="false">SUM(Z446:AE446)</f>
        <v>6</v>
      </c>
      <c r="AG446" s="10" t="s">
        <v>47</v>
      </c>
      <c r="AH446" s="11"/>
      <c r="AI446" s="11"/>
      <c r="AJ446" s="11"/>
      <c r="AK446" s="11" t="n">
        <f aca="false">IF(AG446="yes",AC446*1.2,AC446)</f>
        <v>7.2</v>
      </c>
      <c r="AL446" s="11"/>
      <c r="AM446" s="11"/>
      <c r="AN446" s="11" t="n">
        <f aca="false">SUM(AH446:AM446)</f>
        <v>7.2</v>
      </c>
      <c r="AO446" s="1"/>
      <c r="AP446" s="1"/>
      <c r="AQ446" s="1"/>
      <c r="AR446" s="1"/>
    </row>
    <row r="447" customFormat="false" ht="13.8" hidden="false" customHeight="false" outlineLevel="0" collapsed="false">
      <c r="A447" s="1" t="s">
        <v>594</v>
      </c>
      <c r="B447" s="1" t="n">
        <v>143</v>
      </c>
      <c r="C447" s="1" t="s">
        <v>584</v>
      </c>
      <c r="D447" s="1" t="s">
        <v>42</v>
      </c>
      <c r="E447" s="1" t="s">
        <v>585</v>
      </c>
      <c r="F447" s="1" t="n">
        <v>5</v>
      </c>
      <c r="G447" s="1" t="n">
        <v>1</v>
      </c>
      <c r="H447" s="1" t="n">
        <v>17</v>
      </c>
      <c r="I447" s="8" t="n">
        <v>280613</v>
      </c>
      <c r="J447" s="1" t="n">
        <v>2</v>
      </c>
      <c r="K447" s="1" t="s">
        <v>44</v>
      </c>
      <c r="L447" s="1" t="n">
        <v>2</v>
      </c>
      <c r="M447" s="1" t="n">
        <v>0</v>
      </c>
      <c r="O447" s="1" t="n">
        <v>1</v>
      </c>
      <c r="P447" s="1" t="n">
        <f aca="false">SUM(M447:O447)</f>
        <v>1</v>
      </c>
      <c r="W447" s="1" t="n">
        <f aca="false">SUM(Q447:V447)</f>
        <v>0</v>
      </c>
      <c r="Y447" s="1" t="n">
        <v>3</v>
      </c>
      <c r="AF447" s="9" t="n">
        <f aca="false">SUM(Z447:AE447)</f>
        <v>0</v>
      </c>
      <c r="AG447" s="10"/>
      <c r="AH447" s="11"/>
      <c r="AI447" s="11"/>
      <c r="AJ447" s="11"/>
      <c r="AK447" s="11"/>
      <c r="AL447" s="11"/>
      <c r="AM447" s="11"/>
      <c r="AN447" s="11" t="n">
        <f aca="false">SUM(AH447:AM447)</f>
        <v>0</v>
      </c>
      <c r="AO447" s="1"/>
      <c r="AP447" s="1"/>
      <c r="AQ447" s="1"/>
      <c r="AR447" s="1"/>
    </row>
    <row r="448" customFormat="false" ht="13.8" hidden="false" customHeight="false" outlineLevel="0" collapsed="false">
      <c r="A448" s="1" t="s">
        <v>595</v>
      </c>
      <c r="B448" s="1" t="n">
        <v>142</v>
      </c>
      <c r="C448" s="1" t="s">
        <v>584</v>
      </c>
      <c r="D448" s="1" t="s">
        <v>42</v>
      </c>
      <c r="E448" s="1" t="s">
        <v>585</v>
      </c>
      <c r="F448" s="1" t="n">
        <v>8</v>
      </c>
      <c r="G448" s="1" t="n">
        <v>1</v>
      </c>
      <c r="H448" s="1" t="n">
        <v>24</v>
      </c>
      <c r="I448" s="8" t="n">
        <v>485111</v>
      </c>
      <c r="J448" s="1" t="n">
        <v>3</v>
      </c>
      <c r="K448" s="1" t="s">
        <v>46</v>
      </c>
      <c r="L448" s="1" t="n">
        <v>4</v>
      </c>
      <c r="O448" s="1" t="n">
        <v>2</v>
      </c>
      <c r="P448" s="1" t="n">
        <f aca="false">SUM(M448:O448)</f>
        <v>2</v>
      </c>
      <c r="R448" s="1" t="n">
        <v>10</v>
      </c>
      <c r="V448" s="1" t="n">
        <v>1</v>
      </c>
      <c r="W448" s="1" t="n">
        <f aca="false">SUM(Q448:V448)</f>
        <v>11</v>
      </c>
      <c r="X448" s="1" t="n">
        <v>1</v>
      </c>
      <c r="Y448" s="1" t="n">
        <v>4</v>
      </c>
      <c r="AA448" s="9" t="n">
        <f aca="false">(R448)*(1+(J448)*0.2)</f>
        <v>16</v>
      </c>
      <c r="AE448" s="9" t="n">
        <f aca="false">(V448)*(1+(J448)*0.2)</f>
        <v>1.6</v>
      </c>
      <c r="AF448" s="9" t="n">
        <f aca="false">SUM(Z448:AE448)</f>
        <v>17.6</v>
      </c>
      <c r="AG448" s="10" t="s">
        <v>47</v>
      </c>
      <c r="AH448" s="11"/>
      <c r="AI448" s="11" t="n">
        <f aca="false">IF(AG448="yes",AA448*1.2,AA448)</f>
        <v>19.2</v>
      </c>
      <c r="AJ448" s="11"/>
      <c r="AK448" s="11"/>
      <c r="AL448" s="11"/>
      <c r="AM448" s="11" t="n">
        <f aca="false">IF(AG448="yes",AE448*1.2,AE448)</f>
        <v>1.92</v>
      </c>
      <c r="AN448" s="11" t="n">
        <f aca="false">SUM(AH448:AM448)</f>
        <v>21.12</v>
      </c>
      <c r="AO448" s="1"/>
      <c r="AP448" s="1"/>
      <c r="AQ448" s="1"/>
      <c r="AR448" s="1"/>
    </row>
    <row r="449" customFormat="false" ht="13.8" hidden="false" customHeight="false" outlineLevel="0" collapsed="false">
      <c r="A449" s="1" t="s">
        <v>596</v>
      </c>
      <c r="B449" s="1" t="n">
        <v>294</v>
      </c>
      <c r="C449" s="1" t="s">
        <v>597</v>
      </c>
      <c r="D449" s="1" t="s">
        <v>42</v>
      </c>
      <c r="E449" s="1" t="s">
        <v>596</v>
      </c>
      <c r="F449" s="1" t="n">
        <v>3</v>
      </c>
      <c r="G449" s="1" t="n">
        <v>1</v>
      </c>
      <c r="H449" s="1" t="n">
        <v>9</v>
      </c>
      <c r="I449" s="8" t="n">
        <v>369450</v>
      </c>
      <c r="J449" s="1" t="n">
        <v>1</v>
      </c>
      <c r="K449" s="1" t="s">
        <v>44</v>
      </c>
      <c r="L449" s="1" t="n">
        <v>2</v>
      </c>
      <c r="M449" s="1" t="n">
        <v>1</v>
      </c>
      <c r="O449" s="1" t="n">
        <v>1</v>
      </c>
      <c r="P449" s="1" t="n">
        <f aca="false">SUM(M449:O449)</f>
        <v>2</v>
      </c>
      <c r="Q449" s="1" t="n">
        <v>2</v>
      </c>
      <c r="W449" s="1" t="n">
        <f aca="false">SUM(Q449:V449)</f>
        <v>2</v>
      </c>
      <c r="Y449" s="1" t="n">
        <v>3</v>
      </c>
      <c r="Z449" s="9" t="n">
        <f aca="false">(Q449)*(1+(J449)*0.2)</f>
        <v>2.4</v>
      </c>
      <c r="AF449" s="9" t="n">
        <f aca="false">SUM(Z449:AE449)</f>
        <v>2.4</v>
      </c>
      <c r="AG449" s="10" t="s">
        <v>47</v>
      </c>
      <c r="AH449" s="11" t="n">
        <f aca="false">IF(AG449="yes",Z449*1.2,Z449)</f>
        <v>2.88</v>
      </c>
      <c r="AI449" s="11"/>
      <c r="AJ449" s="11"/>
      <c r="AK449" s="11"/>
      <c r="AL449" s="11"/>
      <c r="AM449" s="11"/>
      <c r="AN449" s="11" t="n">
        <f aca="false">SUM(AH449:AM449)</f>
        <v>2.88</v>
      </c>
      <c r="AO449" s="1"/>
      <c r="AP449" s="1"/>
      <c r="AQ449" s="1"/>
      <c r="AR449" s="1"/>
    </row>
    <row r="450" customFormat="false" ht="13.8" hidden="false" customHeight="false" outlineLevel="0" collapsed="false">
      <c r="A450" s="1" t="s">
        <v>598</v>
      </c>
      <c r="B450" s="1" t="n">
        <v>304</v>
      </c>
      <c r="C450" s="1" t="s">
        <v>599</v>
      </c>
      <c r="D450" s="1" t="s">
        <v>42</v>
      </c>
      <c r="E450" s="1" t="s">
        <v>600</v>
      </c>
      <c r="F450" s="1" t="n">
        <v>6</v>
      </c>
      <c r="G450" s="1" t="n">
        <v>1</v>
      </c>
      <c r="H450" s="1" t="n">
        <v>5</v>
      </c>
      <c r="I450" s="8" t="n">
        <v>468030</v>
      </c>
      <c r="J450" s="1" t="n">
        <v>2</v>
      </c>
      <c r="K450" s="1" t="s">
        <v>46</v>
      </c>
      <c r="L450" s="1" t="n">
        <v>4</v>
      </c>
      <c r="M450" s="1" t="n">
        <v>1</v>
      </c>
      <c r="O450" s="1" t="n">
        <v>2</v>
      </c>
      <c r="P450" s="1" t="n">
        <f aca="false">SUM(M450:O450)</f>
        <v>3</v>
      </c>
      <c r="Q450" s="1" t="n">
        <v>1</v>
      </c>
      <c r="W450" s="1" t="n">
        <f aca="false">SUM(Q450:V450)</f>
        <v>1</v>
      </c>
      <c r="X450" s="1" t="n">
        <v>1</v>
      </c>
      <c r="Y450" s="1" t="n">
        <v>5</v>
      </c>
      <c r="Z450" s="9" t="n">
        <f aca="false">(Q450)*(1+(J450)*0.2)</f>
        <v>1.4</v>
      </c>
      <c r="AF450" s="9" t="n">
        <f aca="false">SUM(Z450:AE450)</f>
        <v>1.4</v>
      </c>
      <c r="AG450" s="10" t="s">
        <v>47</v>
      </c>
      <c r="AH450" s="11" t="n">
        <f aca="false">IF(AG450="yes",Z450*1.2,Z450)</f>
        <v>1.68</v>
      </c>
      <c r="AI450" s="11"/>
      <c r="AJ450" s="11"/>
      <c r="AK450" s="11"/>
      <c r="AL450" s="11"/>
      <c r="AM450" s="11"/>
      <c r="AN450" s="11" t="n">
        <f aca="false">SUM(AH450:AM450)</f>
        <v>1.68</v>
      </c>
      <c r="AO450" s="1"/>
      <c r="AP450" s="1"/>
      <c r="AQ450" s="1"/>
      <c r="AR450" s="1"/>
    </row>
    <row r="451" customFormat="false" ht="13.8" hidden="false" customHeight="false" outlineLevel="0" collapsed="false">
      <c r="A451" s="1" t="s">
        <v>601</v>
      </c>
      <c r="B451" s="1" t="n">
        <v>492</v>
      </c>
      <c r="C451" s="1" t="s">
        <v>602</v>
      </c>
      <c r="D451" s="1" t="s">
        <v>42</v>
      </c>
      <c r="E451" s="1" t="s">
        <v>603</v>
      </c>
      <c r="F451" s="13" t="n">
        <v>7</v>
      </c>
      <c r="G451" s="1" t="n">
        <v>1</v>
      </c>
      <c r="H451" s="13" t="n">
        <v>8</v>
      </c>
      <c r="I451" s="8" t="n">
        <v>1603233</v>
      </c>
      <c r="J451" s="1" t="n">
        <v>2</v>
      </c>
      <c r="K451" s="1" t="s">
        <v>44</v>
      </c>
      <c r="L451" s="1" t="n">
        <v>2</v>
      </c>
      <c r="O451" s="1" t="n">
        <v>1</v>
      </c>
      <c r="P451" s="1" t="n">
        <f aca="false">SUM(M451:O451)</f>
        <v>1</v>
      </c>
      <c r="T451" s="13" t="n">
        <v>6</v>
      </c>
      <c r="W451" s="13" t="n">
        <f aca="false">SUM(Q451:V451)</f>
        <v>6</v>
      </c>
      <c r="X451" s="1" t="n">
        <v>1</v>
      </c>
      <c r="Y451" s="13" t="n">
        <v>1</v>
      </c>
      <c r="AC451" s="14" t="n">
        <f aca="false">(T451)*(1+(J451)*0.2)</f>
        <v>8.4</v>
      </c>
      <c r="AF451" s="14" t="n">
        <f aca="false">SUM(Z451:AE451)</f>
        <v>8.4</v>
      </c>
      <c r="AG451" s="17" t="s">
        <v>47</v>
      </c>
      <c r="AH451" s="11"/>
      <c r="AI451" s="11"/>
      <c r="AJ451" s="11"/>
      <c r="AK451" s="15" t="n">
        <f aca="false">IF(AG451="yes",AC451*1.2,AC451)</f>
        <v>10.08</v>
      </c>
      <c r="AL451" s="11"/>
      <c r="AM451" s="11"/>
      <c r="AN451" s="15" t="n">
        <f aca="false">SUM(AH451:AM451)</f>
        <v>10.08</v>
      </c>
      <c r="AO451" s="1"/>
      <c r="AP451" s="1"/>
      <c r="AQ451" s="1"/>
      <c r="AR451" s="1"/>
    </row>
    <row r="452" customFormat="false" ht="13.8" hidden="false" customHeight="false" outlineLevel="0" collapsed="false">
      <c r="A452" s="1" t="s">
        <v>604</v>
      </c>
      <c r="B452" s="1" t="n">
        <v>303</v>
      </c>
      <c r="C452" s="1" t="s">
        <v>602</v>
      </c>
      <c r="D452" s="1" t="s">
        <v>42</v>
      </c>
      <c r="E452" s="1" t="s">
        <v>603</v>
      </c>
      <c r="F452" s="13" t="n">
        <v>12</v>
      </c>
      <c r="G452" s="1" t="n">
        <v>1</v>
      </c>
      <c r="H452" s="1" t="n">
        <v>7</v>
      </c>
      <c r="I452" s="8" t="n">
        <v>3567599</v>
      </c>
      <c r="J452" s="1" t="n">
        <v>2</v>
      </c>
      <c r="K452" s="1" t="s">
        <v>57</v>
      </c>
      <c r="L452" s="1" t="n">
        <v>8</v>
      </c>
      <c r="M452" s="1" t="n">
        <v>1</v>
      </c>
      <c r="O452" s="1" t="n">
        <v>6</v>
      </c>
      <c r="P452" s="1" t="n">
        <f aca="false">SUM(M452:O452)</f>
        <v>7</v>
      </c>
      <c r="Q452" s="1" t="n">
        <v>14</v>
      </c>
      <c r="W452" s="1" t="n">
        <f aca="false">SUM(Q452:V452)</f>
        <v>14</v>
      </c>
      <c r="X452" s="1" t="n">
        <v>3</v>
      </c>
      <c r="Y452" s="13" t="n">
        <v>6</v>
      </c>
      <c r="Z452" s="9" t="n">
        <f aca="false">(Q452)*(1+(J452)*0.2)</f>
        <v>19.6</v>
      </c>
      <c r="AF452" s="9" t="n">
        <f aca="false">SUM(Z452:AE452)</f>
        <v>19.6</v>
      </c>
      <c r="AG452" s="10" t="s">
        <v>47</v>
      </c>
      <c r="AH452" s="11" t="n">
        <f aca="false">IF(AG452="yes",Z452*1.2,Z452)</f>
        <v>23.52</v>
      </c>
      <c r="AI452" s="11"/>
      <c r="AJ452" s="11"/>
      <c r="AK452" s="11"/>
      <c r="AL452" s="11"/>
      <c r="AM452" s="11"/>
      <c r="AN452" s="11" t="n">
        <f aca="false">SUM(AH452:AM452)</f>
        <v>23.52</v>
      </c>
      <c r="AO452" s="1"/>
      <c r="AP452" s="1"/>
      <c r="AQ452" s="1"/>
      <c r="AR452" s="1"/>
    </row>
    <row r="453" customFormat="false" ht="13.8" hidden="false" customHeight="false" outlineLevel="0" collapsed="false">
      <c r="A453" s="1" t="s">
        <v>605</v>
      </c>
      <c r="B453" s="1" t="n">
        <v>491</v>
      </c>
      <c r="C453" s="1" t="s">
        <v>602</v>
      </c>
      <c r="D453" s="1" t="s">
        <v>42</v>
      </c>
      <c r="E453" s="1" t="s">
        <v>603</v>
      </c>
      <c r="F453" s="13" t="n">
        <v>1</v>
      </c>
      <c r="G453" s="1" t="n">
        <v>1</v>
      </c>
      <c r="H453" s="13" t="n">
        <v>5</v>
      </c>
      <c r="I453" s="8" t="n">
        <v>176842</v>
      </c>
      <c r="J453" s="1" t="n">
        <v>2</v>
      </c>
      <c r="K453" s="1" t="s">
        <v>51</v>
      </c>
      <c r="L453" s="1" t="n">
        <v>1</v>
      </c>
      <c r="P453" s="1" t="n">
        <f aca="false">SUM(M453:O453)</f>
        <v>0</v>
      </c>
      <c r="W453" s="1" t="n">
        <f aca="false">SUM(Q453:V453)</f>
        <v>0</v>
      </c>
      <c r="AF453" s="9" t="n">
        <f aca="false">SUM(Z453:AE453)</f>
        <v>0</v>
      </c>
      <c r="AG453" s="10"/>
      <c r="AH453" s="11"/>
      <c r="AI453" s="11"/>
      <c r="AJ453" s="11"/>
      <c r="AK453" s="11"/>
      <c r="AL453" s="11"/>
      <c r="AM453" s="11"/>
      <c r="AN453" s="11" t="n">
        <f aca="false">SUM(AH453:AM453)</f>
        <v>0</v>
      </c>
      <c r="AO453" s="1"/>
      <c r="AP453" s="1"/>
      <c r="AQ453" s="1"/>
      <c r="AR453" s="1"/>
    </row>
    <row r="454" customFormat="false" ht="13.8" hidden="false" customHeight="false" outlineLevel="0" collapsed="false">
      <c r="A454" s="13" t="s">
        <v>606</v>
      </c>
      <c r="B454" s="13" t="n">
        <v>947</v>
      </c>
      <c r="C454" s="1" t="s">
        <v>602</v>
      </c>
      <c r="D454" s="13" t="s">
        <v>42</v>
      </c>
      <c r="E454" s="1" t="s">
        <v>603</v>
      </c>
      <c r="F454" s="13" t="n">
        <v>2</v>
      </c>
      <c r="G454" s="1" t="n">
        <v>1</v>
      </c>
      <c r="H454" s="13" t="n">
        <v>2</v>
      </c>
      <c r="I454" s="16" t="n">
        <v>130159</v>
      </c>
      <c r="J454" s="13" t="n">
        <v>2</v>
      </c>
      <c r="K454" s="13" t="s">
        <v>44</v>
      </c>
      <c r="L454" s="13" t="n">
        <v>2</v>
      </c>
      <c r="O454" s="13" t="n">
        <v>1</v>
      </c>
      <c r="P454" s="13" t="n">
        <f aca="false">SUM(M454:O454)</f>
        <v>1</v>
      </c>
      <c r="T454" s="13" t="n">
        <v>2</v>
      </c>
      <c r="W454" s="13" t="n">
        <f aca="false">SUM(Q454:V454)</f>
        <v>2</v>
      </c>
      <c r="AA454" s="9"/>
      <c r="AC454" s="14" t="n">
        <f aca="false">(T454)*(1+(J454)*0.2)</f>
        <v>2.8</v>
      </c>
      <c r="AE454" s="9"/>
      <c r="AF454" s="14" t="n">
        <f aca="false">SUM(Z454:AE454)</f>
        <v>2.8</v>
      </c>
      <c r="AG454" s="17" t="s">
        <v>47</v>
      </c>
      <c r="AH454" s="11"/>
      <c r="AI454" s="11"/>
      <c r="AJ454" s="11"/>
      <c r="AK454" s="15" t="n">
        <f aca="false">IF(AG454="yes",AC454*1.2,AC454)</f>
        <v>3.36</v>
      </c>
      <c r="AL454" s="11"/>
      <c r="AM454" s="11"/>
      <c r="AN454" s="15" t="n">
        <f aca="false">SUM(AH454:AM454)</f>
        <v>3.36</v>
      </c>
      <c r="AO454" s="1"/>
      <c r="AP454" s="1"/>
      <c r="AQ454" s="1"/>
      <c r="AR454" s="1"/>
    </row>
    <row r="455" customFormat="false" ht="13.8" hidden="false" customHeight="false" outlineLevel="0" collapsed="false">
      <c r="A455" s="1" t="s">
        <v>607</v>
      </c>
      <c r="B455" s="1" t="n">
        <v>494</v>
      </c>
      <c r="C455" s="1" t="s">
        <v>602</v>
      </c>
      <c r="D455" s="1" t="s">
        <v>42</v>
      </c>
      <c r="E455" s="1" t="s">
        <v>603</v>
      </c>
      <c r="F455" s="13" t="n">
        <v>6</v>
      </c>
      <c r="G455" s="1" t="n">
        <v>1</v>
      </c>
      <c r="H455" s="13" t="n">
        <v>7</v>
      </c>
      <c r="I455" s="8" t="n">
        <v>736724</v>
      </c>
      <c r="J455" s="1" t="n">
        <v>2</v>
      </c>
      <c r="K455" s="1" t="s">
        <v>44</v>
      </c>
      <c r="L455" s="1" t="n">
        <v>2</v>
      </c>
      <c r="P455" s="1" t="n">
        <f aca="false">SUM(M455:O455)</f>
        <v>0</v>
      </c>
      <c r="W455" s="1" t="n">
        <f aca="false">SUM(Q455:V455)</f>
        <v>0</v>
      </c>
      <c r="AF455" s="9" t="n">
        <f aca="false">SUM(Z455:AE455)</f>
        <v>0</v>
      </c>
      <c r="AG455" s="10"/>
      <c r="AH455" s="11"/>
      <c r="AI455" s="11"/>
      <c r="AJ455" s="11"/>
      <c r="AK455" s="11"/>
      <c r="AL455" s="11"/>
      <c r="AM455" s="11"/>
      <c r="AN455" s="11" t="n">
        <f aca="false">SUM(AH455:AM455)</f>
        <v>0</v>
      </c>
      <c r="AO455" s="1"/>
      <c r="AP455" s="1"/>
      <c r="AQ455" s="1"/>
      <c r="AR455" s="1"/>
    </row>
    <row r="456" customFormat="false" ht="13.8" hidden="false" customHeight="false" outlineLevel="0" collapsed="false">
      <c r="A456" s="1" t="s">
        <v>608</v>
      </c>
      <c r="B456" s="1" t="n">
        <v>628</v>
      </c>
      <c r="C456" s="1" t="s">
        <v>609</v>
      </c>
      <c r="D456" s="1" t="s">
        <v>42</v>
      </c>
      <c r="E456" s="1" t="s">
        <v>610</v>
      </c>
      <c r="F456" s="1" t="n">
        <v>1</v>
      </c>
      <c r="G456" s="1" t="n">
        <v>1</v>
      </c>
      <c r="H456" s="1" t="n">
        <v>9</v>
      </c>
      <c r="I456" s="8" t="n">
        <v>3530019</v>
      </c>
      <c r="J456" s="1" t="n">
        <v>2</v>
      </c>
      <c r="K456" s="1" t="s">
        <v>44</v>
      </c>
      <c r="L456" s="1" t="n">
        <v>2</v>
      </c>
      <c r="P456" s="1" t="n">
        <f aca="false">SUM(M456:O456)</f>
        <v>0</v>
      </c>
      <c r="W456" s="1" t="n">
        <f aca="false">SUM(Q456:V456)</f>
        <v>0</v>
      </c>
      <c r="Y456" s="1" t="n">
        <v>1</v>
      </c>
      <c r="AF456" s="9" t="n">
        <f aca="false">SUM(Z456:AE456)</f>
        <v>0</v>
      </c>
      <c r="AG456" s="10"/>
      <c r="AH456" s="11"/>
      <c r="AI456" s="11"/>
      <c r="AJ456" s="11"/>
      <c r="AK456" s="11"/>
      <c r="AL456" s="11"/>
      <c r="AM456" s="11"/>
      <c r="AN456" s="11" t="n">
        <f aca="false">SUM(AH456:AM456)</f>
        <v>0</v>
      </c>
      <c r="AO456" s="1"/>
      <c r="AP456" s="1"/>
      <c r="AQ456" s="1"/>
      <c r="AR456" s="1"/>
    </row>
    <row r="457" customFormat="false" ht="13.8" hidden="false" customHeight="false" outlineLevel="0" collapsed="false">
      <c r="A457" s="1" t="s">
        <v>611</v>
      </c>
      <c r="B457" s="1" t="n">
        <v>624</v>
      </c>
      <c r="C457" s="1" t="s">
        <v>609</v>
      </c>
      <c r="D457" s="1" t="s">
        <v>42</v>
      </c>
      <c r="E457" s="1" t="s">
        <v>610</v>
      </c>
      <c r="F457" s="1" t="n">
        <v>1</v>
      </c>
      <c r="G457" s="1" t="n">
        <v>1</v>
      </c>
      <c r="H457" s="1" t="n">
        <v>8</v>
      </c>
      <c r="I457" s="8" t="n">
        <v>1292248</v>
      </c>
      <c r="J457" s="1" t="n">
        <v>2</v>
      </c>
      <c r="K457" s="1" t="s">
        <v>46</v>
      </c>
      <c r="L457" s="1" t="n">
        <v>4</v>
      </c>
      <c r="O457" s="1" t="n">
        <v>1</v>
      </c>
      <c r="P457" s="1" t="n">
        <f aca="false">SUM(M457:O457)</f>
        <v>1</v>
      </c>
      <c r="W457" s="1" t="n">
        <f aca="false">SUM(Q457:V457)</f>
        <v>0</v>
      </c>
      <c r="Z457" s="12"/>
      <c r="AF457" s="9" t="n">
        <f aca="false">SUM(Z457:AE457)</f>
        <v>0</v>
      </c>
      <c r="AG457" s="10"/>
      <c r="AH457" s="11"/>
      <c r="AI457" s="11"/>
      <c r="AJ457" s="11"/>
      <c r="AK457" s="11"/>
      <c r="AL457" s="11"/>
      <c r="AM457" s="11"/>
      <c r="AN457" s="11" t="n">
        <f aca="false">SUM(AH457:AM457)</f>
        <v>0</v>
      </c>
      <c r="AO457" s="1"/>
      <c r="AP457" s="1"/>
      <c r="AQ457" s="1"/>
      <c r="AR457" s="1"/>
    </row>
    <row r="458" customFormat="false" ht="13.8" hidden="false" customHeight="false" outlineLevel="0" collapsed="false">
      <c r="A458" s="1" t="s">
        <v>612</v>
      </c>
      <c r="B458" s="1" t="n">
        <v>623</v>
      </c>
      <c r="C458" s="1" t="s">
        <v>609</v>
      </c>
      <c r="D458" s="1" t="s">
        <v>42</v>
      </c>
      <c r="E458" s="1" t="s">
        <v>610</v>
      </c>
      <c r="F458" s="1" t="n">
        <v>2</v>
      </c>
      <c r="G458" s="1" t="n">
        <v>1</v>
      </c>
      <c r="H458" s="1" t="n">
        <v>17</v>
      </c>
      <c r="I458" s="8" t="n">
        <v>2013110</v>
      </c>
      <c r="J458" s="1" t="n">
        <v>2</v>
      </c>
      <c r="K458" s="1" t="s">
        <v>96</v>
      </c>
      <c r="L458" s="1" t="n">
        <v>6</v>
      </c>
      <c r="O458" s="1" t="n">
        <v>1</v>
      </c>
      <c r="P458" s="1" t="n">
        <f aca="false">SUM(M458:O458)</f>
        <v>1</v>
      </c>
      <c r="S458" s="1" t="n">
        <v>1</v>
      </c>
      <c r="W458" s="1" t="n">
        <f aca="false">SUM(Q458:V458)</f>
        <v>1</v>
      </c>
      <c r="Y458" s="1" t="n">
        <v>2</v>
      </c>
      <c r="AB458" s="9" t="n">
        <f aca="false">(S458)*(1+(J458)*0.2)</f>
        <v>1.4</v>
      </c>
      <c r="AF458" s="9" t="n">
        <f aca="false">SUM(Z458:AE458)</f>
        <v>1.4</v>
      </c>
      <c r="AG458" s="10" t="s">
        <v>47</v>
      </c>
      <c r="AH458" s="11"/>
      <c r="AI458" s="11"/>
      <c r="AJ458" s="11" t="n">
        <f aca="false">IF(AG458="yes",AB458*1.2,AB458)</f>
        <v>1.68</v>
      </c>
      <c r="AK458" s="11"/>
      <c r="AL458" s="11"/>
      <c r="AM458" s="11"/>
      <c r="AN458" s="11" t="n">
        <f aca="false">SUM(AH458:AM458)</f>
        <v>1.68</v>
      </c>
      <c r="AO458" s="1"/>
      <c r="AP458" s="1"/>
      <c r="AQ458" s="1"/>
      <c r="AR458" s="1"/>
    </row>
    <row r="459" customFormat="false" ht="13.8" hidden="false" customHeight="false" outlineLevel="0" collapsed="false">
      <c r="A459" s="1" t="s">
        <v>613</v>
      </c>
      <c r="B459" s="1" t="n">
        <v>327</v>
      </c>
      <c r="C459" s="1" t="s">
        <v>609</v>
      </c>
      <c r="D459" s="1" t="s">
        <v>42</v>
      </c>
      <c r="E459" s="1" t="s">
        <v>610</v>
      </c>
      <c r="F459" s="1" t="n">
        <v>16</v>
      </c>
      <c r="G459" s="1" t="n">
        <v>1</v>
      </c>
      <c r="H459" s="1" t="n">
        <v>9</v>
      </c>
      <c r="I459" s="8" t="n">
        <v>3553016</v>
      </c>
      <c r="J459" s="1" t="n">
        <v>3</v>
      </c>
      <c r="K459" s="1" t="s">
        <v>46</v>
      </c>
      <c r="L459" s="1" t="n">
        <v>4</v>
      </c>
      <c r="M459" s="1" t="n">
        <v>1</v>
      </c>
      <c r="O459" s="1" t="n">
        <v>3</v>
      </c>
      <c r="P459" s="1" t="n">
        <f aca="false">SUM(M459:O459)</f>
        <v>4</v>
      </c>
      <c r="W459" s="1" t="n">
        <f aca="false">SUM(Q459:V459)</f>
        <v>0</v>
      </c>
      <c r="X459" s="1" t="n">
        <v>6</v>
      </c>
      <c r="Y459" s="1" t="n">
        <v>5</v>
      </c>
      <c r="AF459" s="9" t="n">
        <f aca="false">SUM(Z459:AE459)</f>
        <v>0</v>
      </c>
      <c r="AG459" s="10"/>
      <c r="AH459" s="11"/>
      <c r="AI459" s="11"/>
      <c r="AJ459" s="11"/>
      <c r="AK459" s="11"/>
      <c r="AL459" s="11"/>
      <c r="AM459" s="11"/>
      <c r="AN459" s="11" t="n">
        <f aca="false">SUM(AH459:AM459)</f>
        <v>0</v>
      </c>
      <c r="AO459" s="1"/>
      <c r="AP459" s="1"/>
      <c r="AQ459" s="1"/>
      <c r="AR459" s="1"/>
    </row>
    <row r="460" customFormat="false" ht="13.8" hidden="false" customHeight="false" outlineLevel="0" collapsed="false">
      <c r="A460" s="1" t="s">
        <v>614</v>
      </c>
      <c r="B460" s="1" t="n">
        <v>627</v>
      </c>
      <c r="C460" s="1" t="s">
        <v>609</v>
      </c>
      <c r="D460" s="1" t="s">
        <v>42</v>
      </c>
      <c r="E460" s="1" t="s">
        <v>610</v>
      </c>
      <c r="F460" s="1" t="n">
        <v>3</v>
      </c>
      <c r="G460" s="1" t="n">
        <v>1</v>
      </c>
      <c r="H460" s="1" t="n">
        <v>26</v>
      </c>
      <c r="I460" s="8" t="n">
        <v>1498335</v>
      </c>
      <c r="J460" s="1" t="n">
        <v>2</v>
      </c>
      <c r="K460" s="1" t="s">
        <v>44</v>
      </c>
      <c r="L460" s="1" t="n">
        <v>2</v>
      </c>
      <c r="P460" s="1" t="n">
        <f aca="false">SUM(M460:O460)</f>
        <v>0</v>
      </c>
      <c r="W460" s="1" t="n">
        <f aca="false">SUM(Q460:V460)</f>
        <v>0</v>
      </c>
      <c r="Y460" s="1" t="n">
        <v>1</v>
      </c>
      <c r="AF460" s="9" t="n">
        <f aca="false">SUM(Z460:AE460)</f>
        <v>0</v>
      </c>
      <c r="AG460" s="10"/>
      <c r="AH460" s="11"/>
      <c r="AI460" s="11"/>
      <c r="AJ460" s="11"/>
      <c r="AK460" s="11"/>
      <c r="AL460" s="11"/>
      <c r="AM460" s="11"/>
      <c r="AN460" s="11" t="n">
        <f aca="false">SUM(AH460:AM460)</f>
        <v>0</v>
      </c>
      <c r="AO460" s="1"/>
      <c r="AP460" s="1"/>
      <c r="AQ460" s="1"/>
      <c r="AR460" s="1"/>
    </row>
    <row r="461" customFormat="false" ht="13.8" hidden="false" customHeight="false" outlineLevel="0" collapsed="false">
      <c r="A461" s="1" t="s">
        <v>615</v>
      </c>
      <c r="B461" s="1" t="n">
        <v>626</v>
      </c>
      <c r="C461" s="1" t="s">
        <v>609</v>
      </c>
      <c r="D461" s="1" t="s">
        <v>42</v>
      </c>
      <c r="E461" s="1" t="s">
        <v>610</v>
      </c>
      <c r="G461" s="1" t="n">
        <v>1</v>
      </c>
      <c r="H461" s="1" t="n">
        <v>3</v>
      </c>
      <c r="I461" s="8" t="n">
        <v>83142</v>
      </c>
      <c r="J461" s="1" t="n">
        <v>2</v>
      </c>
      <c r="K461" s="1" t="s">
        <v>44</v>
      </c>
      <c r="L461" s="1" t="n">
        <v>2</v>
      </c>
      <c r="P461" s="1" t="n">
        <f aca="false">SUM(M461:O461)</f>
        <v>0</v>
      </c>
      <c r="W461" s="1" t="n">
        <f aca="false">SUM(Q461:V461)</f>
        <v>0</v>
      </c>
      <c r="Y461" s="1" t="n">
        <v>1</v>
      </c>
      <c r="AF461" s="9" t="n">
        <f aca="false">SUM(Z461:AE461)</f>
        <v>0</v>
      </c>
      <c r="AG461" s="10"/>
      <c r="AH461" s="11"/>
      <c r="AI461" s="11"/>
      <c r="AJ461" s="11"/>
      <c r="AK461" s="11"/>
      <c r="AL461" s="11"/>
      <c r="AM461" s="11"/>
      <c r="AN461" s="11" t="n">
        <f aca="false">SUM(AH461:AM461)</f>
        <v>0</v>
      </c>
      <c r="AO461" s="1"/>
      <c r="AP461" s="1"/>
      <c r="AQ461" s="1"/>
      <c r="AR461" s="1"/>
    </row>
    <row r="462" customFormat="false" ht="13.8" hidden="false" customHeight="false" outlineLevel="0" collapsed="false">
      <c r="A462" s="1" t="s">
        <v>616</v>
      </c>
      <c r="B462" s="1" t="n">
        <v>625</v>
      </c>
      <c r="C462" s="1" t="s">
        <v>609</v>
      </c>
      <c r="D462" s="1" t="s">
        <v>42</v>
      </c>
      <c r="E462" s="1" t="s">
        <v>610</v>
      </c>
      <c r="G462" s="1" t="n">
        <v>1</v>
      </c>
      <c r="H462" s="1" t="n">
        <v>5</v>
      </c>
      <c r="I462" s="8" t="n">
        <v>1140114</v>
      </c>
      <c r="J462" s="1" t="n">
        <v>2</v>
      </c>
      <c r="K462" s="1" t="s">
        <v>44</v>
      </c>
      <c r="L462" s="1" t="n">
        <v>2</v>
      </c>
      <c r="P462" s="1" t="n">
        <f aca="false">SUM(M462:O462)</f>
        <v>0</v>
      </c>
      <c r="W462" s="1" t="n">
        <f aca="false">SUM(Q462:V462)</f>
        <v>0</v>
      </c>
      <c r="AF462" s="9" t="n">
        <f aca="false">SUM(Z462:AE462)</f>
        <v>0</v>
      </c>
      <c r="AG462" s="10"/>
      <c r="AH462" s="11"/>
      <c r="AI462" s="11"/>
      <c r="AJ462" s="11"/>
      <c r="AK462" s="11"/>
      <c r="AL462" s="11"/>
      <c r="AM462" s="11"/>
      <c r="AN462" s="11" t="n">
        <f aca="false">SUM(AH462:AM462)</f>
        <v>0</v>
      </c>
      <c r="AO462" s="1"/>
      <c r="AP462" s="1"/>
      <c r="AQ462" s="1"/>
      <c r="AR462" s="1"/>
    </row>
    <row r="463" customFormat="false" ht="13.8" hidden="false" customHeight="false" outlineLevel="0" collapsed="false">
      <c r="A463" s="1" t="s">
        <v>617</v>
      </c>
      <c r="B463" s="1" t="n">
        <v>97</v>
      </c>
      <c r="C463" s="1" t="s">
        <v>618</v>
      </c>
      <c r="D463" s="1" t="s">
        <v>42</v>
      </c>
      <c r="E463" s="1" t="s">
        <v>619</v>
      </c>
      <c r="F463" s="13" t="n">
        <v>4</v>
      </c>
      <c r="G463" s="1" t="n">
        <v>1</v>
      </c>
      <c r="H463" s="1" t="n">
        <v>9</v>
      </c>
      <c r="I463" s="8" t="n">
        <v>1158613</v>
      </c>
      <c r="J463" s="1" t="n">
        <v>3</v>
      </c>
      <c r="K463" s="1" t="s">
        <v>44</v>
      </c>
      <c r="L463" s="1" t="n">
        <v>2</v>
      </c>
      <c r="O463" s="1" t="n">
        <v>1</v>
      </c>
      <c r="P463" s="1" t="n">
        <f aca="false">SUM(M463:O463)</f>
        <v>1</v>
      </c>
      <c r="W463" s="1" t="n">
        <f aca="false">SUM(Q463:V463)</f>
        <v>0</v>
      </c>
      <c r="X463" s="1" t="n">
        <v>3</v>
      </c>
      <c r="AF463" s="9" t="n">
        <f aca="false">SUM(Z463:AE463)</f>
        <v>0</v>
      </c>
      <c r="AG463" s="10"/>
      <c r="AH463" s="11"/>
      <c r="AI463" s="11"/>
      <c r="AJ463" s="11"/>
      <c r="AK463" s="11"/>
      <c r="AL463" s="11"/>
      <c r="AM463" s="11"/>
      <c r="AN463" s="11" t="n">
        <f aca="false">SUM(AH463:AM463)</f>
        <v>0</v>
      </c>
      <c r="AO463" s="1"/>
      <c r="AP463" s="1"/>
      <c r="AQ463" s="1"/>
      <c r="AR463" s="1"/>
    </row>
    <row r="464" customFormat="false" ht="13.8" hidden="false" customHeight="false" outlineLevel="0" collapsed="false">
      <c r="A464" s="1" t="s">
        <v>620</v>
      </c>
      <c r="B464" s="1" t="n">
        <v>85</v>
      </c>
      <c r="C464" s="1" t="s">
        <v>618</v>
      </c>
      <c r="D464" s="1" t="s">
        <v>42</v>
      </c>
      <c r="E464" s="1" t="s">
        <v>619</v>
      </c>
      <c r="F464" s="1" t="n">
        <v>10</v>
      </c>
      <c r="G464" s="1" t="n">
        <v>1</v>
      </c>
      <c r="H464" s="1" t="n">
        <v>1</v>
      </c>
      <c r="I464" s="8" t="n">
        <v>367178</v>
      </c>
      <c r="J464" s="1" t="n">
        <v>3</v>
      </c>
      <c r="K464" s="1" t="s">
        <v>96</v>
      </c>
      <c r="L464" s="1" t="n">
        <v>6</v>
      </c>
      <c r="M464" s="1" t="n">
        <v>2</v>
      </c>
      <c r="N464" s="1" t="n">
        <v>3</v>
      </c>
      <c r="O464" s="1" t="n">
        <v>1</v>
      </c>
      <c r="P464" s="1" t="n">
        <f aca="false">SUM(M464:O464)</f>
        <v>6</v>
      </c>
      <c r="W464" s="1" t="n">
        <f aca="false">SUM(Q464:V464)</f>
        <v>0</v>
      </c>
      <c r="Y464" s="1" t="n">
        <v>5</v>
      </c>
      <c r="AF464" s="9" t="n">
        <f aca="false">SUM(Z464:AE464)</f>
        <v>0</v>
      </c>
      <c r="AG464" s="10"/>
      <c r="AH464" s="11"/>
      <c r="AI464" s="11"/>
      <c r="AJ464" s="11"/>
      <c r="AK464" s="11"/>
      <c r="AL464" s="11"/>
      <c r="AM464" s="11"/>
      <c r="AN464" s="11" t="n">
        <f aca="false">SUM(AH464:AM464)</f>
        <v>0</v>
      </c>
      <c r="AO464" s="1"/>
      <c r="AP464" s="1"/>
      <c r="AQ464" s="1"/>
      <c r="AR464" s="1"/>
    </row>
    <row r="465" customFormat="false" ht="13.8" hidden="false" customHeight="false" outlineLevel="0" collapsed="false">
      <c r="A465" s="1" t="s">
        <v>621</v>
      </c>
      <c r="B465" s="1" t="n">
        <v>807</v>
      </c>
      <c r="C465" s="1" t="s">
        <v>618</v>
      </c>
      <c r="D465" s="1" t="s">
        <v>42</v>
      </c>
      <c r="E465" s="1" t="s">
        <v>619</v>
      </c>
      <c r="F465" s="1" t="n">
        <v>11</v>
      </c>
      <c r="G465" s="1" t="n">
        <v>1</v>
      </c>
      <c r="H465" s="1" t="n">
        <v>8</v>
      </c>
      <c r="I465" s="8" t="n">
        <v>714241</v>
      </c>
      <c r="J465" s="1" t="n">
        <v>3</v>
      </c>
      <c r="K465" s="1" t="s">
        <v>96</v>
      </c>
      <c r="L465" s="1" t="n">
        <v>6</v>
      </c>
      <c r="M465" s="1" t="n">
        <v>2</v>
      </c>
      <c r="O465" s="1" t="n">
        <v>1</v>
      </c>
      <c r="P465" s="1" t="n">
        <f aca="false">SUM(M465:O465)</f>
        <v>3</v>
      </c>
      <c r="W465" s="1" t="n">
        <f aca="false">SUM(Q465:V465)</f>
        <v>0</v>
      </c>
      <c r="X465" s="1" t="n">
        <v>2</v>
      </c>
      <c r="Y465" s="1" t="n">
        <v>1</v>
      </c>
      <c r="AF465" s="9" t="n">
        <f aca="false">SUM(Z465:AE465)</f>
        <v>0</v>
      </c>
      <c r="AG465" s="10"/>
      <c r="AH465" s="11"/>
      <c r="AI465" s="11"/>
      <c r="AJ465" s="11"/>
      <c r="AK465" s="11"/>
      <c r="AL465" s="11"/>
      <c r="AM465" s="11"/>
      <c r="AN465" s="11" t="n">
        <f aca="false">SUM(AH465:AM465)</f>
        <v>0</v>
      </c>
      <c r="AO465" s="1"/>
      <c r="AP465" s="1"/>
      <c r="AQ465" s="1"/>
      <c r="AR465" s="1"/>
    </row>
    <row r="466" customFormat="false" ht="13.8" hidden="false" customHeight="false" outlineLevel="0" collapsed="false">
      <c r="A466" s="1" t="s">
        <v>622</v>
      </c>
      <c r="B466" s="1" t="n">
        <v>762</v>
      </c>
      <c r="C466" s="1" t="s">
        <v>618</v>
      </c>
      <c r="D466" s="1" t="s">
        <v>42</v>
      </c>
      <c r="E466" s="1" t="s">
        <v>619</v>
      </c>
      <c r="F466" s="1" t="n">
        <v>5</v>
      </c>
      <c r="G466" s="1" t="n">
        <v>1</v>
      </c>
      <c r="H466" s="1" t="n">
        <v>2</v>
      </c>
      <c r="I466" s="8" t="n">
        <v>1001221</v>
      </c>
      <c r="J466" s="1" t="n">
        <v>3</v>
      </c>
      <c r="K466" s="1" t="s">
        <v>96</v>
      </c>
      <c r="L466" s="1" t="n">
        <v>6</v>
      </c>
      <c r="O466" s="1" t="n">
        <v>1</v>
      </c>
      <c r="P466" s="1" t="n">
        <f aca="false">SUM(M466:O466)</f>
        <v>1</v>
      </c>
      <c r="R466" s="1" t="n">
        <v>7</v>
      </c>
      <c r="U466" s="1" t="n">
        <v>19</v>
      </c>
      <c r="W466" s="1" t="n">
        <f aca="false">SUM(Q466:V466)</f>
        <v>26</v>
      </c>
      <c r="AA466" s="9" t="n">
        <f aca="false">(R466)*(1+(J466)*0.2)</f>
        <v>11.2</v>
      </c>
      <c r="AD466" s="9" t="n">
        <f aca="false">(U466)*(1+(J466)*0.2)</f>
        <v>30.4</v>
      </c>
      <c r="AF466" s="9" t="n">
        <f aca="false">SUM(Z466:AE466)</f>
        <v>41.6</v>
      </c>
      <c r="AG466" s="10" t="s">
        <v>47</v>
      </c>
      <c r="AH466" s="11"/>
      <c r="AI466" s="11" t="n">
        <f aca="false">IF(AG466="yes",AA466*1.2,AA466)</f>
        <v>13.44</v>
      </c>
      <c r="AJ466" s="11"/>
      <c r="AK466" s="11"/>
      <c r="AL466" s="11" t="n">
        <f aca="false">IF(AG466="yes",AD466*1.2,AD466)</f>
        <v>36.48</v>
      </c>
      <c r="AM466" s="11"/>
      <c r="AN466" s="11" t="n">
        <f aca="false">SUM(AH466:AM466)</f>
        <v>49.92</v>
      </c>
      <c r="AO466" s="1"/>
      <c r="AP466" s="1"/>
      <c r="AQ466" s="1"/>
      <c r="AR466" s="1"/>
    </row>
    <row r="467" customFormat="false" ht="13.8" hidden="false" customHeight="false" outlineLevel="0" collapsed="false">
      <c r="A467" s="1" t="s">
        <v>623</v>
      </c>
      <c r="B467" s="1" t="n">
        <v>90</v>
      </c>
      <c r="C467" s="1" t="s">
        <v>618</v>
      </c>
      <c r="D467" s="1" t="s">
        <v>42</v>
      </c>
      <c r="E467" s="1" t="s">
        <v>619</v>
      </c>
      <c r="F467" s="1" t="n">
        <v>10</v>
      </c>
      <c r="G467" s="1" t="n">
        <v>1</v>
      </c>
      <c r="H467" s="1" t="n">
        <v>7</v>
      </c>
      <c r="I467" s="8" t="n">
        <v>1837941</v>
      </c>
      <c r="J467" s="1" t="n">
        <v>3</v>
      </c>
      <c r="K467" s="1" t="s">
        <v>46</v>
      </c>
      <c r="L467" s="1" t="n">
        <v>4</v>
      </c>
      <c r="P467" s="1" t="n">
        <f aca="false">SUM(M467:O467)</f>
        <v>0</v>
      </c>
      <c r="U467" s="1" t="n">
        <v>8</v>
      </c>
      <c r="W467" s="1" t="n">
        <f aca="false">SUM(Q467:V467)</f>
        <v>8</v>
      </c>
      <c r="AD467" s="9" t="n">
        <f aca="false">(U467)*(1+(J467)*0.2)</f>
        <v>12.8</v>
      </c>
      <c r="AF467" s="9" t="n">
        <f aca="false">SUM(Z467:AE467)</f>
        <v>12.8</v>
      </c>
      <c r="AG467" s="10" t="s">
        <v>47</v>
      </c>
      <c r="AH467" s="11"/>
      <c r="AI467" s="11"/>
      <c r="AJ467" s="11"/>
      <c r="AK467" s="11"/>
      <c r="AL467" s="11" t="n">
        <f aca="false">IF(AG467="yes",AD467*1.2,AD467)</f>
        <v>15.36</v>
      </c>
      <c r="AM467" s="11"/>
      <c r="AN467" s="11" t="n">
        <f aca="false">SUM(AH467:AM467)</f>
        <v>15.36</v>
      </c>
      <c r="AO467" s="1"/>
      <c r="AP467" s="1"/>
      <c r="AQ467" s="1"/>
      <c r="AR467" s="1"/>
    </row>
    <row r="468" customFormat="false" ht="13.8" hidden="false" customHeight="false" outlineLevel="0" collapsed="false">
      <c r="A468" s="1" t="s">
        <v>624</v>
      </c>
      <c r="B468" s="1" t="n">
        <v>88</v>
      </c>
      <c r="C468" s="1" t="s">
        <v>618</v>
      </c>
      <c r="D468" s="1" t="s">
        <v>42</v>
      </c>
      <c r="E468" s="1" t="s">
        <v>619</v>
      </c>
      <c r="F468" s="1" t="n">
        <v>24</v>
      </c>
      <c r="G468" s="1" t="n">
        <v>1</v>
      </c>
      <c r="H468" s="1" t="n">
        <v>14</v>
      </c>
      <c r="I468" s="8" t="n">
        <v>3697308</v>
      </c>
      <c r="J468" s="1" t="n">
        <v>3</v>
      </c>
      <c r="K468" s="1" t="s">
        <v>57</v>
      </c>
      <c r="L468" s="1" t="n">
        <v>8</v>
      </c>
      <c r="M468" s="1" t="n">
        <v>1</v>
      </c>
      <c r="O468" s="1" t="n">
        <v>3</v>
      </c>
      <c r="P468" s="1" t="n">
        <f aca="false">SUM(M468:O468)</f>
        <v>4</v>
      </c>
      <c r="Q468" s="1" t="n">
        <v>3</v>
      </c>
      <c r="U468" s="1" t="n">
        <v>5</v>
      </c>
      <c r="W468" s="1" t="n">
        <f aca="false">SUM(Q468:V468)</f>
        <v>8</v>
      </c>
      <c r="X468" s="1" t="n">
        <v>4</v>
      </c>
      <c r="Z468" s="9" t="n">
        <f aca="false">(Q468)*(1+(J468)*0.2)</f>
        <v>4.8</v>
      </c>
      <c r="AD468" s="9" t="n">
        <f aca="false">(U468)*(1+(J468)*0.2)</f>
        <v>8</v>
      </c>
      <c r="AF468" s="9" t="n">
        <f aca="false">SUM(Z468:AE468)</f>
        <v>12.8</v>
      </c>
      <c r="AG468" s="10" t="s">
        <v>47</v>
      </c>
      <c r="AH468" s="11" t="n">
        <f aca="false">IF(AG468="yes",Z468*1.2,Z468)</f>
        <v>5.76</v>
      </c>
      <c r="AI468" s="11"/>
      <c r="AJ468" s="11"/>
      <c r="AK468" s="11"/>
      <c r="AL468" s="11" t="n">
        <f aca="false">IF(AG468="yes",AD468*1.2,AD468)</f>
        <v>9.6</v>
      </c>
      <c r="AM468" s="11"/>
      <c r="AN468" s="11" t="n">
        <f aca="false">SUM(AH468:AM468)</f>
        <v>15.36</v>
      </c>
      <c r="AO468" s="1"/>
      <c r="AP468" s="1"/>
      <c r="AQ468" s="1"/>
      <c r="AR468" s="1"/>
    </row>
    <row r="469" customFormat="false" ht="13.8" hidden="false" customHeight="false" outlineLevel="0" collapsed="false">
      <c r="A469" s="1" t="s">
        <v>625</v>
      </c>
      <c r="B469" s="1" t="n">
        <v>87</v>
      </c>
      <c r="C469" s="1" t="s">
        <v>618</v>
      </c>
      <c r="D469" s="1" t="s">
        <v>42</v>
      </c>
      <c r="E469" s="1" t="s">
        <v>619</v>
      </c>
      <c r="F469" s="1" t="n">
        <v>10</v>
      </c>
      <c r="G469" s="1" t="n">
        <v>1</v>
      </c>
      <c r="H469" s="1" t="n">
        <v>7</v>
      </c>
      <c r="I469" s="8" t="n">
        <v>2635213</v>
      </c>
      <c r="J469" s="1" t="n">
        <v>3</v>
      </c>
      <c r="K469" s="1" t="s">
        <v>46</v>
      </c>
      <c r="L469" s="1" t="n">
        <v>4</v>
      </c>
      <c r="O469" s="1" t="n">
        <v>2</v>
      </c>
      <c r="P469" s="1" t="n">
        <f aca="false">SUM(M469:O469)</f>
        <v>2</v>
      </c>
      <c r="W469" s="1" t="n">
        <f aca="false">SUM(Q469:V469)</f>
        <v>0</v>
      </c>
      <c r="AF469" s="9" t="n">
        <f aca="false">SUM(Z469:AE469)</f>
        <v>0</v>
      </c>
      <c r="AG469" s="10"/>
      <c r="AH469" s="11"/>
      <c r="AI469" s="11"/>
      <c r="AJ469" s="11"/>
      <c r="AK469" s="11"/>
      <c r="AL469" s="11"/>
      <c r="AM469" s="11"/>
      <c r="AN469" s="11" t="n">
        <f aca="false">SUM(AH469:AM469)</f>
        <v>0</v>
      </c>
      <c r="AO469" s="1"/>
      <c r="AP469" s="1"/>
      <c r="AQ469" s="1"/>
      <c r="AR469" s="1"/>
    </row>
    <row r="470" customFormat="false" ht="13.8" hidden="false" customHeight="false" outlineLevel="0" collapsed="false">
      <c r="A470" s="1" t="s">
        <v>626</v>
      </c>
      <c r="B470" s="1" t="n">
        <v>92</v>
      </c>
      <c r="C470" s="1" t="s">
        <v>618</v>
      </c>
      <c r="D470" s="1" t="s">
        <v>42</v>
      </c>
      <c r="E470" s="1" t="s">
        <v>619</v>
      </c>
      <c r="F470" s="1" t="n">
        <v>1</v>
      </c>
      <c r="G470" s="1" t="n">
        <v>1</v>
      </c>
      <c r="H470" s="1" t="n">
        <v>9</v>
      </c>
      <c r="I470" s="8" t="n">
        <v>2467609</v>
      </c>
      <c r="J470" s="1" t="n">
        <v>3</v>
      </c>
      <c r="K470" s="1" t="s">
        <v>46</v>
      </c>
      <c r="L470" s="1" t="n">
        <v>4</v>
      </c>
      <c r="O470" s="1" t="n">
        <v>2</v>
      </c>
      <c r="P470" s="1" t="n">
        <f aca="false">SUM(M470:O470)</f>
        <v>2</v>
      </c>
      <c r="W470" s="1" t="n">
        <f aca="false">SUM(Q470:V470)</f>
        <v>0</v>
      </c>
      <c r="X470" s="1" t="n">
        <v>1</v>
      </c>
      <c r="AD470" s="9"/>
      <c r="AF470" s="9" t="n">
        <f aca="false">SUM(Z470:AE470)</f>
        <v>0</v>
      </c>
      <c r="AG470" s="10"/>
      <c r="AH470" s="11"/>
      <c r="AI470" s="11"/>
      <c r="AJ470" s="11"/>
      <c r="AK470" s="11"/>
      <c r="AL470" s="11"/>
      <c r="AM470" s="11"/>
      <c r="AN470" s="11" t="n">
        <f aca="false">SUM(AH470:AM470)</f>
        <v>0</v>
      </c>
      <c r="AO470" s="1"/>
      <c r="AP470" s="1"/>
      <c r="AQ470" s="1"/>
      <c r="AR470" s="1"/>
    </row>
    <row r="471" customFormat="false" ht="13.8" hidden="false" customHeight="false" outlineLevel="0" collapsed="false">
      <c r="A471" s="1" t="s">
        <v>627</v>
      </c>
      <c r="B471" s="1" t="n">
        <v>91</v>
      </c>
      <c r="C471" s="1" t="s">
        <v>618</v>
      </c>
      <c r="D471" s="1" t="s">
        <v>42</v>
      </c>
      <c r="E471" s="1" t="s">
        <v>619</v>
      </c>
      <c r="F471" s="1" t="n">
        <v>3</v>
      </c>
      <c r="G471" s="1" t="n">
        <v>1</v>
      </c>
      <c r="H471" s="1" t="n">
        <v>10</v>
      </c>
      <c r="I471" s="8" t="n">
        <v>3231740</v>
      </c>
      <c r="J471" s="1" t="n">
        <v>3</v>
      </c>
      <c r="K471" s="1" t="s">
        <v>96</v>
      </c>
      <c r="L471" s="1" t="n">
        <v>6</v>
      </c>
      <c r="O471" s="1" t="n">
        <v>3</v>
      </c>
      <c r="P471" s="1" t="n">
        <f aca="false">SUM(M471:O471)</f>
        <v>3</v>
      </c>
      <c r="W471" s="1" t="n">
        <f aca="false">SUM(Q471:V471)</f>
        <v>0</v>
      </c>
      <c r="X471" s="1" t="n">
        <v>5</v>
      </c>
      <c r="AF471" s="9" t="n">
        <f aca="false">SUM(Z471:AE471)</f>
        <v>0</v>
      </c>
      <c r="AG471" s="10"/>
      <c r="AH471" s="11"/>
      <c r="AI471" s="11"/>
      <c r="AJ471" s="11"/>
      <c r="AK471" s="11"/>
      <c r="AL471" s="11"/>
      <c r="AM471" s="11"/>
      <c r="AN471" s="11" t="n">
        <f aca="false">SUM(AH471:AM471)</f>
        <v>0</v>
      </c>
      <c r="AO471" s="1"/>
      <c r="AP471" s="1"/>
      <c r="AQ471" s="1"/>
      <c r="AR471" s="1"/>
    </row>
    <row r="472" customFormat="false" ht="13.8" hidden="false" customHeight="false" outlineLevel="0" collapsed="false">
      <c r="A472" s="1" t="s">
        <v>628</v>
      </c>
      <c r="B472" s="1" t="n">
        <v>95</v>
      </c>
      <c r="C472" s="1" t="s">
        <v>618</v>
      </c>
      <c r="D472" s="1" t="s">
        <v>42</v>
      </c>
      <c r="E472" s="1" t="s">
        <v>619</v>
      </c>
      <c r="F472" s="13" t="n">
        <v>4</v>
      </c>
      <c r="G472" s="1" t="n">
        <v>1</v>
      </c>
      <c r="H472" s="1" t="n">
        <v>11</v>
      </c>
      <c r="I472" s="8" t="n">
        <v>1600852</v>
      </c>
      <c r="J472" s="1" t="n">
        <v>3</v>
      </c>
      <c r="K472" s="1" t="s">
        <v>44</v>
      </c>
      <c r="L472" s="1" t="n">
        <v>2</v>
      </c>
      <c r="P472" s="1" t="n">
        <f aca="false">SUM(M472:O472)</f>
        <v>0</v>
      </c>
      <c r="W472" s="1" t="n">
        <f aca="false">SUM(Q472:V472)</f>
        <v>0</v>
      </c>
      <c r="X472" s="1" t="n">
        <v>3</v>
      </c>
      <c r="AE472" s="20"/>
      <c r="AF472" s="9" t="n">
        <f aca="false">SUM(Z472:AE472)</f>
        <v>0</v>
      </c>
      <c r="AG472" s="10"/>
      <c r="AH472" s="11"/>
      <c r="AI472" s="11"/>
      <c r="AJ472" s="11"/>
      <c r="AK472" s="11"/>
      <c r="AL472" s="11"/>
      <c r="AM472" s="11"/>
      <c r="AN472" s="11" t="n">
        <f aca="false">SUM(AH472:AM472)</f>
        <v>0</v>
      </c>
      <c r="AO472" s="1"/>
      <c r="AP472" s="1"/>
      <c r="AQ472" s="1"/>
      <c r="AR472" s="1"/>
    </row>
    <row r="473" customFormat="false" ht="13.8" hidden="false" customHeight="false" outlineLevel="0" collapsed="false">
      <c r="A473" s="1" t="s">
        <v>629</v>
      </c>
      <c r="B473" s="1" t="n">
        <v>98</v>
      </c>
      <c r="C473" s="1" t="s">
        <v>618</v>
      </c>
      <c r="D473" s="1" t="s">
        <v>42</v>
      </c>
      <c r="E473" s="1" t="s">
        <v>619</v>
      </c>
      <c r="F473" s="1" t="n">
        <v>5</v>
      </c>
      <c r="G473" s="1" t="n">
        <v>1</v>
      </c>
      <c r="H473" s="1" t="n">
        <v>9</v>
      </c>
      <c r="I473" s="8" t="n">
        <v>1413824</v>
      </c>
      <c r="J473" s="1" t="n">
        <v>3</v>
      </c>
      <c r="K473" s="1" t="s">
        <v>44</v>
      </c>
      <c r="L473" s="1" t="n">
        <v>2</v>
      </c>
      <c r="P473" s="1" t="n">
        <f aca="false">SUM(M473:O473)</f>
        <v>0</v>
      </c>
      <c r="W473" s="1" t="n">
        <f aca="false">SUM(Q473:V473)</f>
        <v>0</v>
      </c>
      <c r="AF473" s="9" t="n">
        <f aca="false">SUM(Z473:AE473)</f>
        <v>0</v>
      </c>
      <c r="AG473" s="10"/>
      <c r="AH473" s="11"/>
      <c r="AI473" s="11"/>
      <c r="AJ473" s="11"/>
      <c r="AK473" s="11"/>
      <c r="AL473" s="11"/>
      <c r="AM473" s="11"/>
      <c r="AN473" s="11" t="n">
        <f aca="false">SUM(AH473:AM473)</f>
        <v>0</v>
      </c>
      <c r="AO473" s="1"/>
      <c r="AP473" s="1"/>
      <c r="AQ473" s="1"/>
      <c r="AR473" s="1"/>
    </row>
    <row r="474" customFormat="false" ht="13.8" hidden="false" customHeight="false" outlineLevel="0" collapsed="false">
      <c r="A474" s="1" t="s">
        <v>630</v>
      </c>
      <c r="B474" s="1" t="n">
        <v>94</v>
      </c>
      <c r="C474" s="1" t="s">
        <v>618</v>
      </c>
      <c r="D474" s="1" t="s">
        <v>42</v>
      </c>
      <c r="E474" s="1" t="s">
        <v>619</v>
      </c>
      <c r="F474" s="1" t="n">
        <v>2</v>
      </c>
      <c r="G474" s="1" t="n">
        <v>1</v>
      </c>
      <c r="H474" s="1" t="n">
        <v>16</v>
      </c>
      <c r="I474" s="8" t="n">
        <v>1233704</v>
      </c>
      <c r="J474" s="1" t="n">
        <v>2</v>
      </c>
      <c r="K474" s="1" t="s">
        <v>44</v>
      </c>
      <c r="L474" s="1" t="n">
        <v>2</v>
      </c>
      <c r="P474" s="1" t="n">
        <f aca="false">SUM(M474:O474)</f>
        <v>0</v>
      </c>
      <c r="W474" s="1" t="n">
        <f aca="false">SUM(Q474:V474)</f>
        <v>0</v>
      </c>
      <c r="AF474" s="9" t="n">
        <f aca="false">SUM(Z474:AE474)</f>
        <v>0</v>
      </c>
      <c r="AG474" s="10"/>
      <c r="AH474" s="11"/>
      <c r="AI474" s="11"/>
      <c r="AJ474" s="11"/>
      <c r="AK474" s="11"/>
      <c r="AL474" s="11"/>
      <c r="AM474" s="11"/>
      <c r="AN474" s="11" t="n">
        <f aca="false">SUM(AH474:AM474)</f>
        <v>0</v>
      </c>
      <c r="AO474" s="1"/>
      <c r="AP474" s="1"/>
      <c r="AQ474" s="1"/>
      <c r="AR474" s="1"/>
    </row>
    <row r="475" customFormat="false" ht="13.8" hidden="false" customHeight="false" outlineLevel="0" collapsed="false">
      <c r="A475" s="1" t="s">
        <v>631</v>
      </c>
      <c r="B475" s="1" t="n">
        <v>86</v>
      </c>
      <c r="C475" s="1" t="s">
        <v>618</v>
      </c>
      <c r="D475" s="1" t="s">
        <v>42</v>
      </c>
      <c r="E475" s="1" t="s">
        <v>619</v>
      </c>
      <c r="F475" s="1" t="n">
        <v>10</v>
      </c>
      <c r="G475" s="1" t="n">
        <v>1</v>
      </c>
      <c r="H475" s="1" t="n">
        <v>9</v>
      </c>
      <c r="I475" s="8" t="n">
        <v>2109071</v>
      </c>
      <c r="J475" s="1" t="n">
        <v>3</v>
      </c>
      <c r="K475" s="1" t="s">
        <v>96</v>
      </c>
      <c r="L475" s="1" t="n">
        <v>6</v>
      </c>
      <c r="O475" s="1" t="n">
        <v>1</v>
      </c>
      <c r="P475" s="1" t="n">
        <f aca="false">SUM(M475:O475)</f>
        <v>1</v>
      </c>
      <c r="W475" s="1" t="n">
        <f aca="false">SUM(Q475:V475)</f>
        <v>0</v>
      </c>
      <c r="X475" s="1" t="n">
        <v>3</v>
      </c>
      <c r="AF475" s="9" t="n">
        <f aca="false">SUM(Z475:AE475)</f>
        <v>0</v>
      </c>
      <c r="AG475" s="10"/>
      <c r="AH475" s="11"/>
      <c r="AI475" s="11"/>
      <c r="AJ475" s="11"/>
      <c r="AK475" s="11"/>
      <c r="AL475" s="11"/>
      <c r="AM475" s="11"/>
      <c r="AN475" s="11" t="n">
        <f aca="false">SUM(AH475:AM475)</f>
        <v>0</v>
      </c>
      <c r="AO475" s="1"/>
      <c r="AP475" s="1"/>
      <c r="AQ475" s="1"/>
      <c r="AR475" s="1"/>
    </row>
    <row r="476" customFormat="false" ht="13.8" hidden="false" customHeight="false" outlineLevel="0" collapsed="false">
      <c r="A476" s="1" t="s">
        <v>632</v>
      </c>
      <c r="B476" s="1" t="n">
        <v>89</v>
      </c>
      <c r="C476" s="1" t="s">
        <v>618</v>
      </c>
      <c r="D476" s="1" t="s">
        <v>42</v>
      </c>
      <c r="E476" s="1" t="s">
        <v>619</v>
      </c>
      <c r="F476" s="1" t="n">
        <v>1</v>
      </c>
      <c r="G476" s="1" t="n">
        <v>1</v>
      </c>
      <c r="H476" s="1" t="n">
        <v>7</v>
      </c>
      <c r="I476" s="8" t="n">
        <v>2182961</v>
      </c>
      <c r="J476" s="1" t="n">
        <v>3</v>
      </c>
      <c r="K476" s="1" t="s">
        <v>46</v>
      </c>
      <c r="L476" s="1" t="n">
        <v>4</v>
      </c>
      <c r="P476" s="1" t="n">
        <f aca="false">SUM(M476:O476)</f>
        <v>0</v>
      </c>
      <c r="W476" s="1" t="n">
        <f aca="false">SUM(Q476:V476)</f>
        <v>0</v>
      </c>
      <c r="X476" s="1" t="n">
        <v>3</v>
      </c>
      <c r="AF476" s="9" t="n">
        <f aca="false">SUM(Z476:AE476)</f>
        <v>0</v>
      </c>
      <c r="AG476" s="10"/>
      <c r="AH476" s="11"/>
      <c r="AI476" s="11"/>
      <c r="AJ476" s="11"/>
      <c r="AK476" s="11"/>
      <c r="AL476" s="11"/>
      <c r="AM476" s="11"/>
      <c r="AN476" s="11" t="n">
        <f aca="false">SUM(AH476:AM476)</f>
        <v>0</v>
      </c>
      <c r="AO476" s="1"/>
      <c r="AP476" s="1"/>
      <c r="AQ476" s="1"/>
      <c r="AR476" s="1"/>
    </row>
    <row r="477" customFormat="false" ht="13.8" hidden="false" customHeight="false" outlineLevel="0" collapsed="false">
      <c r="A477" s="1" t="s">
        <v>633</v>
      </c>
      <c r="B477" s="1" t="n">
        <v>10</v>
      </c>
      <c r="C477" s="1" t="s">
        <v>618</v>
      </c>
      <c r="D477" s="1" t="s">
        <v>42</v>
      </c>
      <c r="E477" s="1" t="s">
        <v>619</v>
      </c>
      <c r="F477" s="1" t="n">
        <v>26</v>
      </c>
      <c r="G477" s="1" t="n">
        <v>1</v>
      </c>
      <c r="H477" s="1" t="n">
        <v>9</v>
      </c>
      <c r="I477" s="8" t="n">
        <v>3092771</v>
      </c>
      <c r="J477" s="1" t="n">
        <v>4</v>
      </c>
      <c r="K477" s="1" t="s">
        <v>57</v>
      </c>
      <c r="L477" s="1" t="n">
        <v>8</v>
      </c>
      <c r="M477" s="1" t="n">
        <v>6</v>
      </c>
      <c r="O477" s="1" t="n">
        <v>2</v>
      </c>
      <c r="P477" s="1" t="n">
        <f aca="false">SUM(M477:O477)</f>
        <v>8</v>
      </c>
      <c r="W477" s="1" t="n">
        <f aca="false">SUM(Q477:V477)</f>
        <v>0</v>
      </c>
      <c r="X477" s="1" t="n">
        <v>5</v>
      </c>
      <c r="AA477" s="9"/>
      <c r="AF477" s="9" t="n">
        <f aca="false">SUM(Z477:AE477)</f>
        <v>0</v>
      </c>
      <c r="AG477" s="10"/>
      <c r="AH477" s="11"/>
      <c r="AI477" s="11"/>
      <c r="AJ477" s="11"/>
      <c r="AK477" s="11"/>
      <c r="AL477" s="11"/>
      <c r="AM477" s="11"/>
      <c r="AN477" s="11" t="n">
        <f aca="false">SUM(AH477:AM477)</f>
        <v>0</v>
      </c>
      <c r="AO477" s="1"/>
      <c r="AP477" s="1"/>
      <c r="AQ477" s="1"/>
      <c r="AR477" s="1"/>
    </row>
    <row r="478" customFormat="false" ht="13.8" hidden="false" customHeight="false" outlineLevel="0" collapsed="false">
      <c r="A478" s="1" t="s">
        <v>634</v>
      </c>
      <c r="B478" s="1" t="n">
        <v>96</v>
      </c>
      <c r="C478" s="1" t="s">
        <v>618</v>
      </c>
      <c r="D478" s="1" t="s">
        <v>42</v>
      </c>
      <c r="E478" s="1" t="s">
        <v>619</v>
      </c>
      <c r="F478" s="1" t="n">
        <v>1</v>
      </c>
      <c r="G478" s="1" t="n">
        <v>1</v>
      </c>
      <c r="H478" s="1" t="n">
        <v>7</v>
      </c>
      <c r="I478" s="8" t="n">
        <v>726886</v>
      </c>
      <c r="J478" s="1" t="n">
        <v>2</v>
      </c>
      <c r="K478" s="1" t="s">
        <v>44</v>
      </c>
      <c r="L478" s="1" t="n">
        <v>2</v>
      </c>
      <c r="P478" s="1" t="n">
        <f aca="false">SUM(M478:O478)</f>
        <v>0</v>
      </c>
      <c r="W478" s="1" t="n">
        <f aca="false">SUM(Q478:V478)</f>
        <v>0</v>
      </c>
      <c r="AF478" s="9" t="n">
        <f aca="false">SUM(Z478:AE478)</f>
        <v>0</v>
      </c>
      <c r="AG478" s="10"/>
      <c r="AH478" s="11"/>
      <c r="AI478" s="11"/>
      <c r="AJ478" s="11"/>
      <c r="AK478" s="11"/>
      <c r="AL478" s="11"/>
      <c r="AM478" s="11"/>
      <c r="AN478" s="11" t="n">
        <f aca="false">SUM(AH478:AM478)</f>
        <v>0</v>
      </c>
      <c r="AO478" s="1"/>
      <c r="AP478" s="1"/>
      <c r="AQ478" s="1"/>
      <c r="AR478" s="1"/>
    </row>
    <row r="479" customFormat="false" ht="13.8" hidden="false" customHeight="false" outlineLevel="0" collapsed="false">
      <c r="A479" s="1" t="s">
        <v>635</v>
      </c>
      <c r="B479" s="1" t="n">
        <v>784</v>
      </c>
      <c r="C479" s="1" t="s">
        <v>618</v>
      </c>
      <c r="D479" s="1" t="s">
        <v>42</v>
      </c>
      <c r="E479" s="1" t="s">
        <v>619</v>
      </c>
      <c r="F479" s="1" t="n">
        <v>3</v>
      </c>
      <c r="G479" s="1" t="n">
        <v>1</v>
      </c>
      <c r="H479" s="1" t="n">
        <v>4</v>
      </c>
      <c r="I479" s="8" t="n">
        <v>517712</v>
      </c>
      <c r="J479" s="1" t="n">
        <v>3</v>
      </c>
      <c r="K479" s="1" t="s">
        <v>44</v>
      </c>
      <c r="L479" s="1" t="n">
        <v>2</v>
      </c>
      <c r="O479" s="1" t="n">
        <v>1</v>
      </c>
      <c r="P479" s="1" t="n">
        <f aca="false">SUM(M479:O479)</f>
        <v>1</v>
      </c>
      <c r="W479" s="1" t="n">
        <f aca="false">SUM(Q479:V479)</f>
        <v>0</v>
      </c>
      <c r="X479" s="1" t="n">
        <v>5</v>
      </c>
      <c r="AA479" s="9"/>
      <c r="AF479" s="9" t="n">
        <f aca="false">SUM(Z479:AE479)</f>
        <v>0</v>
      </c>
      <c r="AG479" s="10"/>
      <c r="AH479" s="11"/>
      <c r="AI479" s="11"/>
      <c r="AJ479" s="11"/>
      <c r="AK479" s="11"/>
      <c r="AL479" s="11"/>
      <c r="AM479" s="11"/>
      <c r="AN479" s="11" t="n">
        <f aca="false">SUM(AH479:AM479)</f>
        <v>0</v>
      </c>
      <c r="AO479" s="1"/>
      <c r="AP479" s="1"/>
      <c r="AQ479" s="1"/>
      <c r="AR479" s="1"/>
    </row>
    <row r="480" customFormat="false" ht="13.8" hidden="false" customHeight="false" outlineLevel="0" collapsed="false">
      <c r="A480" s="1" t="s">
        <v>636</v>
      </c>
      <c r="B480" s="1" t="n">
        <v>93</v>
      </c>
      <c r="C480" s="1" t="s">
        <v>618</v>
      </c>
      <c r="D480" s="1" t="s">
        <v>42</v>
      </c>
      <c r="E480" s="1" t="s">
        <v>619</v>
      </c>
      <c r="F480" s="1" t="n">
        <v>4</v>
      </c>
      <c r="G480" s="1" t="n">
        <v>1</v>
      </c>
      <c r="H480" s="1" t="n">
        <v>10</v>
      </c>
      <c r="I480" s="8" t="n">
        <v>1988024</v>
      </c>
      <c r="J480" s="1" t="n">
        <v>3</v>
      </c>
      <c r="K480" s="1" t="s">
        <v>46</v>
      </c>
      <c r="L480" s="1" t="n">
        <v>4</v>
      </c>
      <c r="P480" s="1" t="n">
        <f aca="false">SUM(M480:O480)</f>
        <v>0</v>
      </c>
      <c r="W480" s="1" t="n">
        <f aca="false">SUM(Q480:V480)</f>
        <v>0</v>
      </c>
      <c r="AF480" s="9" t="n">
        <f aca="false">SUM(Z480:AE480)</f>
        <v>0</v>
      </c>
      <c r="AG480" s="10"/>
      <c r="AH480" s="11"/>
      <c r="AI480" s="11"/>
      <c r="AJ480" s="11"/>
      <c r="AK480" s="11"/>
      <c r="AL480" s="11"/>
      <c r="AM480" s="11"/>
      <c r="AN480" s="11" t="n">
        <f aca="false">SUM(AH480:AM480)</f>
        <v>0</v>
      </c>
      <c r="AO480" s="1"/>
      <c r="AP480" s="1"/>
      <c r="AQ480" s="1"/>
      <c r="AR480" s="1"/>
    </row>
    <row r="481" customFormat="false" ht="13.8" hidden="false" customHeight="false" outlineLevel="0" collapsed="false">
      <c r="A481" s="1" t="s">
        <v>637</v>
      </c>
      <c r="B481" s="1" t="n">
        <v>698</v>
      </c>
      <c r="C481" s="1" t="s">
        <v>638</v>
      </c>
      <c r="D481" s="1" t="s">
        <v>42</v>
      </c>
      <c r="E481" s="1" t="s">
        <v>639</v>
      </c>
      <c r="F481" s="1" t="n">
        <v>3</v>
      </c>
      <c r="G481" s="1" t="n">
        <v>1</v>
      </c>
      <c r="H481" s="1" t="n">
        <v>1</v>
      </c>
      <c r="I481" s="8" t="n">
        <v>212271</v>
      </c>
      <c r="J481" s="1" t="n">
        <v>2</v>
      </c>
      <c r="K481" s="1" t="s">
        <v>84</v>
      </c>
      <c r="L481" s="1" t="n">
        <v>1</v>
      </c>
      <c r="P481" s="1" t="n">
        <f aca="false">SUM(M481:O481)</f>
        <v>0</v>
      </c>
      <c r="W481" s="1" t="n">
        <f aca="false">SUM(Q481:V481)</f>
        <v>0</v>
      </c>
      <c r="Y481" s="1" t="n">
        <v>3</v>
      </c>
      <c r="AF481" s="9" t="n">
        <f aca="false">SUM(Z481:AE481)</f>
        <v>0</v>
      </c>
      <c r="AG481" s="10"/>
      <c r="AH481" s="11"/>
      <c r="AI481" s="11"/>
      <c r="AJ481" s="11"/>
      <c r="AK481" s="11"/>
      <c r="AL481" s="11"/>
      <c r="AM481" s="11"/>
      <c r="AN481" s="11" t="n">
        <f aca="false">SUM(AH481:AM481)</f>
        <v>0</v>
      </c>
      <c r="AO481" s="1"/>
      <c r="AP481" s="1"/>
      <c r="AQ481" s="1"/>
      <c r="AR481" s="1"/>
    </row>
    <row r="482" customFormat="false" ht="13.8" hidden="false" customHeight="false" outlineLevel="0" collapsed="false">
      <c r="A482" s="1" t="s">
        <v>640</v>
      </c>
      <c r="B482" s="1" t="n">
        <v>179</v>
      </c>
      <c r="C482" s="1" t="s">
        <v>638</v>
      </c>
      <c r="D482" s="1" t="s">
        <v>42</v>
      </c>
      <c r="E482" s="1" t="s">
        <v>639</v>
      </c>
      <c r="F482" s="1" t="n">
        <v>4</v>
      </c>
      <c r="G482" s="1" t="n">
        <v>1</v>
      </c>
      <c r="H482" s="1" t="n">
        <v>9</v>
      </c>
      <c r="I482" s="8" t="n">
        <v>778845</v>
      </c>
      <c r="J482" s="1" t="n">
        <v>3</v>
      </c>
      <c r="K482" s="1" t="s">
        <v>44</v>
      </c>
      <c r="L482" s="1" t="n">
        <v>2</v>
      </c>
      <c r="O482" s="1" t="n">
        <v>3</v>
      </c>
      <c r="P482" s="1" t="n">
        <f aca="false">SUM(M482:O482)</f>
        <v>3</v>
      </c>
      <c r="W482" s="1" t="n">
        <f aca="false">SUM(Q482:V482)</f>
        <v>0</v>
      </c>
      <c r="Y482" s="1" t="n">
        <v>2</v>
      </c>
      <c r="AF482" s="9" t="n">
        <f aca="false">SUM(Z482:AE482)</f>
        <v>0</v>
      </c>
      <c r="AG482" s="10"/>
      <c r="AH482" s="11"/>
      <c r="AI482" s="11"/>
      <c r="AJ482" s="11"/>
      <c r="AK482" s="11"/>
      <c r="AL482" s="11"/>
      <c r="AM482" s="11"/>
      <c r="AN482" s="11" t="n">
        <f aca="false">SUM(AH482:AM482)</f>
        <v>0</v>
      </c>
      <c r="AO482" s="1"/>
      <c r="AP482" s="1"/>
      <c r="AQ482" s="1"/>
      <c r="AR482" s="1"/>
    </row>
    <row r="483" customFormat="false" ht="13.8" hidden="false" customHeight="false" outlineLevel="0" collapsed="false">
      <c r="A483" s="1" t="s">
        <v>641</v>
      </c>
      <c r="B483" s="1" t="n">
        <v>702</v>
      </c>
      <c r="C483" s="1" t="s">
        <v>638</v>
      </c>
      <c r="D483" s="1" t="s">
        <v>304</v>
      </c>
      <c r="E483" s="1" t="s">
        <v>639</v>
      </c>
      <c r="G483" s="1" t="n">
        <v>1</v>
      </c>
      <c r="H483" s="1" t="n">
        <v>1</v>
      </c>
      <c r="I483" s="8" t="n">
        <v>150784</v>
      </c>
      <c r="J483" s="1" t="n">
        <v>2</v>
      </c>
      <c r="K483" s="1" t="s">
        <v>84</v>
      </c>
      <c r="L483" s="1" t="n">
        <v>1</v>
      </c>
      <c r="P483" s="1" t="n">
        <f aca="false">SUM(M483:O483)</f>
        <v>0</v>
      </c>
      <c r="W483" s="1" t="n">
        <f aca="false">SUM(Q483:V483)</f>
        <v>0</v>
      </c>
      <c r="Y483" s="1" t="n">
        <v>1</v>
      </c>
      <c r="Z483" s="12"/>
      <c r="AF483" s="9" t="n">
        <f aca="false">SUM(Z483:AE483)</f>
        <v>0</v>
      </c>
      <c r="AG483" s="10"/>
      <c r="AH483" s="11"/>
      <c r="AI483" s="11"/>
      <c r="AJ483" s="11"/>
      <c r="AK483" s="11"/>
      <c r="AL483" s="11"/>
      <c r="AM483" s="11"/>
      <c r="AN483" s="11" t="n">
        <f aca="false">SUM(AH483:AM483)</f>
        <v>0</v>
      </c>
      <c r="AO483" s="1"/>
      <c r="AP483" s="1"/>
      <c r="AQ483" s="1"/>
      <c r="AR483" s="1"/>
    </row>
    <row r="484" customFormat="false" ht="13.8" hidden="false" customHeight="false" outlineLevel="0" collapsed="false">
      <c r="A484" s="1" t="s">
        <v>642</v>
      </c>
      <c r="B484" s="1" t="n">
        <v>321</v>
      </c>
      <c r="C484" s="1" t="s">
        <v>638</v>
      </c>
      <c r="D484" s="1" t="s">
        <v>73</v>
      </c>
      <c r="E484" s="1" t="s">
        <v>639</v>
      </c>
      <c r="F484" s="1" t="n">
        <v>1</v>
      </c>
      <c r="G484" s="1" t="n">
        <v>1</v>
      </c>
      <c r="H484" s="1" t="n">
        <v>1</v>
      </c>
      <c r="I484" s="8" t="n">
        <v>534604</v>
      </c>
      <c r="J484" s="1" t="n">
        <v>3</v>
      </c>
      <c r="K484" s="1" t="s">
        <v>295</v>
      </c>
      <c r="L484" s="1" t="n">
        <v>0</v>
      </c>
      <c r="P484" s="1" t="n">
        <f aca="false">SUM(M484:O484)</f>
        <v>0</v>
      </c>
      <c r="W484" s="1" t="n">
        <f aca="false">SUM(Q484:V484)</f>
        <v>0</v>
      </c>
      <c r="Y484" s="1" t="n">
        <v>1</v>
      </c>
      <c r="AF484" s="9" t="n">
        <f aca="false">SUM(Z484:AE484)</f>
        <v>0</v>
      </c>
      <c r="AG484" s="10"/>
      <c r="AH484" s="11"/>
      <c r="AI484" s="11"/>
      <c r="AJ484" s="11"/>
      <c r="AK484" s="11"/>
      <c r="AL484" s="11"/>
      <c r="AM484" s="11"/>
      <c r="AN484" s="11" t="n">
        <f aca="false">SUM(AH484:AM484)</f>
        <v>0</v>
      </c>
      <c r="AO484" s="1"/>
      <c r="AP484" s="1"/>
      <c r="AQ484" s="1"/>
      <c r="AR484" s="1"/>
    </row>
    <row r="485" customFormat="false" ht="13.8" hidden="false" customHeight="false" outlineLevel="0" collapsed="false">
      <c r="A485" s="1" t="s">
        <v>643</v>
      </c>
      <c r="B485" s="1" t="n">
        <v>181</v>
      </c>
      <c r="C485" s="1" t="s">
        <v>638</v>
      </c>
      <c r="D485" s="1" t="s">
        <v>42</v>
      </c>
      <c r="E485" s="1" t="s">
        <v>639</v>
      </c>
      <c r="F485" s="1" t="n">
        <v>2</v>
      </c>
      <c r="G485" s="1" t="n">
        <v>1</v>
      </c>
      <c r="H485" s="1" t="n">
        <v>8</v>
      </c>
      <c r="I485" s="8" t="n">
        <v>965878</v>
      </c>
      <c r="J485" s="1" t="n">
        <v>2</v>
      </c>
      <c r="K485" s="1" t="s">
        <v>46</v>
      </c>
      <c r="L485" s="1" t="n">
        <v>4</v>
      </c>
      <c r="O485" s="1" t="n">
        <v>2</v>
      </c>
      <c r="P485" s="1" t="n">
        <f aca="false">SUM(M485:O485)</f>
        <v>2</v>
      </c>
      <c r="T485" s="1" t="n">
        <v>95</v>
      </c>
      <c r="W485" s="1" t="n">
        <f aca="false">SUM(Q485:V485)</f>
        <v>95</v>
      </c>
      <c r="AC485" s="9" t="n">
        <f aca="false">(T485)*(1+(J485)*0.2)</f>
        <v>133</v>
      </c>
      <c r="AF485" s="9" t="n">
        <f aca="false">SUM(Z485:AE485)</f>
        <v>133</v>
      </c>
      <c r="AG485" s="10" t="s">
        <v>53</v>
      </c>
      <c r="AH485" s="11"/>
      <c r="AI485" s="11"/>
      <c r="AJ485" s="11"/>
      <c r="AK485" s="11" t="n">
        <f aca="false">IF(AG485="yes",AC485*1.2,AC485)</f>
        <v>133</v>
      </c>
      <c r="AL485" s="11"/>
      <c r="AM485" s="11"/>
      <c r="AN485" s="11" t="n">
        <f aca="false">SUM(AH485:AM485)</f>
        <v>133</v>
      </c>
      <c r="AO485" s="1"/>
      <c r="AP485" s="1"/>
      <c r="AQ485" s="1"/>
      <c r="AR485" s="1"/>
    </row>
    <row r="486" customFormat="false" ht="13.8" hidden="false" customHeight="false" outlineLevel="0" collapsed="false">
      <c r="A486" s="1" t="s">
        <v>644</v>
      </c>
      <c r="B486" s="1" t="n">
        <v>112</v>
      </c>
      <c r="C486" s="1" t="s">
        <v>638</v>
      </c>
      <c r="D486" s="1" t="s">
        <v>42</v>
      </c>
      <c r="E486" s="1" t="s">
        <v>639</v>
      </c>
      <c r="F486" s="1" t="n">
        <v>21</v>
      </c>
      <c r="G486" s="1" t="n">
        <v>1</v>
      </c>
      <c r="H486" s="1" t="n">
        <v>5</v>
      </c>
      <c r="I486" s="8" t="n">
        <v>1998236</v>
      </c>
      <c r="J486" s="1" t="n">
        <v>3</v>
      </c>
      <c r="K486" s="1" t="s">
        <v>96</v>
      </c>
      <c r="L486" s="1" t="n">
        <v>6</v>
      </c>
      <c r="M486" s="1" t="n">
        <v>2</v>
      </c>
      <c r="N486" s="1" t="n">
        <v>2</v>
      </c>
      <c r="O486" s="1" t="n">
        <v>2</v>
      </c>
      <c r="P486" s="1" t="n">
        <f aca="false">SUM(M486:O486)</f>
        <v>6</v>
      </c>
      <c r="T486" s="1" t="n">
        <v>32</v>
      </c>
      <c r="W486" s="1" t="n">
        <f aca="false">SUM(Q486:V486)</f>
        <v>32</v>
      </c>
      <c r="X486" s="1" t="n">
        <v>5</v>
      </c>
      <c r="Y486" s="1" t="n">
        <v>8</v>
      </c>
      <c r="Z486" s="12"/>
      <c r="AC486" s="9" t="n">
        <f aca="false">(T486)*(1+(J486)*0.2)</f>
        <v>51.2</v>
      </c>
      <c r="AF486" s="9" t="n">
        <f aca="false">SUM(Z486:AE486)</f>
        <v>51.2</v>
      </c>
      <c r="AG486" s="10" t="s">
        <v>47</v>
      </c>
      <c r="AH486" s="11"/>
      <c r="AI486" s="11"/>
      <c r="AJ486" s="11"/>
      <c r="AK486" s="11" t="n">
        <f aca="false">IF(AG486="yes",AC486*1.2,AC486)</f>
        <v>61.44</v>
      </c>
      <c r="AL486" s="11"/>
      <c r="AM486" s="11"/>
      <c r="AN486" s="11" t="n">
        <f aca="false">SUM(AH486:AM486)</f>
        <v>61.44</v>
      </c>
      <c r="AO486" s="1"/>
      <c r="AP486" s="1"/>
      <c r="AQ486" s="1"/>
      <c r="AR486" s="1"/>
    </row>
    <row r="487" customFormat="false" ht="13.8" hidden="false" customHeight="false" outlineLevel="0" collapsed="false">
      <c r="A487" s="1" t="s">
        <v>645</v>
      </c>
      <c r="B487" s="1" t="n">
        <v>544</v>
      </c>
      <c r="C487" s="1" t="s">
        <v>638</v>
      </c>
      <c r="D487" s="1" t="s">
        <v>73</v>
      </c>
      <c r="E487" s="1" t="s">
        <v>639</v>
      </c>
      <c r="F487" s="1" t="n">
        <v>1</v>
      </c>
      <c r="G487" s="1" t="n">
        <v>1</v>
      </c>
      <c r="H487" s="1" t="n">
        <v>4</v>
      </c>
      <c r="I487" s="8" t="n">
        <v>1227497</v>
      </c>
      <c r="J487" s="1" t="n">
        <v>2</v>
      </c>
      <c r="K487" s="1" t="s">
        <v>44</v>
      </c>
      <c r="L487" s="1" t="n">
        <v>2</v>
      </c>
      <c r="O487" s="1" t="n">
        <v>1</v>
      </c>
      <c r="P487" s="1" t="n">
        <f aca="false">SUM(M487:O487)</f>
        <v>1</v>
      </c>
      <c r="W487" s="1" t="n">
        <f aca="false">SUM(Q487:V487)</f>
        <v>0</v>
      </c>
      <c r="Y487" s="1" t="n">
        <v>1</v>
      </c>
      <c r="Z487" s="12"/>
      <c r="AF487" s="9" t="n">
        <f aca="false">SUM(Z487:AE487)</f>
        <v>0</v>
      </c>
      <c r="AG487" s="10"/>
      <c r="AH487" s="11"/>
      <c r="AI487" s="11"/>
      <c r="AJ487" s="11"/>
      <c r="AK487" s="11"/>
      <c r="AL487" s="11"/>
      <c r="AM487" s="11"/>
      <c r="AN487" s="11" t="n">
        <f aca="false">SUM(AH487:AM487)</f>
        <v>0</v>
      </c>
      <c r="AO487" s="1"/>
      <c r="AP487" s="1"/>
      <c r="AQ487" s="1"/>
      <c r="AR487" s="1"/>
    </row>
    <row r="488" customFormat="false" ht="13.8" hidden="false" customHeight="false" outlineLevel="0" collapsed="false">
      <c r="A488" s="1" t="s">
        <v>646</v>
      </c>
      <c r="B488" s="1" t="n">
        <v>540</v>
      </c>
      <c r="C488" s="1" t="s">
        <v>638</v>
      </c>
      <c r="D488" s="1" t="s">
        <v>73</v>
      </c>
      <c r="E488" s="1" t="s">
        <v>639</v>
      </c>
      <c r="F488" s="1" t="n">
        <v>1</v>
      </c>
      <c r="G488" s="1" t="n">
        <v>1</v>
      </c>
      <c r="H488" s="1" t="n">
        <v>5</v>
      </c>
      <c r="I488" s="8" t="n">
        <v>1601953</v>
      </c>
      <c r="J488" s="1" t="n">
        <v>1</v>
      </c>
      <c r="K488" s="1" t="s">
        <v>44</v>
      </c>
      <c r="L488" s="1" t="n">
        <v>2</v>
      </c>
      <c r="P488" s="1" t="n">
        <f aca="false">SUM(M488:O488)</f>
        <v>0</v>
      </c>
      <c r="W488" s="1" t="n">
        <f aca="false">SUM(Q488:V488)</f>
        <v>0</v>
      </c>
      <c r="Y488" s="1" t="n">
        <v>1</v>
      </c>
      <c r="AC488" s="9"/>
      <c r="AF488" s="9" t="n">
        <f aca="false">SUM(Z488:AE488)</f>
        <v>0</v>
      </c>
      <c r="AG488" s="10"/>
      <c r="AH488" s="11"/>
      <c r="AI488" s="11"/>
      <c r="AJ488" s="11"/>
      <c r="AK488" s="11"/>
      <c r="AL488" s="11"/>
      <c r="AM488" s="11"/>
      <c r="AN488" s="11" t="n">
        <f aca="false">SUM(AH488:AM488)</f>
        <v>0</v>
      </c>
      <c r="AO488" s="1"/>
      <c r="AP488" s="1"/>
      <c r="AQ488" s="1"/>
      <c r="AR488" s="1"/>
    </row>
    <row r="489" customFormat="false" ht="13.8" hidden="false" customHeight="false" outlineLevel="0" collapsed="false">
      <c r="A489" s="1" t="s">
        <v>647</v>
      </c>
      <c r="B489" s="1" t="n">
        <v>729</v>
      </c>
      <c r="C489" s="1" t="s">
        <v>638</v>
      </c>
      <c r="D489" s="1" t="s">
        <v>73</v>
      </c>
      <c r="E489" s="1" t="s">
        <v>639</v>
      </c>
      <c r="F489" s="1" t="n">
        <v>1</v>
      </c>
      <c r="G489" s="1" t="n">
        <v>1</v>
      </c>
      <c r="H489" s="1" t="n">
        <v>1</v>
      </c>
      <c r="I489" s="8" t="n">
        <v>157998</v>
      </c>
      <c r="J489" s="1" t="n">
        <v>2</v>
      </c>
      <c r="K489" s="1" t="s">
        <v>295</v>
      </c>
      <c r="L489" s="1" t="n">
        <v>0</v>
      </c>
      <c r="P489" s="1" t="n">
        <f aca="false">SUM(M489:O489)</f>
        <v>0</v>
      </c>
      <c r="W489" s="1" t="n">
        <f aca="false">SUM(Q489:V489)</f>
        <v>0</v>
      </c>
      <c r="Y489" s="1" t="n">
        <v>1</v>
      </c>
      <c r="Z489" s="12"/>
      <c r="AF489" s="9" t="n">
        <f aca="false">SUM(Z489:AE489)</f>
        <v>0</v>
      </c>
      <c r="AG489" s="10"/>
      <c r="AH489" s="11"/>
      <c r="AI489" s="11"/>
      <c r="AJ489" s="11"/>
      <c r="AK489" s="11"/>
      <c r="AL489" s="11"/>
      <c r="AM489" s="11"/>
      <c r="AN489" s="11" t="n">
        <f aca="false">SUM(AH489:AM489)</f>
        <v>0</v>
      </c>
      <c r="AO489" s="1"/>
      <c r="AP489" s="1"/>
      <c r="AQ489" s="1"/>
      <c r="AR489" s="1"/>
    </row>
    <row r="490" customFormat="false" ht="13.8" hidden="false" customHeight="false" outlineLevel="0" collapsed="false">
      <c r="A490" s="1" t="s">
        <v>648</v>
      </c>
      <c r="B490" s="1" t="n">
        <v>697</v>
      </c>
      <c r="C490" s="1" t="s">
        <v>638</v>
      </c>
      <c r="D490" s="1" t="s">
        <v>42</v>
      </c>
      <c r="E490" s="1" t="s">
        <v>639</v>
      </c>
      <c r="F490" s="1" t="n">
        <v>1</v>
      </c>
      <c r="G490" s="1" t="n">
        <v>1</v>
      </c>
      <c r="H490" s="1" t="n">
        <v>1</v>
      </c>
      <c r="I490" s="8" t="n">
        <v>211858</v>
      </c>
      <c r="J490" s="1" t="n">
        <v>2</v>
      </c>
      <c r="K490" s="1" t="s">
        <v>84</v>
      </c>
      <c r="L490" s="1" t="n">
        <v>1</v>
      </c>
      <c r="P490" s="1" t="n">
        <f aca="false">SUM(M490:O490)</f>
        <v>0</v>
      </c>
      <c r="W490" s="1" t="n">
        <f aca="false">SUM(Q490:V490)</f>
        <v>0</v>
      </c>
      <c r="Y490" s="1" t="n">
        <v>1</v>
      </c>
      <c r="Z490" s="12"/>
      <c r="AF490" s="9" t="n">
        <f aca="false">SUM(Z490:AE490)</f>
        <v>0</v>
      </c>
      <c r="AG490" s="10"/>
      <c r="AH490" s="11"/>
      <c r="AI490" s="11"/>
      <c r="AJ490" s="11"/>
      <c r="AK490" s="11"/>
      <c r="AL490" s="11"/>
      <c r="AM490" s="11"/>
      <c r="AN490" s="11" t="n">
        <f aca="false">SUM(AH490:AM490)</f>
        <v>0</v>
      </c>
      <c r="AO490" s="1"/>
      <c r="AP490" s="1"/>
      <c r="AQ490" s="1"/>
      <c r="AR490" s="1"/>
    </row>
    <row r="491" customFormat="false" ht="13.8" hidden="false" customHeight="false" outlineLevel="0" collapsed="false">
      <c r="A491" s="1" t="s">
        <v>649</v>
      </c>
      <c r="B491" s="1" t="n">
        <v>896</v>
      </c>
      <c r="C491" s="1" t="s">
        <v>638</v>
      </c>
      <c r="D491" s="1" t="s">
        <v>73</v>
      </c>
      <c r="E491" s="1" t="s">
        <v>639</v>
      </c>
      <c r="G491" s="1" t="n">
        <v>1</v>
      </c>
      <c r="H491" s="1" t="n">
        <v>4</v>
      </c>
      <c r="I491" s="8" t="n">
        <v>188830</v>
      </c>
      <c r="J491" s="1" t="n">
        <v>2</v>
      </c>
      <c r="K491" s="1" t="s">
        <v>51</v>
      </c>
      <c r="L491" s="1" t="n">
        <v>1</v>
      </c>
      <c r="P491" s="1" t="n">
        <f aca="false">SUM(M491:O491)</f>
        <v>0</v>
      </c>
      <c r="W491" s="1" t="n">
        <f aca="false">SUM(Q491:V491)</f>
        <v>0</v>
      </c>
      <c r="AF491" s="9" t="n">
        <f aca="false">SUM(Z491:AE491)</f>
        <v>0</v>
      </c>
      <c r="AG491" s="10"/>
      <c r="AH491" s="11"/>
      <c r="AI491" s="11"/>
      <c r="AJ491" s="11"/>
      <c r="AK491" s="11"/>
      <c r="AL491" s="11"/>
      <c r="AM491" s="11"/>
      <c r="AN491" s="11" t="n">
        <f aca="false">SUM(AH491:AM491)</f>
        <v>0</v>
      </c>
      <c r="AO491" s="1"/>
      <c r="AP491" s="1"/>
      <c r="AQ491" s="1"/>
      <c r="AR491" s="1"/>
    </row>
    <row r="492" customFormat="false" ht="13.8" hidden="false" customHeight="false" outlineLevel="0" collapsed="false">
      <c r="A492" s="1" t="s">
        <v>650</v>
      </c>
      <c r="B492" s="1" t="n">
        <v>796</v>
      </c>
      <c r="C492" s="1" t="s">
        <v>638</v>
      </c>
      <c r="D492" s="1" t="s">
        <v>73</v>
      </c>
      <c r="E492" s="1" t="s">
        <v>639</v>
      </c>
      <c r="F492" s="1" t="n">
        <v>1</v>
      </c>
      <c r="G492" s="1" t="n">
        <v>1</v>
      </c>
      <c r="H492" s="1" t="n">
        <v>1</v>
      </c>
      <c r="I492" s="8" t="n">
        <v>25031</v>
      </c>
      <c r="J492" s="1" t="n">
        <v>1</v>
      </c>
      <c r="K492" s="1" t="s">
        <v>44</v>
      </c>
      <c r="L492" s="1" t="n">
        <v>2</v>
      </c>
      <c r="P492" s="1" t="n">
        <f aca="false">SUM(M492:O492)</f>
        <v>0</v>
      </c>
      <c r="W492" s="1" t="n">
        <f aca="false">SUM(Q492:V492)</f>
        <v>0</v>
      </c>
      <c r="Y492" s="1" t="n">
        <v>1</v>
      </c>
      <c r="AF492" s="9" t="n">
        <f aca="false">SUM(Z492:AE492)</f>
        <v>0</v>
      </c>
      <c r="AG492" s="10"/>
      <c r="AH492" s="11"/>
      <c r="AI492" s="11"/>
      <c r="AJ492" s="11"/>
      <c r="AK492" s="11"/>
      <c r="AL492" s="11"/>
      <c r="AM492" s="11"/>
      <c r="AN492" s="11" t="n">
        <f aca="false">SUM(AH492:AM492)</f>
        <v>0</v>
      </c>
      <c r="AO492" s="1"/>
      <c r="AP492" s="1"/>
      <c r="AQ492" s="1"/>
      <c r="AR492" s="1"/>
    </row>
    <row r="493" customFormat="false" ht="13.8" hidden="false" customHeight="false" outlineLevel="0" collapsed="false">
      <c r="A493" s="1" t="s">
        <v>651</v>
      </c>
      <c r="B493" s="1" t="n">
        <v>180</v>
      </c>
      <c r="C493" s="1" t="s">
        <v>638</v>
      </c>
      <c r="D493" s="1" t="s">
        <v>42</v>
      </c>
      <c r="E493" s="1" t="s">
        <v>639</v>
      </c>
      <c r="F493" s="1" t="n">
        <v>15</v>
      </c>
      <c r="G493" s="1" t="n">
        <v>1</v>
      </c>
      <c r="H493" s="1" t="n">
        <v>7</v>
      </c>
      <c r="I493" s="8" t="n">
        <v>1906925</v>
      </c>
      <c r="J493" s="1" t="n">
        <v>3</v>
      </c>
      <c r="K493" s="1" t="s">
        <v>120</v>
      </c>
      <c r="L493" s="1" t="n">
        <v>5</v>
      </c>
      <c r="N493" s="1" t="n">
        <v>1</v>
      </c>
      <c r="O493" s="1" t="n">
        <v>2</v>
      </c>
      <c r="P493" s="1" t="n">
        <f aca="false">SUM(M493:O493)</f>
        <v>3</v>
      </c>
      <c r="W493" s="1" t="n">
        <f aca="false">SUM(Q493:V493)</f>
        <v>0</v>
      </c>
      <c r="Y493" s="1" t="n">
        <v>3</v>
      </c>
      <c r="AF493" s="9" t="n">
        <f aca="false">SUM(Z493:AE493)</f>
        <v>0</v>
      </c>
      <c r="AG493" s="10"/>
      <c r="AH493" s="11"/>
      <c r="AI493" s="11"/>
      <c r="AJ493" s="11"/>
      <c r="AK493" s="11"/>
      <c r="AL493" s="11"/>
      <c r="AM493" s="11"/>
      <c r="AN493" s="11" t="n">
        <f aca="false">SUM(AH493:AM493)</f>
        <v>0</v>
      </c>
      <c r="AO493" s="1"/>
      <c r="AP493" s="1"/>
      <c r="AQ493" s="1"/>
      <c r="AR493" s="1"/>
    </row>
    <row r="494" customFormat="false" ht="13.8" hidden="false" customHeight="false" outlineLevel="0" collapsed="false">
      <c r="A494" s="1" t="s">
        <v>652</v>
      </c>
      <c r="B494" s="1" t="n">
        <v>296</v>
      </c>
      <c r="C494" s="1" t="s">
        <v>638</v>
      </c>
      <c r="D494" s="1" t="s">
        <v>73</v>
      </c>
      <c r="E494" s="1" t="s">
        <v>639</v>
      </c>
      <c r="F494" s="1" t="n">
        <v>1</v>
      </c>
      <c r="G494" s="1" t="n">
        <v>1</v>
      </c>
      <c r="H494" s="1" t="n">
        <v>2</v>
      </c>
      <c r="I494" s="8" t="n">
        <v>365345</v>
      </c>
      <c r="J494" s="1" t="n">
        <v>1</v>
      </c>
      <c r="K494" s="1" t="s">
        <v>295</v>
      </c>
      <c r="L494" s="1" t="n">
        <v>0</v>
      </c>
      <c r="P494" s="1" t="n">
        <f aca="false">SUM(M494:O494)</f>
        <v>0</v>
      </c>
      <c r="S494" s="1" t="n">
        <v>1</v>
      </c>
      <c r="W494" s="1" t="n">
        <f aca="false">SUM(Q494:V494)</f>
        <v>1</v>
      </c>
      <c r="Y494" s="1" t="n">
        <v>1</v>
      </c>
      <c r="AB494" s="9" t="n">
        <f aca="false">(S494)*(1+(J494)*0.2)</f>
        <v>1.2</v>
      </c>
      <c r="AF494" s="9" t="n">
        <f aca="false">SUM(Z494:AE494)</f>
        <v>1.2</v>
      </c>
      <c r="AG494" s="10" t="s">
        <v>47</v>
      </c>
      <c r="AH494" s="11"/>
      <c r="AI494" s="11"/>
      <c r="AJ494" s="11" t="n">
        <f aca="false">IF(AG494="yes",AB494*1.2,AB494)</f>
        <v>1.44</v>
      </c>
      <c r="AK494" s="11"/>
      <c r="AL494" s="11"/>
      <c r="AM494" s="11"/>
      <c r="AN494" s="11" t="n">
        <f aca="false">SUM(AH494:AM494)</f>
        <v>1.44</v>
      </c>
      <c r="AO494" s="1"/>
      <c r="AP494" s="1"/>
      <c r="AQ494" s="1"/>
      <c r="AR494" s="1"/>
    </row>
    <row r="495" customFormat="false" ht="13.8" hidden="false" customHeight="false" outlineLevel="0" collapsed="false">
      <c r="A495" s="1" t="s">
        <v>653</v>
      </c>
      <c r="B495" s="1" t="n">
        <v>721</v>
      </c>
      <c r="C495" s="1" t="s">
        <v>638</v>
      </c>
      <c r="D495" s="1" t="s">
        <v>304</v>
      </c>
      <c r="E495" s="1" t="s">
        <v>639</v>
      </c>
      <c r="G495" s="1" t="n">
        <v>1</v>
      </c>
      <c r="H495" s="1" t="n">
        <v>5</v>
      </c>
      <c r="I495" s="8" t="n">
        <v>456160</v>
      </c>
      <c r="J495" s="1" t="n">
        <v>2</v>
      </c>
      <c r="K495" s="1" t="s">
        <v>51</v>
      </c>
      <c r="L495" s="1" t="n">
        <v>1</v>
      </c>
      <c r="P495" s="1" t="n">
        <f aca="false">SUM(M495:O495)</f>
        <v>0</v>
      </c>
      <c r="W495" s="1" t="n">
        <f aca="false">SUM(Q495:V495)</f>
        <v>0</v>
      </c>
      <c r="Y495" s="1" t="n">
        <v>1</v>
      </c>
      <c r="AD495" s="9"/>
      <c r="AF495" s="9" t="n">
        <f aca="false">SUM(Z495:AE495)</f>
        <v>0</v>
      </c>
      <c r="AG495" s="10"/>
      <c r="AH495" s="11"/>
      <c r="AI495" s="11"/>
      <c r="AJ495" s="11"/>
      <c r="AK495" s="11"/>
      <c r="AL495" s="11"/>
      <c r="AM495" s="11"/>
      <c r="AN495" s="11" t="n">
        <f aca="false">SUM(AH495:AM495)</f>
        <v>0</v>
      </c>
      <c r="AO495" s="1"/>
      <c r="AP495" s="1"/>
      <c r="AQ495" s="1"/>
      <c r="AR495" s="1"/>
    </row>
    <row r="496" customFormat="false" ht="13.8" hidden="false" customHeight="false" outlineLevel="0" collapsed="false">
      <c r="A496" s="1" t="s">
        <v>654</v>
      </c>
      <c r="B496" s="1" t="n">
        <v>795</v>
      </c>
      <c r="C496" s="1" t="s">
        <v>638</v>
      </c>
      <c r="D496" s="1" t="s">
        <v>42</v>
      </c>
      <c r="E496" s="1" t="s">
        <v>639</v>
      </c>
      <c r="F496" s="1" t="n">
        <v>2</v>
      </c>
      <c r="G496" s="1" t="n">
        <v>1</v>
      </c>
      <c r="H496" s="1" t="n">
        <v>8</v>
      </c>
      <c r="I496" s="8" t="n">
        <v>730603</v>
      </c>
      <c r="J496" s="1" t="n">
        <v>3</v>
      </c>
      <c r="K496" s="1" t="s">
        <v>44</v>
      </c>
      <c r="L496" s="1" t="n">
        <v>2</v>
      </c>
      <c r="O496" s="1" t="n">
        <v>2</v>
      </c>
      <c r="P496" s="1" t="n">
        <f aca="false">SUM(M496:O496)</f>
        <v>2</v>
      </c>
      <c r="V496" s="1" t="n">
        <v>20</v>
      </c>
      <c r="W496" s="1" t="n">
        <f aca="false">SUM(Q496:V496)</f>
        <v>20</v>
      </c>
      <c r="AE496" s="9" t="n">
        <f aca="false">(V496)*(1+(J496)*0.2)</f>
        <v>32</v>
      </c>
      <c r="AF496" s="9" t="n">
        <f aca="false">SUM(Z496:AE496)</f>
        <v>32</v>
      </c>
      <c r="AG496" s="10" t="s">
        <v>53</v>
      </c>
      <c r="AH496" s="11"/>
      <c r="AI496" s="11"/>
      <c r="AJ496" s="11"/>
      <c r="AK496" s="11"/>
      <c r="AL496" s="11"/>
      <c r="AM496" s="11" t="n">
        <f aca="false">IF(AG496="yes",AE496*1.2,AE496)</f>
        <v>32</v>
      </c>
      <c r="AN496" s="11" t="n">
        <f aca="false">SUM(AH496:AM496)</f>
        <v>32</v>
      </c>
      <c r="AO496" s="1"/>
      <c r="AP496" s="1"/>
      <c r="AQ496" s="1"/>
      <c r="AR496" s="1"/>
    </row>
    <row r="497" customFormat="false" ht="13.8" hidden="false" customHeight="false" outlineLevel="0" collapsed="false">
      <c r="A497" s="1" t="s">
        <v>655</v>
      </c>
      <c r="B497" s="1" t="n">
        <v>705</v>
      </c>
      <c r="C497" s="1" t="s">
        <v>638</v>
      </c>
      <c r="D497" s="1" t="s">
        <v>304</v>
      </c>
      <c r="E497" s="1" t="s">
        <v>639</v>
      </c>
      <c r="G497" s="1" t="n">
        <v>1</v>
      </c>
      <c r="H497" s="1" t="n">
        <v>1</v>
      </c>
      <c r="I497" s="8" t="n">
        <v>24755</v>
      </c>
      <c r="J497" s="1" t="n">
        <v>1</v>
      </c>
      <c r="K497" s="1" t="s">
        <v>261</v>
      </c>
      <c r="L497" s="1" t="n">
        <v>0</v>
      </c>
      <c r="P497" s="1" t="n">
        <f aca="false">SUM(M497:O497)</f>
        <v>0</v>
      </c>
      <c r="W497" s="1" t="n">
        <f aca="false">SUM(Q497:V497)</f>
        <v>0</v>
      </c>
      <c r="Y497" s="1" t="n">
        <v>1</v>
      </c>
      <c r="AF497" s="9" t="n">
        <f aca="false">SUM(Z497:AE497)</f>
        <v>0</v>
      </c>
      <c r="AG497" s="10"/>
      <c r="AH497" s="11"/>
      <c r="AI497" s="11"/>
      <c r="AJ497" s="11"/>
      <c r="AK497" s="11"/>
      <c r="AL497" s="11"/>
      <c r="AM497" s="11"/>
      <c r="AN497" s="11" t="n">
        <f aca="false">SUM(AH497:AM497)</f>
        <v>0</v>
      </c>
      <c r="AO497" s="1"/>
      <c r="AP497" s="1"/>
      <c r="AQ497" s="1"/>
      <c r="AR497" s="1"/>
    </row>
    <row r="498" customFormat="false" ht="13.8" hidden="false" customHeight="false" outlineLevel="0" collapsed="false">
      <c r="A498" s="1" t="s">
        <v>656</v>
      </c>
      <c r="B498" s="1" t="n">
        <v>892</v>
      </c>
      <c r="C498" s="1" t="s">
        <v>638</v>
      </c>
      <c r="D498" s="1" t="s">
        <v>73</v>
      </c>
      <c r="E498" s="1" t="s">
        <v>639</v>
      </c>
      <c r="F498" s="1" t="n">
        <v>1</v>
      </c>
      <c r="G498" s="1" t="n">
        <v>1</v>
      </c>
      <c r="H498" s="1" t="n">
        <v>6</v>
      </c>
      <c r="I498" s="8" t="n">
        <v>961172</v>
      </c>
      <c r="J498" s="1" t="n">
        <v>1</v>
      </c>
      <c r="K498" s="1" t="s">
        <v>51</v>
      </c>
      <c r="L498" s="1" t="n">
        <v>1</v>
      </c>
      <c r="P498" s="1" t="n">
        <f aca="false">SUM(M498:O498)</f>
        <v>0</v>
      </c>
      <c r="W498" s="1" t="n">
        <f aca="false">SUM(Q498:V498)</f>
        <v>0</v>
      </c>
      <c r="AF498" s="9" t="n">
        <f aca="false">SUM(Z498:AE498)</f>
        <v>0</v>
      </c>
      <c r="AG498" s="10"/>
      <c r="AH498" s="11"/>
      <c r="AI498" s="11"/>
      <c r="AJ498" s="11"/>
      <c r="AK498" s="11"/>
      <c r="AL498" s="11"/>
      <c r="AM498" s="11"/>
      <c r="AN498" s="11" t="n">
        <f aca="false">SUM(AH498:AM498)</f>
        <v>0</v>
      </c>
      <c r="AO498" s="1"/>
      <c r="AP498" s="1"/>
      <c r="AQ498" s="1"/>
      <c r="AR498" s="1"/>
    </row>
    <row r="499" customFormat="false" ht="13.8" hidden="false" customHeight="false" outlineLevel="0" collapsed="false">
      <c r="A499" s="1" t="s">
        <v>657</v>
      </c>
      <c r="B499" s="1" t="n">
        <v>891</v>
      </c>
      <c r="C499" s="1" t="s">
        <v>638</v>
      </c>
      <c r="D499" s="1" t="s">
        <v>73</v>
      </c>
      <c r="E499" s="1" t="s">
        <v>639</v>
      </c>
      <c r="G499" s="1" t="n">
        <v>1</v>
      </c>
      <c r="H499" s="1" t="n">
        <v>4</v>
      </c>
      <c r="I499" s="8" t="n">
        <v>640781</v>
      </c>
      <c r="J499" s="1" t="n">
        <v>1</v>
      </c>
      <c r="K499" s="1" t="s">
        <v>51</v>
      </c>
      <c r="L499" s="1" t="n">
        <v>1</v>
      </c>
      <c r="P499" s="1" t="n">
        <f aca="false">SUM(M499:O499)</f>
        <v>0</v>
      </c>
      <c r="S499" s="1" t="n">
        <v>1</v>
      </c>
      <c r="W499" s="1" t="n">
        <f aca="false">SUM(Q499:V499)</f>
        <v>1</v>
      </c>
      <c r="Z499" s="12"/>
      <c r="AB499" s="9" t="n">
        <f aca="false">(S499)*(1+(J499)*0.2)</f>
        <v>1.2</v>
      </c>
      <c r="AF499" s="9" t="n">
        <f aca="false">SUM(Z499:AE499)</f>
        <v>1.2</v>
      </c>
      <c r="AG499" s="10" t="s">
        <v>53</v>
      </c>
      <c r="AH499" s="11"/>
      <c r="AI499" s="11"/>
      <c r="AJ499" s="11" t="n">
        <f aca="false">IF(AG499="yes",AB499*1.2,AB499)</f>
        <v>1.2</v>
      </c>
      <c r="AK499" s="11"/>
      <c r="AL499" s="11"/>
      <c r="AM499" s="11"/>
      <c r="AN499" s="11" t="n">
        <f aca="false">SUM(AH499:AM499)</f>
        <v>1.2</v>
      </c>
      <c r="AO499" s="1"/>
      <c r="AP499" s="1"/>
      <c r="AQ499" s="1"/>
      <c r="AR499" s="1"/>
    </row>
    <row r="500" customFormat="false" ht="13.8" hidden="false" customHeight="false" outlineLevel="0" collapsed="false">
      <c r="A500" s="1" t="s">
        <v>658</v>
      </c>
      <c r="B500" s="1" t="n">
        <v>897</v>
      </c>
      <c r="C500" s="1" t="s">
        <v>638</v>
      </c>
      <c r="D500" s="1" t="s">
        <v>73</v>
      </c>
      <c r="E500" s="1" t="s">
        <v>639</v>
      </c>
      <c r="G500" s="1" t="n">
        <v>1</v>
      </c>
      <c r="H500" s="1" t="n">
        <v>8</v>
      </c>
      <c r="I500" s="8" t="n">
        <v>1387692</v>
      </c>
      <c r="J500" s="1" t="n">
        <v>2</v>
      </c>
      <c r="K500" s="1" t="s">
        <v>51</v>
      </c>
      <c r="L500" s="1" t="n">
        <v>1</v>
      </c>
      <c r="P500" s="1" t="n">
        <f aca="false">SUM(M500:O500)</f>
        <v>0</v>
      </c>
      <c r="W500" s="1" t="n">
        <f aca="false">SUM(Q500:V500)</f>
        <v>0</v>
      </c>
      <c r="Y500" s="1" t="n">
        <v>1</v>
      </c>
      <c r="AF500" s="9" t="n">
        <f aca="false">SUM(Z500:AE500)</f>
        <v>0</v>
      </c>
      <c r="AG500" s="10"/>
      <c r="AH500" s="11"/>
      <c r="AI500" s="11"/>
      <c r="AJ500" s="11"/>
      <c r="AK500" s="11"/>
      <c r="AL500" s="11"/>
      <c r="AM500" s="11"/>
      <c r="AN500" s="11" t="n">
        <f aca="false">SUM(AH500:AM500)</f>
        <v>0</v>
      </c>
      <c r="AO500" s="1"/>
      <c r="AP500" s="1"/>
      <c r="AQ500" s="1"/>
      <c r="AR500" s="1"/>
    </row>
    <row r="501" customFormat="false" ht="13.8" hidden="false" customHeight="false" outlineLevel="0" collapsed="false">
      <c r="A501" s="1" t="s">
        <v>659</v>
      </c>
      <c r="B501" s="1" t="n">
        <v>688</v>
      </c>
      <c r="C501" s="1" t="s">
        <v>660</v>
      </c>
      <c r="D501" s="1" t="s">
        <v>42</v>
      </c>
      <c r="E501" s="13" t="s">
        <v>661</v>
      </c>
      <c r="F501" s="13" t="n">
        <v>2</v>
      </c>
      <c r="G501" s="1" t="n">
        <v>1</v>
      </c>
      <c r="H501" s="1" t="n">
        <v>5</v>
      </c>
      <c r="I501" s="8" t="n">
        <v>45956</v>
      </c>
      <c r="J501" s="1" t="n">
        <v>1</v>
      </c>
      <c r="K501" s="1" t="s">
        <v>51</v>
      </c>
      <c r="L501" s="1" t="n">
        <v>1</v>
      </c>
      <c r="P501" s="1" t="n">
        <f aca="false">SUM(M501:O501)</f>
        <v>0</v>
      </c>
      <c r="T501" s="1" t="n">
        <v>3</v>
      </c>
      <c r="U501" s="1" t="n">
        <v>2</v>
      </c>
      <c r="W501" s="1" t="n">
        <f aca="false">SUM(Q501:V501)</f>
        <v>5</v>
      </c>
      <c r="AC501" s="9" t="n">
        <f aca="false">(T501)*(1+(J501)*0.2)</f>
        <v>3.6</v>
      </c>
      <c r="AD501" s="9" t="n">
        <f aca="false">(U501)*(1+(J501)*0.2)</f>
        <v>2.4</v>
      </c>
      <c r="AF501" s="9" t="n">
        <f aca="false">SUM(Z501:AE501)</f>
        <v>6</v>
      </c>
      <c r="AG501" s="10" t="s">
        <v>53</v>
      </c>
      <c r="AH501" s="11"/>
      <c r="AI501" s="11"/>
      <c r="AJ501" s="11"/>
      <c r="AK501" s="11" t="n">
        <f aca="false">IF(AG501="yes",AC501*1.2,AC501)</f>
        <v>3.6</v>
      </c>
      <c r="AL501" s="11" t="n">
        <f aca="false">IF(AG501="yes",AD501*1.2,AD501)</f>
        <v>2.4</v>
      </c>
      <c r="AM501" s="11"/>
      <c r="AN501" s="11" t="n">
        <f aca="false">SUM(AH501:AM501)</f>
        <v>6</v>
      </c>
      <c r="AO501" s="1"/>
      <c r="AP501" s="1"/>
      <c r="AQ501" s="1"/>
      <c r="AR501" s="1"/>
    </row>
    <row r="502" customFormat="false" ht="13.8" hidden="false" customHeight="false" outlineLevel="0" collapsed="false">
      <c r="A502" s="1" t="s">
        <v>662</v>
      </c>
      <c r="B502" s="1" t="n">
        <v>301</v>
      </c>
      <c r="C502" s="1" t="s">
        <v>660</v>
      </c>
      <c r="D502" s="1" t="s">
        <v>42</v>
      </c>
      <c r="E502" s="13" t="s">
        <v>661</v>
      </c>
      <c r="F502" s="13" t="n">
        <v>16</v>
      </c>
      <c r="G502" s="1" t="n">
        <v>1</v>
      </c>
      <c r="H502" s="1" t="n">
        <v>5</v>
      </c>
      <c r="I502" s="8" t="n">
        <v>891187</v>
      </c>
      <c r="J502" s="1" t="n">
        <v>2</v>
      </c>
      <c r="K502" s="1" t="s">
        <v>46</v>
      </c>
      <c r="L502" s="1" t="n">
        <v>4</v>
      </c>
      <c r="M502" s="1" t="n">
        <v>1</v>
      </c>
      <c r="O502" s="1" t="n">
        <v>3</v>
      </c>
      <c r="P502" s="1" t="n">
        <f aca="false">SUM(M502:O502)</f>
        <v>4</v>
      </c>
      <c r="W502" s="1" t="n">
        <f aca="false">SUM(Q502:V502)</f>
        <v>0</v>
      </c>
      <c r="X502" s="1" t="n">
        <v>1</v>
      </c>
      <c r="AF502" s="9" t="n">
        <f aca="false">SUM(Z502:AE502)</f>
        <v>0</v>
      </c>
      <c r="AG502" s="10"/>
      <c r="AH502" s="11"/>
      <c r="AI502" s="11"/>
      <c r="AJ502" s="11"/>
      <c r="AK502" s="11"/>
      <c r="AL502" s="11"/>
      <c r="AM502" s="11"/>
      <c r="AN502" s="11" t="n">
        <f aca="false">SUM(AH502:AM502)</f>
        <v>0</v>
      </c>
      <c r="AO502" s="1"/>
      <c r="AP502" s="1"/>
      <c r="AQ502" s="1"/>
      <c r="AR502" s="1"/>
    </row>
    <row r="503" customFormat="false" ht="13.8" hidden="false" customHeight="false" outlineLevel="0" collapsed="false">
      <c r="A503" s="1" t="s">
        <v>663</v>
      </c>
      <c r="B503" s="1" t="n">
        <v>82</v>
      </c>
      <c r="C503" s="1" t="s">
        <v>664</v>
      </c>
      <c r="D503" s="1" t="s">
        <v>42</v>
      </c>
      <c r="E503" s="1" t="s">
        <v>665</v>
      </c>
      <c r="F503" s="1" t="n">
        <v>3</v>
      </c>
      <c r="G503" s="1" t="n">
        <v>1</v>
      </c>
      <c r="H503" s="1" t="n">
        <v>6</v>
      </c>
      <c r="I503" s="8" t="n">
        <v>942649</v>
      </c>
      <c r="J503" s="1" t="n">
        <v>3</v>
      </c>
      <c r="K503" s="1" t="s">
        <v>44</v>
      </c>
      <c r="L503" s="1" t="n">
        <v>2</v>
      </c>
      <c r="O503" s="1" t="n">
        <v>2</v>
      </c>
      <c r="P503" s="1" t="n">
        <f aca="false">SUM(M503:O503)</f>
        <v>2</v>
      </c>
      <c r="R503" s="1" t="n">
        <v>4</v>
      </c>
      <c r="W503" s="1" t="n">
        <f aca="false">SUM(Q503:V503)</f>
        <v>4</v>
      </c>
      <c r="AA503" s="9" t="n">
        <f aca="false">(R503)*(1+(J503)*0.2)</f>
        <v>6.4</v>
      </c>
      <c r="AF503" s="9" t="n">
        <f aca="false">SUM(Z503:AE503)</f>
        <v>6.4</v>
      </c>
      <c r="AG503" s="10" t="s">
        <v>47</v>
      </c>
      <c r="AH503" s="11"/>
      <c r="AI503" s="11" t="n">
        <f aca="false">IF(AG503="yes",AA503*1.2,AA503)</f>
        <v>7.68</v>
      </c>
      <c r="AJ503" s="11"/>
      <c r="AK503" s="11"/>
      <c r="AL503" s="11"/>
      <c r="AM503" s="11"/>
      <c r="AN503" s="11" t="n">
        <f aca="false">SUM(AH503:AM503)</f>
        <v>7.68</v>
      </c>
      <c r="AO503" s="1"/>
      <c r="AP503" s="1"/>
      <c r="AQ503" s="1"/>
      <c r="AR503" s="1"/>
    </row>
    <row r="504" customFormat="false" ht="13.8" hidden="false" customHeight="false" outlineLevel="0" collapsed="false">
      <c r="A504" s="1" t="s">
        <v>666</v>
      </c>
      <c r="B504" s="1" t="n">
        <v>78</v>
      </c>
      <c r="C504" s="1" t="s">
        <v>664</v>
      </c>
      <c r="D504" s="1" t="s">
        <v>42</v>
      </c>
      <c r="E504" s="1" t="s">
        <v>665</v>
      </c>
      <c r="F504" s="1" t="n">
        <v>1</v>
      </c>
      <c r="G504" s="1" t="n">
        <v>1</v>
      </c>
      <c r="H504" s="1" t="n">
        <v>10</v>
      </c>
      <c r="I504" s="8" t="n">
        <v>2299604</v>
      </c>
      <c r="J504" s="1" t="n">
        <v>2</v>
      </c>
      <c r="K504" s="1" t="s">
        <v>46</v>
      </c>
      <c r="L504" s="1" t="n">
        <v>4</v>
      </c>
      <c r="P504" s="1" t="n">
        <f aca="false">SUM(M504:O504)</f>
        <v>0</v>
      </c>
      <c r="W504" s="1" t="n">
        <f aca="false">SUM(Q504:V504)</f>
        <v>0</v>
      </c>
      <c r="X504" s="1" t="n">
        <v>2</v>
      </c>
      <c r="AF504" s="9" t="n">
        <f aca="false">SUM(Z504:AE504)</f>
        <v>0</v>
      </c>
      <c r="AG504" s="10"/>
      <c r="AH504" s="11"/>
      <c r="AI504" s="11"/>
      <c r="AJ504" s="11"/>
      <c r="AK504" s="11"/>
      <c r="AL504" s="11"/>
      <c r="AM504" s="11"/>
      <c r="AN504" s="11" t="n">
        <f aca="false">SUM(AH504:AM504)</f>
        <v>0</v>
      </c>
      <c r="AO504" s="1"/>
      <c r="AP504" s="1"/>
      <c r="AQ504" s="1"/>
      <c r="AR504" s="1"/>
    </row>
    <row r="505" customFormat="false" ht="13.8" hidden="false" customHeight="false" outlineLevel="0" collapsed="false">
      <c r="A505" s="1" t="s">
        <v>667</v>
      </c>
      <c r="B505" s="1" t="n">
        <v>80</v>
      </c>
      <c r="C505" s="1" t="s">
        <v>664</v>
      </c>
      <c r="D505" s="1" t="s">
        <v>42</v>
      </c>
      <c r="E505" s="1" t="s">
        <v>665</v>
      </c>
      <c r="F505" s="1" t="n">
        <v>1</v>
      </c>
      <c r="G505" s="1" t="n">
        <v>1</v>
      </c>
      <c r="H505" s="1" t="n">
        <v>2</v>
      </c>
      <c r="I505" s="8" t="n">
        <v>475179</v>
      </c>
      <c r="J505" s="1" t="n">
        <v>3</v>
      </c>
      <c r="K505" s="1" t="s">
        <v>44</v>
      </c>
      <c r="L505" s="1" t="n">
        <v>2</v>
      </c>
      <c r="M505" s="1" t="n">
        <v>1</v>
      </c>
      <c r="P505" s="1" t="n">
        <f aca="false">SUM(M505:O505)</f>
        <v>1</v>
      </c>
      <c r="W505" s="1" t="n">
        <f aca="false">SUM(Q505:V505)</f>
        <v>0</v>
      </c>
      <c r="AF505" s="9" t="n">
        <f aca="false">SUM(Z505:AE505)</f>
        <v>0</v>
      </c>
      <c r="AG505" s="10"/>
      <c r="AH505" s="11"/>
      <c r="AI505" s="11"/>
      <c r="AJ505" s="11"/>
      <c r="AK505" s="11"/>
      <c r="AL505" s="11"/>
      <c r="AM505" s="11"/>
      <c r="AN505" s="11" t="n">
        <f aca="false">SUM(AH505:AM505)</f>
        <v>0</v>
      </c>
      <c r="AO505" s="1"/>
      <c r="AP505" s="1"/>
      <c r="AQ505" s="1"/>
      <c r="AR505" s="1"/>
    </row>
    <row r="506" customFormat="false" ht="13.8" hidden="false" customHeight="false" outlineLevel="0" collapsed="false">
      <c r="A506" s="1" t="s">
        <v>668</v>
      </c>
      <c r="B506" s="1" t="n">
        <v>83</v>
      </c>
      <c r="C506" s="1" t="s">
        <v>664</v>
      </c>
      <c r="D506" s="1" t="s">
        <v>42</v>
      </c>
      <c r="E506" s="1" t="s">
        <v>665</v>
      </c>
      <c r="F506" s="1" t="n">
        <v>1</v>
      </c>
      <c r="G506" s="1" t="n">
        <v>1</v>
      </c>
      <c r="H506" s="1" t="n">
        <v>4</v>
      </c>
      <c r="I506" s="8" t="n">
        <v>633673</v>
      </c>
      <c r="J506" s="1" t="n">
        <v>3</v>
      </c>
      <c r="K506" s="1" t="s">
        <v>46</v>
      </c>
      <c r="L506" s="1" t="n">
        <v>4</v>
      </c>
      <c r="M506" s="1" t="n">
        <v>1</v>
      </c>
      <c r="O506" s="1" t="n">
        <v>1</v>
      </c>
      <c r="P506" s="1" t="n">
        <f aca="false">SUM(M506:O506)</f>
        <v>2</v>
      </c>
      <c r="W506" s="1" t="n">
        <f aca="false">SUM(Q506:V506)</f>
        <v>0</v>
      </c>
      <c r="AF506" s="9" t="n">
        <f aca="false">SUM(Z506:AE506)</f>
        <v>0</v>
      </c>
      <c r="AG506" s="10"/>
      <c r="AH506" s="11"/>
      <c r="AI506" s="11"/>
      <c r="AJ506" s="11"/>
      <c r="AK506" s="11"/>
      <c r="AL506" s="11"/>
      <c r="AM506" s="11"/>
      <c r="AN506" s="11" t="n">
        <f aca="false">SUM(AH506:AM506)</f>
        <v>0</v>
      </c>
      <c r="AO506" s="1"/>
      <c r="AP506" s="1"/>
      <c r="AQ506" s="1"/>
      <c r="AR506" s="1"/>
    </row>
    <row r="507" customFormat="false" ht="13.8" hidden="false" customHeight="false" outlineLevel="0" collapsed="false">
      <c r="A507" s="1" t="s">
        <v>669</v>
      </c>
      <c r="B507" s="1" t="n">
        <v>77</v>
      </c>
      <c r="C507" s="1" t="s">
        <v>664</v>
      </c>
      <c r="D507" s="1" t="s">
        <v>42</v>
      </c>
      <c r="E507" s="1" t="s">
        <v>665</v>
      </c>
      <c r="F507" s="1" t="n">
        <v>1</v>
      </c>
      <c r="G507" s="1" t="n">
        <v>1</v>
      </c>
      <c r="H507" s="1" t="n">
        <v>2</v>
      </c>
      <c r="I507" s="8" t="n">
        <v>378461</v>
      </c>
      <c r="J507" s="1" t="n">
        <v>3</v>
      </c>
      <c r="K507" s="1" t="s">
        <v>44</v>
      </c>
      <c r="L507" s="1" t="n">
        <v>2</v>
      </c>
      <c r="O507" s="1" t="n">
        <v>2</v>
      </c>
      <c r="P507" s="1" t="n">
        <f aca="false">SUM(M507:O507)</f>
        <v>2</v>
      </c>
      <c r="W507" s="1" t="n">
        <f aca="false">SUM(Q507:V507)</f>
        <v>0</v>
      </c>
      <c r="AF507" s="9" t="n">
        <f aca="false">SUM(Z507:AE507)</f>
        <v>0</v>
      </c>
      <c r="AG507" s="10"/>
      <c r="AH507" s="11"/>
      <c r="AI507" s="11"/>
      <c r="AJ507" s="11"/>
      <c r="AK507" s="11"/>
      <c r="AL507" s="11"/>
      <c r="AM507" s="11"/>
      <c r="AN507" s="11" t="n">
        <f aca="false">SUM(AH507:AM507)</f>
        <v>0</v>
      </c>
      <c r="AO507" s="1"/>
      <c r="AP507" s="1"/>
      <c r="AQ507" s="1"/>
      <c r="AR507" s="1"/>
    </row>
    <row r="508" customFormat="false" ht="13.8" hidden="false" customHeight="false" outlineLevel="0" collapsed="false">
      <c r="A508" s="1" t="s">
        <v>670</v>
      </c>
      <c r="B508" s="1" t="n">
        <v>79</v>
      </c>
      <c r="C508" s="1" t="s">
        <v>664</v>
      </c>
      <c r="D508" s="1" t="s">
        <v>42</v>
      </c>
      <c r="E508" s="1" t="s">
        <v>665</v>
      </c>
      <c r="F508" s="1" t="n">
        <v>2</v>
      </c>
      <c r="G508" s="1" t="n">
        <v>1</v>
      </c>
      <c r="H508" s="1" t="n">
        <v>16</v>
      </c>
      <c r="I508" s="8" t="n">
        <v>2809826</v>
      </c>
      <c r="J508" s="1" t="n">
        <v>3</v>
      </c>
      <c r="K508" s="1" t="s">
        <v>44</v>
      </c>
      <c r="L508" s="1" t="n">
        <v>2</v>
      </c>
      <c r="O508" s="1" t="n">
        <v>1</v>
      </c>
      <c r="P508" s="1" t="n">
        <f aca="false">SUM(M508:O508)</f>
        <v>1</v>
      </c>
      <c r="W508" s="1" t="n">
        <f aca="false">SUM(Q508:V508)</f>
        <v>0</v>
      </c>
      <c r="X508" s="1" t="n">
        <v>2</v>
      </c>
      <c r="AF508" s="9" t="n">
        <f aca="false">SUM(Z508:AE508)</f>
        <v>0</v>
      </c>
      <c r="AG508" s="10"/>
      <c r="AH508" s="11"/>
      <c r="AI508" s="11"/>
      <c r="AJ508" s="11"/>
      <c r="AK508" s="11"/>
      <c r="AL508" s="11"/>
      <c r="AM508" s="11"/>
      <c r="AN508" s="11" t="n">
        <f aca="false">SUM(AH508:AM508)</f>
        <v>0</v>
      </c>
      <c r="AO508" s="1"/>
      <c r="AP508" s="1"/>
      <c r="AQ508" s="1"/>
      <c r="AR508" s="1"/>
    </row>
    <row r="509" customFormat="false" ht="13.8" hidden="false" customHeight="false" outlineLevel="0" collapsed="false">
      <c r="A509" s="1" t="s">
        <v>671</v>
      </c>
      <c r="B509" s="1" t="n">
        <v>46</v>
      </c>
      <c r="C509" s="1" t="s">
        <v>664</v>
      </c>
      <c r="D509" s="1" t="s">
        <v>42</v>
      </c>
      <c r="E509" s="1" t="s">
        <v>665</v>
      </c>
      <c r="F509" s="1" t="n">
        <v>28</v>
      </c>
      <c r="G509" s="1" t="n">
        <v>1</v>
      </c>
      <c r="H509" s="1" t="n">
        <v>18</v>
      </c>
      <c r="I509" s="8" t="n">
        <v>4466846</v>
      </c>
      <c r="J509" s="1" t="n">
        <v>3</v>
      </c>
      <c r="K509" s="1" t="s">
        <v>96</v>
      </c>
      <c r="L509" s="1" t="n">
        <v>6</v>
      </c>
      <c r="M509" s="1" t="n">
        <v>4</v>
      </c>
      <c r="N509" s="1" t="n">
        <v>1</v>
      </c>
      <c r="O509" s="1" t="n">
        <v>1</v>
      </c>
      <c r="P509" s="1" t="n">
        <f aca="false">SUM(M509:O509)</f>
        <v>6</v>
      </c>
      <c r="Q509" s="1" t="n">
        <v>44</v>
      </c>
      <c r="W509" s="1" t="n">
        <f aca="false">SUM(Q509:V509)</f>
        <v>44</v>
      </c>
      <c r="X509" s="1" t="n">
        <v>3</v>
      </c>
      <c r="Y509" s="1" t="n">
        <v>9</v>
      </c>
      <c r="Z509" s="9" t="n">
        <f aca="false">(Q509)*(1+(J509)*0.2)</f>
        <v>70.4</v>
      </c>
      <c r="AF509" s="9" t="n">
        <f aca="false">SUM(Z509:AE509)</f>
        <v>70.4</v>
      </c>
      <c r="AG509" s="10" t="s">
        <v>47</v>
      </c>
      <c r="AH509" s="11" t="n">
        <f aca="false">IF(AG509="yes",Z509*1.2,Z509)</f>
        <v>84.48</v>
      </c>
      <c r="AI509" s="11"/>
      <c r="AJ509" s="11"/>
      <c r="AK509" s="11"/>
      <c r="AL509" s="11"/>
      <c r="AM509" s="11"/>
      <c r="AN509" s="11" t="n">
        <f aca="false">SUM(AH509:AM509)</f>
        <v>84.48</v>
      </c>
      <c r="AO509" s="1"/>
      <c r="AP509" s="1"/>
      <c r="AQ509" s="1"/>
      <c r="AR509" s="1"/>
    </row>
    <row r="510" customFormat="false" ht="13.8" hidden="false" customHeight="false" outlineLevel="0" collapsed="false">
      <c r="A510" s="1" t="s">
        <v>672</v>
      </c>
      <c r="B510" s="1" t="n">
        <v>76</v>
      </c>
      <c r="C510" s="1" t="s">
        <v>664</v>
      </c>
      <c r="D510" s="1" t="s">
        <v>42</v>
      </c>
      <c r="E510" s="1" t="s">
        <v>665</v>
      </c>
      <c r="F510" s="1" t="n">
        <v>5</v>
      </c>
      <c r="G510" s="1" t="n">
        <v>1</v>
      </c>
      <c r="H510" s="1" t="n">
        <v>17</v>
      </c>
      <c r="I510" s="8" t="n">
        <v>2355572</v>
      </c>
      <c r="J510" s="1" t="n">
        <v>2</v>
      </c>
      <c r="K510" s="1" t="s">
        <v>46</v>
      </c>
      <c r="L510" s="1" t="n">
        <v>4</v>
      </c>
      <c r="O510" s="1" t="n">
        <v>1</v>
      </c>
      <c r="P510" s="1" t="n">
        <f aca="false">SUM(M510:O510)</f>
        <v>1</v>
      </c>
      <c r="W510" s="1" t="n">
        <f aca="false">SUM(Q510:V510)</f>
        <v>0</v>
      </c>
      <c r="AF510" s="9" t="n">
        <f aca="false">SUM(Z510:AE510)</f>
        <v>0</v>
      </c>
      <c r="AG510" s="10"/>
      <c r="AH510" s="11"/>
      <c r="AI510" s="11"/>
      <c r="AJ510" s="11"/>
      <c r="AK510" s="11"/>
      <c r="AL510" s="11"/>
      <c r="AM510" s="11"/>
      <c r="AN510" s="11" t="n">
        <f aca="false">SUM(AH510:AM510)</f>
        <v>0</v>
      </c>
      <c r="AO510" s="1"/>
      <c r="AP510" s="1"/>
      <c r="AQ510" s="1"/>
      <c r="AR510" s="1"/>
    </row>
    <row r="511" customFormat="false" ht="13.8" hidden="false" customHeight="false" outlineLevel="0" collapsed="false">
      <c r="A511" s="1" t="s">
        <v>673</v>
      </c>
      <c r="B511" s="1" t="n">
        <v>81</v>
      </c>
      <c r="C511" s="1" t="s">
        <v>664</v>
      </c>
      <c r="D511" s="1" t="s">
        <v>42</v>
      </c>
      <c r="E511" s="1" t="s">
        <v>665</v>
      </c>
      <c r="F511" s="1" t="n">
        <v>1</v>
      </c>
      <c r="G511" s="1" t="n">
        <v>1</v>
      </c>
      <c r="H511" s="1" t="n">
        <v>8</v>
      </c>
      <c r="I511" s="8" t="n">
        <v>1521155</v>
      </c>
      <c r="J511" s="1" t="n">
        <v>3</v>
      </c>
      <c r="K511" s="1" t="s">
        <v>44</v>
      </c>
      <c r="L511" s="1" t="n">
        <v>2</v>
      </c>
      <c r="O511" s="1" t="n">
        <v>2</v>
      </c>
      <c r="P511" s="1" t="n">
        <f aca="false">SUM(M511:O511)</f>
        <v>2</v>
      </c>
      <c r="W511" s="1" t="n">
        <f aca="false">SUM(Q511:V511)</f>
        <v>0</v>
      </c>
      <c r="AF511" s="9" t="n">
        <f aca="false">SUM(Z511:AE511)</f>
        <v>0</v>
      </c>
      <c r="AG511" s="10"/>
      <c r="AH511" s="11"/>
      <c r="AI511" s="11"/>
      <c r="AJ511" s="11"/>
      <c r="AK511" s="11"/>
      <c r="AL511" s="11"/>
      <c r="AM511" s="11"/>
      <c r="AN511" s="11" t="n">
        <f aca="false">SUM(AH511:AM511)</f>
        <v>0</v>
      </c>
      <c r="AO511" s="1"/>
      <c r="AP511" s="1"/>
      <c r="AQ511" s="1"/>
      <c r="AR511" s="1"/>
    </row>
    <row r="512" customFormat="false" ht="13.8" hidden="false" customHeight="false" outlineLevel="0" collapsed="false">
      <c r="A512" s="1" t="s">
        <v>674</v>
      </c>
      <c r="B512" s="1" t="n">
        <v>766</v>
      </c>
      <c r="C512" s="1" t="s">
        <v>664</v>
      </c>
      <c r="D512" s="1" t="s">
        <v>42</v>
      </c>
      <c r="E512" s="1" t="s">
        <v>665</v>
      </c>
      <c r="F512" s="1" t="n">
        <v>1</v>
      </c>
      <c r="G512" s="1" t="n">
        <v>1</v>
      </c>
      <c r="H512" s="1" t="n">
        <v>4</v>
      </c>
      <c r="I512" s="8" t="n">
        <v>567292</v>
      </c>
      <c r="J512" s="1" t="n">
        <v>2</v>
      </c>
      <c r="K512" s="1" t="s">
        <v>44</v>
      </c>
      <c r="L512" s="1" t="n">
        <v>2</v>
      </c>
      <c r="N512" s="1" t="n">
        <v>1</v>
      </c>
      <c r="P512" s="1" t="n">
        <f aca="false">SUM(M512:O512)</f>
        <v>1</v>
      </c>
      <c r="W512" s="1" t="n">
        <f aca="false">SUM(Q512:V512)</f>
        <v>0</v>
      </c>
      <c r="Y512" s="1" t="n">
        <v>3</v>
      </c>
      <c r="AC512" s="9"/>
      <c r="AD512" s="9"/>
      <c r="AF512" s="9" t="n">
        <f aca="false">SUM(Z512:AE512)</f>
        <v>0</v>
      </c>
      <c r="AG512" s="10"/>
      <c r="AH512" s="11"/>
      <c r="AI512" s="11"/>
      <c r="AJ512" s="11"/>
      <c r="AK512" s="11"/>
      <c r="AL512" s="11"/>
      <c r="AM512" s="11"/>
      <c r="AN512" s="11" t="n">
        <f aca="false">SUM(AH512:AM512)</f>
        <v>0</v>
      </c>
      <c r="AO512" s="1"/>
      <c r="AP512" s="1"/>
      <c r="AQ512" s="1"/>
      <c r="AR512" s="1"/>
    </row>
    <row r="513" customFormat="false" ht="13.8" hidden="false" customHeight="false" outlineLevel="0" collapsed="false">
      <c r="A513" s="1" t="s">
        <v>675</v>
      </c>
      <c r="B513" s="1" t="n">
        <v>84</v>
      </c>
      <c r="C513" s="1" t="s">
        <v>664</v>
      </c>
      <c r="D513" s="1" t="s">
        <v>42</v>
      </c>
      <c r="E513" s="1" t="s">
        <v>665</v>
      </c>
      <c r="F513" s="1" t="n">
        <v>1</v>
      </c>
      <c r="G513" s="1" t="n">
        <v>1</v>
      </c>
      <c r="H513" s="1" t="n">
        <v>11</v>
      </c>
      <c r="I513" s="8" t="n">
        <v>1624280</v>
      </c>
      <c r="J513" s="1" t="n">
        <v>2</v>
      </c>
      <c r="K513" s="1" t="s">
        <v>46</v>
      </c>
      <c r="L513" s="1" t="n">
        <v>4</v>
      </c>
      <c r="M513" s="1" t="n">
        <v>1</v>
      </c>
      <c r="O513" s="1" t="n">
        <v>1</v>
      </c>
      <c r="P513" s="1" t="n">
        <f aca="false">SUM(M513:O513)</f>
        <v>2</v>
      </c>
      <c r="U513" s="1" t="n">
        <v>3</v>
      </c>
      <c r="W513" s="1" t="n">
        <f aca="false">SUM(Q513:V513)</f>
        <v>3</v>
      </c>
      <c r="Z513" s="12"/>
      <c r="AD513" s="9" t="n">
        <f aca="false">(U513)*(1+(J513)*0.2)</f>
        <v>4.2</v>
      </c>
      <c r="AF513" s="9" t="n">
        <f aca="false">SUM(Z513:AE513)</f>
        <v>4.2</v>
      </c>
      <c r="AG513" s="10" t="s">
        <v>53</v>
      </c>
      <c r="AH513" s="11"/>
      <c r="AI513" s="11"/>
      <c r="AJ513" s="11"/>
      <c r="AK513" s="11"/>
      <c r="AL513" s="11" t="n">
        <f aca="false">IF(AG513="yes",AD513*1.2,AD513)</f>
        <v>4.2</v>
      </c>
      <c r="AM513" s="11"/>
      <c r="AN513" s="11" t="n">
        <f aca="false">SUM(AH513:AM513)</f>
        <v>4.2</v>
      </c>
      <c r="AO513" s="1"/>
      <c r="AP513" s="1"/>
      <c r="AQ513" s="1"/>
      <c r="AR513" s="1"/>
    </row>
    <row r="514" customFormat="false" ht="13.8" hidden="false" customHeight="false" outlineLevel="0" collapsed="false">
      <c r="A514" s="1" t="s">
        <v>676</v>
      </c>
      <c r="B514" s="1" t="n">
        <v>857</v>
      </c>
      <c r="C514" s="1" t="s">
        <v>677</v>
      </c>
      <c r="D514" s="1" t="s">
        <v>42</v>
      </c>
      <c r="E514" s="1" t="s">
        <v>678</v>
      </c>
      <c r="G514" s="1" t="n">
        <v>1</v>
      </c>
      <c r="H514" s="1" t="n">
        <v>5</v>
      </c>
      <c r="I514" s="8" t="n">
        <v>5006</v>
      </c>
      <c r="K514" s="1" t="s">
        <v>51</v>
      </c>
      <c r="L514" s="1" t="n">
        <v>1</v>
      </c>
      <c r="P514" s="1" t="n">
        <f aca="false">SUM(M514:O514)</f>
        <v>0</v>
      </c>
      <c r="W514" s="1" t="n">
        <f aca="false">SUM(Q514:V514)</f>
        <v>0</v>
      </c>
      <c r="AF514" s="9" t="n">
        <f aca="false">SUM(Z514:AE514)</f>
        <v>0</v>
      </c>
      <c r="AG514" s="10"/>
      <c r="AH514" s="11"/>
      <c r="AI514" s="11"/>
      <c r="AJ514" s="11"/>
      <c r="AK514" s="11"/>
      <c r="AL514" s="11"/>
      <c r="AM514" s="11"/>
      <c r="AN514" s="11" t="n">
        <f aca="false">SUM(AH514:AM514)</f>
        <v>0</v>
      </c>
      <c r="AO514" s="1"/>
      <c r="AP514" s="1"/>
      <c r="AQ514" s="1"/>
      <c r="AR514" s="1"/>
    </row>
    <row r="515" customFormat="false" ht="13.8" hidden="false" customHeight="false" outlineLevel="0" collapsed="false">
      <c r="A515" s="1" t="s">
        <v>679</v>
      </c>
      <c r="B515" s="1" t="n">
        <v>856</v>
      </c>
      <c r="C515" s="1" t="s">
        <v>677</v>
      </c>
      <c r="D515" s="1" t="s">
        <v>42</v>
      </c>
      <c r="E515" s="1" t="s">
        <v>678</v>
      </c>
      <c r="F515" s="13" t="n">
        <v>6</v>
      </c>
      <c r="G515" s="1" t="n">
        <v>1</v>
      </c>
      <c r="H515" s="1" t="n">
        <v>6</v>
      </c>
      <c r="I515" s="8" t="n">
        <v>500610</v>
      </c>
      <c r="J515" s="1" t="n">
        <v>1</v>
      </c>
      <c r="K515" s="1" t="s">
        <v>51</v>
      </c>
      <c r="L515" s="1" t="n">
        <v>1</v>
      </c>
      <c r="M515" s="13" t="n">
        <v>1</v>
      </c>
      <c r="P515" s="13" t="n">
        <f aca="false">SUM(M515:O515)</f>
        <v>1</v>
      </c>
      <c r="W515" s="1" t="n">
        <f aca="false">SUM(Q515:V515)</f>
        <v>0</v>
      </c>
      <c r="Y515" s="1" t="n">
        <v>5</v>
      </c>
      <c r="Z515" s="12"/>
      <c r="AF515" s="9" t="n">
        <f aca="false">SUM(Z515:AE515)</f>
        <v>0</v>
      </c>
      <c r="AG515" s="10"/>
      <c r="AH515" s="11"/>
      <c r="AI515" s="11"/>
      <c r="AJ515" s="11"/>
      <c r="AK515" s="11"/>
      <c r="AL515" s="11"/>
      <c r="AM515" s="11"/>
      <c r="AN515" s="11" t="n">
        <f aca="false">SUM(AH515:AM515)</f>
        <v>0</v>
      </c>
      <c r="AO515" s="1"/>
      <c r="AP515" s="1"/>
      <c r="AQ515" s="1"/>
      <c r="AR515" s="1"/>
    </row>
    <row r="516" customFormat="false" ht="13.8" hidden="false" customHeight="false" outlineLevel="0" collapsed="false">
      <c r="A516" s="1" t="s">
        <v>680</v>
      </c>
      <c r="B516" s="1" t="n">
        <v>859</v>
      </c>
      <c r="C516" s="1" t="s">
        <v>677</v>
      </c>
      <c r="D516" s="1" t="s">
        <v>42</v>
      </c>
      <c r="E516" s="1" t="s">
        <v>678</v>
      </c>
      <c r="F516" s="13" t="n">
        <v>1</v>
      </c>
      <c r="G516" s="1" t="n">
        <v>1</v>
      </c>
      <c r="H516" s="1" t="n">
        <v>4</v>
      </c>
      <c r="I516" s="8" t="n">
        <v>440537</v>
      </c>
      <c r="J516" s="1" t="n">
        <v>1</v>
      </c>
      <c r="K516" s="1" t="s">
        <v>44</v>
      </c>
      <c r="L516" s="1" t="n">
        <v>2</v>
      </c>
      <c r="P516" s="1" t="n">
        <f aca="false">SUM(M516:O516)</f>
        <v>0</v>
      </c>
      <c r="Q516" s="1" t="n">
        <v>3</v>
      </c>
      <c r="W516" s="1" t="n">
        <f aca="false">SUM(Q516:V516)</f>
        <v>3</v>
      </c>
      <c r="Y516" s="1" t="n">
        <v>6</v>
      </c>
      <c r="Z516" s="9" t="n">
        <f aca="false">(Q516)*(1+(J516)*0.2)</f>
        <v>3.6</v>
      </c>
      <c r="AF516" s="9" t="n">
        <f aca="false">SUM(Z516:AE516)</f>
        <v>3.6</v>
      </c>
      <c r="AG516" s="10" t="s">
        <v>53</v>
      </c>
      <c r="AH516" s="11" t="n">
        <f aca="false">IF(AG516="yes",Z516*1.2,Z516)</f>
        <v>3.6</v>
      </c>
      <c r="AI516" s="11"/>
      <c r="AJ516" s="11"/>
      <c r="AK516" s="11"/>
      <c r="AL516" s="11"/>
      <c r="AM516" s="11"/>
      <c r="AN516" s="11" t="n">
        <f aca="false">SUM(AH516:AM516)</f>
        <v>3.6</v>
      </c>
      <c r="AO516" s="1"/>
      <c r="AP516" s="1"/>
      <c r="AQ516" s="1"/>
      <c r="AR516" s="1"/>
    </row>
    <row r="517" customFormat="false" ht="13.8" hidden="false" customHeight="false" outlineLevel="0" collapsed="false">
      <c r="A517" s="1" t="s">
        <v>681</v>
      </c>
      <c r="B517" s="1" t="n">
        <v>854</v>
      </c>
      <c r="C517" s="1" t="s">
        <v>677</v>
      </c>
      <c r="D517" s="1" t="s">
        <v>42</v>
      </c>
      <c r="E517" s="1" t="s">
        <v>678</v>
      </c>
      <c r="G517" s="1" t="n">
        <v>1</v>
      </c>
      <c r="H517" s="1" t="n">
        <v>5</v>
      </c>
      <c r="I517" s="8" t="n">
        <v>5006</v>
      </c>
      <c r="K517" s="1" t="s">
        <v>51</v>
      </c>
      <c r="L517" s="1" t="n">
        <v>1</v>
      </c>
      <c r="P517" s="1" t="n">
        <f aca="false">SUM(M517:O517)</f>
        <v>0</v>
      </c>
      <c r="W517" s="1" t="n">
        <f aca="false">SUM(Q517:V517)</f>
        <v>0</v>
      </c>
      <c r="AF517" s="9" t="n">
        <f aca="false">SUM(Z517:AE517)</f>
        <v>0</v>
      </c>
      <c r="AG517" s="10"/>
      <c r="AH517" s="11"/>
      <c r="AI517" s="11"/>
      <c r="AJ517" s="11"/>
      <c r="AK517" s="11"/>
      <c r="AL517" s="11"/>
      <c r="AM517" s="11"/>
      <c r="AN517" s="11" t="n">
        <f aca="false">SUM(AH517:AM517)</f>
        <v>0</v>
      </c>
      <c r="AO517" s="1"/>
      <c r="AP517" s="1"/>
      <c r="AQ517" s="1"/>
      <c r="AR517" s="1"/>
    </row>
    <row r="518" customFormat="false" ht="13.8" hidden="false" customHeight="false" outlineLevel="0" collapsed="false">
      <c r="A518" s="1" t="s">
        <v>682</v>
      </c>
      <c r="B518" s="1" t="n">
        <v>679</v>
      </c>
      <c r="C518" s="1" t="s">
        <v>677</v>
      </c>
      <c r="D518" s="1" t="s">
        <v>42</v>
      </c>
      <c r="E518" s="1" t="s">
        <v>678</v>
      </c>
      <c r="F518" s="13" t="n">
        <v>2</v>
      </c>
      <c r="G518" s="1" t="n">
        <v>1</v>
      </c>
      <c r="H518" s="1" t="n">
        <v>7</v>
      </c>
      <c r="I518" s="8" t="n">
        <v>511624</v>
      </c>
      <c r="J518" s="1" t="n">
        <v>2</v>
      </c>
      <c r="K518" s="1" t="s">
        <v>51</v>
      </c>
      <c r="L518" s="1" t="n">
        <v>1</v>
      </c>
      <c r="P518" s="1" t="n">
        <f aca="false">SUM(M518:O518)</f>
        <v>0</v>
      </c>
      <c r="W518" s="1" t="n">
        <f aca="false">SUM(Q518:V518)</f>
        <v>0</v>
      </c>
      <c r="AF518" s="9" t="n">
        <f aca="false">SUM(Z518:AE518)</f>
        <v>0</v>
      </c>
      <c r="AG518" s="10"/>
      <c r="AH518" s="11"/>
      <c r="AI518" s="11"/>
      <c r="AJ518" s="11"/>
      <c r="AK518" s="11"/>
      <c r="AL518" s="11"/>
      <c r="AM518" s="11"/>
      <c r="AN518" s="11" t="n">
        <f aca="false">SUM(AH518:AM518)</f>
        <v>0</v>
      </c>
      <c r="AO518" s="1"/>
      <c r="AP518" s="1"/>
      <c r="AQ518" s="1"/>
      <c r="AR518" s="1"/>
    </row>
    <row r="519" customFormat="false" ht="13.8" hidden="false" customHeight="false" outlineLevel="0" collapsed="false">
      <c r="A519" s="1" t="s">
        <v>683</v>
      </c>
      <c r="B519" s="1" t="n">
        <v>858</v>
      </c>
      <c r="C519" s="1" t="s">
        <v>677</v>
      </c>
      <c r="D519" s="1" t="s">
        <v>42</v>
      </c>
      <c r="E519" s="1" t="s">
        <v>678</v>
      </c>
      <c r="G519" s="1" t="n">
        <v>1</v>
      </c>
      <c r="H519" s="1" t="n">
        <v>4</v>
      </c>
      <c r="I519" s="8" t="n">
        <v>69</v>
      </c>
      <c r="K519" s="1" t="s">
        <v>51</v>
      </c>
      <c r="L519" s="1" t="n">
        <v>1</v>
      </c>
      <c r="P519" s="1" t="n">
        <f aca="false">SUM(M519:O519)</f>
        <v>0</v>
      </c>
      <c r="W519" s="1" t="n">
        <f aca="false">SUM(Q519:V519)</f>
        <v>0</v>
      </c>
      <c r="AF519" s="9" t="n">
        <f aca="false">SUM(Z519:AE519)</f>
        <v>0</v>
      </c>
      <c r="AG519" s="10"/>
      <c r="AH519" s="11"/>
      <c r="AI519" s="11"/>
      <c r="AJ519" s="11"/>
      <c r="AK519" s="11"/>
      <c r="AL519" s="11"/>
      <c r="AM519" s="11"/>
      <c r="AN519" s="11" t="n">
        <f aca="false">SUM(AH519:AM519)</f>
        <v>0</v>
      </c>
      <c r="AO519" s="1"/>
      <c r="AP519" s="1"/>
      <c r="AQ519" s="1"/>
      <c r="AR519" s="1"/>
    </row>
    <row r="520" customFormat="false" ht="13.8" hidden="false" customHeight="false" outlineLevel="0" collapsed="false">
      <c r="A520" s="1" t="s">
        <v>684</v>
      </c>
      <c r="B520" s="1" t="n">
        <v>292</v>
      </c>
      <c r="C520" s="1" t="s">
        <v>677</v>
      </c>
      <c r="D520" s="1" t="s">
        <v>42</v>
      </c>
      <c r="E520" s="1" t="s">
        <v>678</v>
      </c>
      <c r="F520" s="1" t="n">
        <v>5</v>
      </c>
      <c r="G520" s="1" t="n">
        <v>1</v>
      </c>
      <c r="H520" s="1" t="n">
        <v>8</v>
      </c>
      <c r="I520" s="8" t="n">
        <v>1001221</v>
      </c>
      <c r="J520" s="1" t="n">
        <v>1</v>
      </c>
      <c r="K520" s="1" t="s">
        <v>44</v>
      </c>
      <c r="L520" s="1" t="n">
        <v>2</v>
      </c>
      <c r="M520" s="1" t="n">
        <v>1</v>
      </c>
      <c r="O520" s="1" t="n">
        <v>1</v>
      </c>
      <c r="P520" s="1" t="n">
        <f aca="false">SUM(M520:O520)</f>
        <v>2</v>
      </c>
      <c r="W520" s="1" t="n">
        <f aca="false">SUM(Q520:V520)</f>
        <v>0</v>
      </c>
      <c r="AD520" s="9"/>
      <c r="AE520" s="20"/>
      <c r="AF520" s="9" t="n">
        <f aca="false">SUM(Z520:AE520)</f>
        <v>0</v>
      </c>
      <c r="AG520" s="10"/>
      <c r="AH520" s="11"/>
      <c r="AI520" s="11"/>
      <c r="AJ520" s="11"/>
      <c r="AK520" s="11"/>
      <c r="AL520" s="11"/>
      <c r="AM520" s="11"/>
      <c r="AN520" s="11" t="n">
        <f aca="false">SUM(AH520:AM520)</f>
        <v>0</v>
      </c>
      <c r="AO520" s="1"/>
      <c r="AP520" s="1"/>
      <c r="AQ520" s="1"/>
      <c r="AR520" s="1"/>
    </row>
    <row r="521" customFormat="false" ht="13.8" hidden="false" customHeight="false" outlineLevel="0" collapsed="false">
      <c r="A521" s="1" t="s">
        <v>685</v>
      </c>
      <c r="B521" s="1" t="n">
        <v>678</v>
      </c>
      <c r="C521" s="1" t="s">
        <v>677</v>
      </c>
      <c r="D521" s="1" t="s">
        <v>42</v>
      </c>
      <c r="E521" s="1" t="s">
        <v>678</v>
      </c>
      <c r="G521" s="1" t="n">
        <v>1</v>
      </c>
      <c r="H521" s="1" t="n">
        <v>4</v>
      </c>
      <c r="I521" s="8" t="n">
        <v>42</v>
      </c>
      <c r="J521" s="1" t="n">
        <v>0</v>
      </c>
      <c r="K521" s="1" t="s">
        <v>76</v>
      </c>
      <c r="L521" s="1" t="n">
        <v>0</v>
      </c>
      <c r="P521" s="1" t="n">
        <f aca="false">SUM(M521:O521)</f>
        <v>0</v>
      </c>
      <c r="W521" s="1" t="n">
        <f aca="false">SUM(Q521:V521)</f>
        <v>0</v>
      </c>
      <c r="AF521" s="9" t="n">
        <f aca="false">SUM(Z521:AE521)</f>
        <v>0</v>
      </c>
      <c r="AG521" s="10"/>
      <c r="AH521" s="11"/>
      <c r="AI521" s="11"/>
      <c r="AJ521" s="11"/>
      <c r="AK521" s="11"/>
      <c r="AL521" s="11"/>
      <c r="AM521" s="11"/>
      <c r="AN521" s="11" t="n">
        <f aca="false">SUM(AH521:AM521)</f>
        <v>0</v>
      </c>
      <c r="AO521" s="1"/>
      <c r="AP521" s="1"/>
      <c r="AQ521" s="1"/>
      <c r="AR521" s="1"/>
    </row>
    <row r="522" customFormat="false" ht="13.8" hidden="false" customHeight="false" outlineLevel="0" collapsed="false">
      <c r="A522" s="1" t="s">
        <v>686</v>
      </c>
      <c r="B522" s="1" t="n">
        <v>855</v>
      </c>
      <c r="C522" s="1" t="s">
        <v>677</v>
      </c>
      <c r="D522" s="1" t="s">
        <v>42</v>
      </c>
      <c r="E522" s="1" t="s">
        <v>678</v>
      </c>
      <c r="G522" s="1" t="n">
        <v>1</v>
      </c>
      <c r="H522" s="1" t="n">
        <v>8</v>
      </c>
      <c r="I522" s="8" t="n">
        <v>500610</v>
      </c>
      <c r="K522" s="1" t="s">
        <v>51</v>
      </c>
      <c r="L522" s="1" t="n">
        <v>1</v>
      </c>
      <c r="P522" s="1" t="n">
        <f aca="false">SUM(M522:O522)</f>
        <v>0</v>
      </c>
      <c r="W522" s="1" t="n">
        <f aca="false">SUM(Q522:V522)</f>
        <v>0</v>
      </c>
      <c r="AF522" s="9" t="n">
        <f aca="false">SUM(Z522:AE522)</f>
        <v>0</v>
      </c>
      <c r="AG522" s="10"/>
      <c r="AH522" s="11"/>
      <c r="AI522" s="11"/>
      <c r="AJ522" s="11"/>
      <c r="AK522" s="11"/>
      <c r="AL522" s="11"/>
      <c r="AM522" s="11"/>
      <c r="AN522" s="11" t="n">
        <f aca="false">SUM(AH522:AM522)</f>
        <v>0</v>
      </c>
      <c r="AO522" s="1"/>
      <c r="AP522" s="1"/>
      <c r="AQ522" s="1"/>
      <c r="AR522" s="1"/>
    </row>
    <row r="523" customFormat="false" ht="13.8" hidden="false" customHeight="false" outlineLevel="0" collapsed="false">
      <c r="A523" s="13" t="s">
        <v>687</v>
      </c>
      <c r="B523" s="13" t="n">
        <v>940</v>
      </c>
      <c r="C523" s="1" t="s">
        <v>688</v>
      </c>
      <c r="D523" s="13" t="s">
        <v>42</v>
      </c>
      <c r="E523" s="13" t="s">
        <v>689</v>
      </c>
      <c r="F523" s="13" t="n">
        <v>2</v>
      </c>
      <c r="G523" s="1" t="n">
        <v>1</v>
      </c>
      <c r="H523" s="13" t="n">
        <v>3</v>
      </c>
      <c r="I523" s="19" t="n">
        <v>464125</v>
      </c>
      <c r="J523" s="13" t="n">
        <v>1</v>
      </c>
      <c r="K523" s="13" t="s">
        <v>51</v>
      </c>
      <c r="L523" s="13" t="n">
        <v>1</v>
      </c>
      <c r="P523" s="1" t="n">
        <f aca="false">SUM(M523:O523)</f>
        <v>0</v>
      </c>
      <c r="R523" s="13" t="n">
        <v>6</v>
      </c>
      <c r="W523" s="13" t="n">
        <f aca="false">SUM(Q523:V523)</f>
        <v>6</v>
      </c>
      <c r="AA523" s="13" t="n">
        <f aca="false">(R523)*(1+(J523)*0.2)</f>
        <v>7.2</v>
      </c>
      <c r="AE523" s="9"/>
      <c r="AF523" s="14" t="n">
        <f aca="false">SUM(Z523:AE523)</f>
        <v>7.2</v>
      </c>
      <c r="AG523" s="17" t="s">
        <v>47</v>
      </c>
      <c r="AH523" s="11"/>
      <c r="AI523" s="15" t="n">
        <f aca="false">IF(AG523="yes",AA523*1.2,AA523)</f>
        <v>8.64</v>
      </c>
      <c r="AJ523" s="11"/>
      <c r="AK523" s="11"/>
      <c r="AL523" s="11"/>
      <c r="AM523" s="11"/>
      <c r="AN523" s="15" t="n">
        <f aca="false">SUM(AH523:AM523)</f>
        <v>8.64</v>
      </c>
      <c r="AO523" s="1"/>
      <c r="AP523" s="1"/>
      <c r="AQ523" s="1"/>
      <c r="AR523" s="1"/>
    </row>
    <row r="524" customFormat="false" ht="13.8" hidden="false" customHeight="false" outlineLevel="0" collapsed="false">
      <c r="A524" s="13" t="s">
        <v>690</v>
      </c>
      <c r="B524" s="13" t="n">
        <v>939</v>
      </c>
      <c r="C524" s="1" t="s">
        <v>688</v>
      </c>
      <c r="D524" s="13" t="s">
        <v>42</v>
      </c>
      <c r="E524" s="13" t="s">
        <v>689</v>
      </c>
      <c r="F524" s="13" t="n">
        <v>2</v>
      </c>
      <c r="G524" s="1" t="n">
        <v>1</v>
      </c>
      <c r="H524" s="13" t="n">
        <v>2</v>
      </c>
      <c r="I524" s="16" t="n">
        <v>350427</v>
      </c>
      <c r="J524" s="13" t="n">
        <v>1</v>
      </c>
      <c r="K524" s="13" t="s">
        <v>51</v>
      </c>
      <c r="L524" s="13" t="n">
        <v>1</v>
      </c>
      <c r="P524" s="1" t="n">
        <f aca="false">SUM(M524:O524)</f>
        <v>0</v>
      </c>
      <c r="R524" s="13" t="n">
        <v>4</v>
      </c>
      <c r="W524" s="13" t="n">
        <f aca="false">SUM(Q524:V524)</f>
        <v>4</v>
      </c>
      <c r="Y524" s="13" t="n">
        <v>2</v>
      </c>
      <c r="AA524" s="13" t="n">
        <f aca="false">(R524)*(1+(J524)*0.2)</f>
        <v>4.8</v>
      </c>
      <c r="AE524" s="9"/>
      <c r="AF524" s="14" t="n">
        <f aca="false">SUM(Z524:AE524)</f>
        <v>4.8</v>
      </c>
      <c r="AG524" s="17" t="s">
        <v>47</v>
      </c>
      <c r="AH524" s="11"/>
      <c r="AI524" s="15" t="n">
        <f aca="false">IF(AG524="yes",AA524*1.2,AA524)</f>
        <v>5.76</v>
      </c>
      <c r="AJ524" s="11"/>
      <c r="AK524" s="11"/>
      <c r="AL524" s="11"/>
      <c r="AM524" s="11"/>
      <c r="AN524" s="15" t="n">
        <f aca="false">SUM(AH524:AM524)</f>
        <v>5.76</v>
      </c>
      <c r="AO524" s="1"/>
      <c r="AP524" s="1"/>
      <c r="AQ524" s="1"/>
      <c r="AR524" s="1"/>
    </row>
    <row r="525" customFormat="false" ht="13.8" hidden="false" customHeight="false" outlineLevel="0" collapsed="false">
      <c r="A525" s="13" t="s">
        <v>691</v>
      </c>
      <c r="B525" s="13" t="n">
        <v>961</v>
      </c>
      <c r="C525" s="1" t="s">
        <v>688</v>
      </c>
      <c r="D525" s="13" t="s">
        <v>42</v>
      </c>
      <c r="E525" s="13" t="s">
        <v>689</v>
      </c>
      <c r="G525" s="1" t="n">
        <v>1</v>
      </c>
      <c r="H525" s="13" t="n">
        <v>1</v>
      </c>
      <c r="I525" s="16" t="n">
        <v>6761</v>
      </c>
      <c r="K525" s="13" t="s">
        <v>76</v>
      </c>
      <c r="L525" s="1" t="n">
        <v>0</v>
      </c>
      <c r="P525" s="1" t="n">
        <f aca="false">SUM(M525:O525)</f>
        <v>0</v>
      </c>
      <c r="W525" s="1" t="n">
        <f aca="false">SUM(Q525:V525)</f>
        <v>0</v>
      </c>
      <c r="AA525" s="9"/>
      <c r="AE525" s="9"/>
      <c r="AF525" s="9"/>
      <c r="AG525" s="10"/>
      <c r="AH525" s="11"/>
      <c r="AI525" s="11"/>
      <c r="AJ525" s="11"/>
      <c r="AK525" s="11"/>
      <c r="AL525" s="11"/>
      <c r="AM525" s="11"/>
      <c r="AN525" s="11"/>
      <c r="AO525" s="1"/>
      <c r="AP525" s="1"/>
      <c r="AQ525" s="1"/>
      <c r="AR525" s="1"/>
    </row>
    <row r="526" customFormat="false" ht="13.8" hidden="false" customHeight="false" outlineLevel="0" collapsed="false">
      <c r="A526" s="13" t="s">
        <v>692</v>
      </c>
      <c r="B526" s="13" t="n">
        <v>962</v>
      </c>
      <c r="C526" s="1" t="s">
        <v>688</v>
      </c>
      <c r="D526" s="13" t="s">
        <v>42</v>
      </c>
      <c r="E526" s="13" t="s">
        <v>689</v>
      </c>
      <c r="G526" s="1" t="n">
        <v>1</v>
      </c>
      <c r="H526" s="13" t="n">
        <v>1</v>
      </c>
      <c r="I526" s="16" t="n">
        <v>10361</v>
      </c>
      <c r="K526" s="13" t="s">
        <v>76</v>
      </c>
      <c r="L526" s="1" t="n">
        <v>0</v>
      </c>
      <c r="P526" s="1" t="n">
        <f aca="false">SUM(M526:O526)</f>
        <v>0</v>
      </c>
      <c r="W526" s="1" t="n">
        <f aca="false">SUM(Q526:V526)</f>
        <v>0</v>
      </c>
      <c r="AA526" s="9"/>
      <c r="AE526" s="9"/>
      <c r="AF526" s="9"/>
      <c r="AG526" s="10"/>
      <c r="AH526" s="11"/>
      <c r="AI526" s="11"/>
      <c r="AJ526" s="11"/>
      <c r="AK526" s="11"/>
      <c r="AL526" s="11"/>
      <c r="AM526" s="11"/>
      <c r="AN526" s="11"/>
      <c r="AO526" s="1"/>
      <c r="AP526" s="1"/>
      <c r="AQ526" s="1"/>
      <c r="AR526" s="1"/>
    </row>
    <row r="527" customFormat="false" ht="13.8" hidden="false" customHeight="false" outlineLevel="0" collapsed="false">
      <c r="A527" s="13" t="s">
        <v>693</v>
      </c>
      <c r="B527" s="13" t="n">
        <v>963</v>
      </c>
      <c r="C527" s="1" t="s">
        <v>688</v>
      </c>
      <c r="D527" s="13" t="s">
        <v>42</v>
      </c>
      <c r="E527" s="13" t="s">
        <v>689</v>
      </c>
      <c r="G527" s="1" t="n">
        <v>1</v>
      </c>
      <c r="H527" s="13" t="n">
        <v>2</v>
      </c>
      <c r="I527" s="16" t="n">
        <v>7692</v>
      </c>
      <c r="K527" s="13" t="s">
        <v>76</v>
      </c>
      <c r="L527" s="1" t="n">
        <v>0</v>
      </c>
      <c r="P527" s="1" t="n">
        <f aca="false">SUM(M527:O527)</f>
        <v>0</v>
      </c>
      <c r="W527" s="1" t="n">
        <f aca="false">SUM(Q527:V527)</f>
        <v>0</v>
      </c>
      <c r="AA527" s="9"/>
      <c r="AE527" s="9"/>
      <c r="AF527" s="9"/>
      <c r="AG527" s="10"/>
      <c r="AH527" s="11"/>
      <c r="AI527" s="11"/>
      <c r="AJ527" s="11"/>
      <c r="AK527" s="11"/>
      <c r="AL527" s="11"/>
      <c r="AM527" s="11"/>
      <c r="AN527" s="11"/>
      <c r="AO527" s="1"/>
      <c r="AP527" s="1"/>
      <c r="AQ527" s="1"/>
      <c r="AR527" s="1"/>
    </row>
    <row r="528" customFormat="false" ht="13.8" hidden="false" customHeight="false" outlineLevel="0" collapsed="false">
      <c r="A528" s="13" t="s">
        <v>694</v>
      </c>
      <c r="B528" s="13" t="n">
        <v>964</v>
      </c>
      <c r="C528" s="1" t="s">
        <v>688</v>
      </c>
      <c r="D528" s="13" t="s">
        <v>42</v>
      </c>
      <c r="E528" s="13" t="s">
        <v>689</v>
      </c>
      <c r="G528" s="1" t="n">
        <v>1</v>
      </c>
      <c r="H528" s="13" t="n">
        <v>4</v>
      </c>
      <c r="I528" s="16" t="n">
        <v>13558</v>
      </c>
      <c r="K528" s="13" t="s">
        <v>76</v>
      </c>
      <c r="L528" s="1" t="n">
        <v>0</v>
      </c>
      <c r="P528" s="1" t="n">
        <f aca="false">SUM(M528:O528)</f>
        <v>0</v>
      </c>
      <c r="W528" s="1" t="n">
        <f aca="false">SUM(Q528:V528)</f>
        <v>0</v>
      </c>
      <c r="AA528" s="9"/>
      <c r="AE528" s="9"/>
      <c r="AF528" s="9"/>
      <c r="AG528" s="10"/>
      <c r="AH528" s="11"/>
      <c r="AI528" s="11"/>
      <c r="AJ528" s="11"/>
      <c r="AK528" s="11"/>
      <c r="AL528" s="11"/>
      <c r="AM528" s="11"/>
      <c r="AN528" s="11"/>
      <c r="AO528" s="1"/>
      <c r="AP528" s="1"/>
      <c r="AQ528" s="1"/>
      <c r="AR528" s="1"/>
    </row>
    <row r="529" customFormat="false" ht="13.8" hidden="false" customHeight="false" outlineLevel="0" collapsed="false">
      <c r="A529" s="13" t="s">
        <v>695</v>
      </c>
      <c r="B529" s="13" t="n">
        <v>965</v>
      </c>
      <c r="C529" s="1" t="s">
        <v>688</v>
      </c>
      <c r="D529" s="13" t="s">
        <v>42</v>
      </c>
      <c r="E529" s="13" t="s">
        <v>689</v>
      </c>
      <c r="G529" s="1" t="n">
        <v>1</v>
      </c>
      <c r="H529" s="13" t="n">
        <v>2</v>
      </c>
      <c r="I529" s="16" t="n">
        <v>22014</v>
      </c>
      <c r="K529" s="13" t="s">
        <v>76</v>
      </c>
      <c r="L529" s="1" t="n">
        <v>0</v>
      </c>
      <c r="P529" s="1" t="n">
        <f aca="false">SUM(M529:O529)</f>
        <v>0</v>
      </c>
      <c r="W529" s="1" t="n">
        <f aca="false">SUM(Q529:V529)</f>
        <v>0</v>
      </c>
      <c r="AA529" s="9"/>
      <c r="AE529" s="9"/>
      <c r="AF529" s="9"/>
      <c r="AG529" s="10"/>
      <c r="AH529" s="11"/>
      <c r="AI529" s="11"/>
      <c r="AJ529" s="11"/>
      <c r="AK529" s="11"/>
      <c r="AL529" s="11"/>
      <c r="AM529" s="11"/>
      <c r="AN529" s="11"/>
      <c r="AO529" s="1"/>
      <c r="AP529" s="1"/>
      <c r="AQ529" s="1"/>
      <c r="AR529" s="1"/>
    </row>
    <row r="530" customFormat="false" ht="13.8" hidden="false" customHeight="false" outlineLevel="0" collapsed="false">
      <c r="A530" s="13" t="s">
        <v>696</v>
      </c>
      <c r="B530" s="13" t="n">
        <v>966</v>
      </c>
      <c r="C530" s="1" t="s">
        <v>688</v>
      </c>
      <c r="D530" s="13" t="s">
        <v>42</v>
      </c>
      <c r="E530" s="13" t="s">
        <v>689</v>
      </c>
      <c r="G530" s="1" t="n">
        <v>1</v>
      </c>
      <c r="H530" s="13" t="n">
        <v>1</v>
      </c>
      <c r="I530" s="16" t="n">
        <v>8973</v>
      </c>
      <c r="K530" s="13" t="s">
        <v>76</v>
      </c>
      <c r="L530" s="1" t="n">
        <v>0</v>
      </c>
      <c r="P530" s="1" t="n">
        <f aca="false">SUM(M530:O530)</f>
        <v>0</v>
      </c>
      <c r="W530" s="1" t="n">
        <f aca="false">SUM(Q530:V530)</f>
        <v>0</v>
      </c>
      <c r="AA530" s="9"/>
      <c r="AE530" s="9"/>
      <c r="AF530" s="9"/>
      <c r="AG530" s="10"/>
      <c r="AH530" s="11"/>
      <c r="AI530" s="11"/>
      <c r="AJ530" s="11"/>
      <c r="AK530" s="11"/>
      <c r="AL530" s="11"/>
      <c r="AM530" s="11"/>
      <c r="AN530" s="11"/>
      <c r="AO530" s="1"/>
      <c r="AP530" s="1"/>
      <c r="AQ530" s="1"/>
      <c r="AR530" s="1"/>
    </row>
    <row r="531" customFormat="false" ht="13.8" hidden="false" customHeight="false" outlineLevel="0" collapsed="false">
      <c r="A531" s="13" t="s">
        <v>697</v>
      </c>
      <c r="B531" s="13" t="n">
        <v>967</v>
      </c>
      <c r="C531" s="1" t="s">
        <v>688</v>
      </c>
      <c r="D531" s="13" t="s">
        <v>42</v>
      </c>
      <c r="E531" s="13" t="s">
        <v>689</v>
      </c>
      <c r="G531" s="1" t="n">
        <v>1</v>
      </c>
      <c r="H531" s="13" t="n">
        <v>1</v>
      </c>
      <c r="I531" s="16" t="n">
        <v>10355</v>
      </c>
      <c r="K531" s="13" t="s">
        <v>76</v>
      </c>
      <c r="L531" s="1" t="n">
        <v>0</v>
      </c>
      <c r="P531" s="1" t="n">
        <f aca="false">SUM(M531:O531)</f>
        <v>0</v>
      </c>
      <c r="W531" s="1" t="n">
        <f aca="false">SUM(Q531:V531)</f>
        <v>0</v>
      </c>
      <c r="AA531" s="9"/>
      <c r="AE531" s="9"/>
      <c r="AF531" s="9"/>
      <c r="AG531" s="10"/>
      <c r="AH531" s="11"/>
      <c r="AI531" s="11"/>
      <c r="AJ531" s="11"/>
      <c r="AK531" s="11"/>
      <c r="AL531" s="11"/>
      <c r="AM531" s="11"/>
      <c r="AN531" s="11"/>
      <c r="AO531" s="1"/>
      <c r="AP531" s="1"/>
      <c r="AQ531" s="1"/>
      <c r="AR531" s="1"/>
    </row>
    <row r="532" customFormat="false" ht="13.8" hidden="false" customHeight="false" outlineLevel="0" collapsed="false">
      <c r="A532" s="13" t="s">
        <v>698</v>
      </c>
      <c r="B532" s="13" t="n">
        <v>968</v>
      </c>
      <c r="C532" s="1" t="s">
        <v>688</v>
      </c>
      <c r="D532" s="13" t="s">
        <v>42</v>
      </c>
      <c r="E532" s="13" t="s">
        <v>689</v>
      </c>
      <c r="G532" s="1" t="n">
        <v>1</v>
      </c>
      <c r="H532" s="13" t="n">
        <v>3</v>
      </c>
      <c r="I532" s="16" t="n">
        <v>12315</v>
      </c>
      <c r="K532" s="13" t="s">
        <v>76</v>
      </c>
      <c r="L532" s="1" t="n">
        <v>0</v>
      </c>
      <c r="P532" s="1" t="n">
        <f aca="false">SUM(M532:O532)</f>
        <v>0</v>
      </c>
      <c r="W532" s="1" t="n">
        <f aca="false">SUM(Q532:V532)</f>
        <v>0</v>
      </c>
      <c r="AA532" s="9"/>
      <c r="AE532" s="9"/>
      <c r="AF532" s="9"/>
      <c r="AG532" s="10"/>
      <c r="AH532" s="11"/>
      <c r="AI532" s="11"/>
      <c r="AJ532" s="11"/>
      <c r="AK532" s="11"/>
      <c r="AL532" s="11"/>
      <c r="AM532" s="11"/>
      <c r="AN532" s="11"/>
      <c r="AO532" s="1"/>
      <c r="AP532" s="1"/>
      <c r="AQ532" s="1"/>
      <c r="AR532" s="1"/>
    </row>
    <row r="533" customFormat="false" ht="13.8" hidden="false" customHeight="false" outlineLevel="0" collapsed="false">
      <c r="A533" s="1" t="s">
        <v>699</v>
      </c>
      <c r="B533" s="1" t="n">
        <v>495</v>
      </c>
      <c r="C533" s="1" t="s">
        <v>688</v>
      </c>
      <c r="D533" s="1" t="s">
        <v>42</v>
      </c>
      <c r="E533" s="13" t="s">
        <v>689</v>
      </c>
      <c r="F533" s="13" t="n">
        <v>1</v>
      </c>
      <c r="G533" s="1" t="n">
        <v>1</v>
      </c>
      <c r="H533" s="13" t="n">
        <v>44</v>
      </c>
      <c r="I533" s="16" t="n">
        <v>160095</v>
      </c>
      <c r="J533" s="1" t="n">
        <v>0</v>
      </c>
      <c r="K533" s="1" t="s">
        <v>51</v>
      </c>
      <c r="L533" s="1" t="n">
        <v>1</v>
      </c>
      <c r="P533" s="1" t="n">
        <f aca="false">SUM(M533:O533)</f>
        <v>0</v>
      </c>
      <c r="R533" s="13"/>
      <c r="W533" s="13" t="n">
        <f aca="false">SUM(Q533:V533)</f>
        <v>0</v>
      </c>
      <c r="Z533" s="12"/>
      <c r="AA533" s="14"/>
      <c r="AE533" s="20"/>
      <c r="AF533" s="14" t="n">
        <f aca="false">SUM(Z533:AE533)</f>
        <v>0</v>
      </c>
      <c r="AG533" s="10" t="s">
        <v>53</v>
      </c>
      <c r="AH533" s="11"/>
      <c r="AI533" s="15"/>
      <c r="AJ533" s="11"/>
      <c r="AK533" s="11"/>
      <c r="AL533" s="11"/>
      <c r="AM533" s="11"/>
      <c r="AN533" s="15" t="n">
        <f aca="false">SUM(AH533:AM533)</f>
        <v>0</v>
      </c>
      <c r="AO533" s="1"/>
      <c r="AP533" s="1"/>
      <c r="AQ533" s="1"/>
      <c r="AR533" s="1"/>
    </row>
    <row r="534" customFormat="false" ht="13.8" hidden="false" customHeight="false" outlineLevel="0" collapsed="false">
      <c r="A534" s="1" t="s">
        <v>700</v>
      </c>
      <c r="B534" s="1" t="n">
        <v>499</v>
      </c>
      <c r="C534" s="1" t="s">
        <v>688</v>
      </c>
      <c r="D534" s="1" t="s">
        <v>42</v>
      </c>
      <c r="E534" s="13" t="s">
        <v>689</v>
      </c>
      <c r="F534" s="1" t="n">
        <v>1</v>
      </c>
      <c r="G534" s="1" t="n">
        <v>1</v>
      </c>
      <c r="H534" s="1" t="n">
        <v>16</v>
      </c>
      <c r="I534" s="8" t="n">
        <v>4239068</v>
      </c>
      <c r="J534" s="1" t="n">
        <v>2</v>
      </c>
      <c r="K534" s="1" t="s">
        <v>120</v>
      </c>
      <c r="L534" s="1" t="n">
        <v>5</v>
      </c>
      <c r="O534" s="1" t="n">
        <v>2</v>
      </c>
      <c r="P534" s="1" t="n">
        <f aca="false">SUM(M534:O534)</f>
        <v>2</v>
      </c>
      <c r="V534" s="13" t="n">
        <v>3</v>
      </c>
      <c r="W534" s="13" t="n">
        <f aca="false">SUM(Q534:V534)</f>
        <v>3</v>
      </c>
      <c r="X534" s="1" t="n">
        <v>1</v>
      </c>
      <c r="Y534" s="1" t="n">
        <v>1</v>
      </c>
      <c r="AE534" s="14" t="n">
        <f aca="false">(V534)*(1+(J534)*0.2)</f>
        <v>4.2</v>
      </c>
      <c r="AF534" s="14" t="n">
        <f aca="false">SUM(Z534:AE534)</f>
        <v>4.2</v>
      </c>
      <c r="AG534" s="17" t="s">
        <v>47</v>
      </c>
      <c r="AH534" s="11"/>
      <c r="AI534" s="11"/>
      <c r="AJ534" s="11"/>
      <c r="AK534" s="11"/>
      <c r="AL534" s="11"/>
      <c r="AM534" s="15" t="n">
        <f aca="false">IF(AG534="yes",AE534*1.2,AE534)</f>
        <v>5.04</v>
      </c>
      <c r="AN534" s="15" t="n">
        <f aca="false">SUM(AH534:AM534)</f>
        <v>5.04</v>
      </c>
      <c r="AO534" s="1"/>
      <c r="AP534" s="1"/>
      <c r="AQ534" s="1"/>
      <c r="AR534" s="1"/>
    </row>
    <row r="535" customFormat="false" ht="13.8" hidden="false" customHeight="false" outlineLevel="0" collapsed="false">
      <c r="A535" s="13" t="s">
        <v>701</v>
      </c>
      <c r="B535" s="13" t="n">
        <v>935</v>
      </c>
      <c r="C535" s="1" t="s">
        <v>688</v>
      </c>
      <c r="D535" s="13" t="s">
        <v>42</v>
      </c>
      <c r="E535" s="13" t="s">
        <v>689</v>
      </c>
      <c r="F535" s="13" t="n">
        <v>2</v>
      </c>
      <c r="G535" s="1" t="n">
        <v>1</v>
      </c>
      <c r="H535" s="13" t="n">
        <v>4</v>
      </c>
      <c r="I535" s="16" t="n">
        <v>1633992</v>
      </c>
      <c r="J535" s="13" t="n">
        <v>2</v>
      </c>
      <c r="K535" s="13" t="s">
        <v>46</v>
      </c>
      <c r="L535" s="13" t="n">
        <v>4</v>
      </c>
      <c r="O535" s="13" t="n">
        <v>1</v>
      </c>
      <c r="P535" s="13" t="n">
        <f aca="false">SUM(M535:O535)</f>
        <v>1</v>
      </c>
      <c r="W535" s="1" t="n">
        <f aca="false">SUM(Q535:V535)</f>
        <v>0</v>
      </c>
      <c r="Y535" s="13" t="n">
        <v>3</v>
      </c>
      <c r="AA535" s="9"/>
      <c r="AE535" s="9"/>
      <c r="AF535" s="9"/>
      <c r="AG535" s="10"/>
      <c r="AH535" s="11"/>
      <c r="AI535" s="11"/>
      <c r="AJ535" s="11"/>
      <c r="AK535" s="11"/>
      <c r="AL535" s="11"/>
      <c r="AM535" s="11"/>
      <c r="AN535" s="11"/>
      <c r="AO535" s="1"/>
      <c r="AP535" s="1"/>
      <c r="AQ535" s="1"/>
      <c r="AR535" s="1"/>
    </row>
    <row r="536" customFormat="false" ht="13.8" hidden="false" customHeight="false" outlineLevel="0" collapsed="false">
      <c r="A536" s="13" t="s">
        <v>702</v>
      </c>
      <c r="B536" s="13" t="n">
        <v>943</v>
      </c>
      <c r="C536" s="1" t="s">
        <v>688</v>
      </c>
      <c r="D536" s="13" t="s">
        <v>42</v>
      </c>
      <c r="E536" s="13" t="s">
        <v>689</v>
      </c>
      <c r="F536" s="13" t="n">
        <v>5</v>
      </c>
      <c r="G536" s="1" t="n">
        <v>1</v>
      </c>
      <c r="H536" s="13" t="n">
        <v>3</v>
      </c>
      <c r="I536" s="16" t="n">
        <v>4609220</v>
      </c>
      <c r="J536" s="13" t="n">
        <v>2</v>
      </c>
      <c r="K536" s="13" t="s">
        <v>46</v>
      </c>
      <c r="L536" s="13" t="n">
        <v>4</v>
      </c>
      <c r="O536" s="13" t="n">
        <v>2</v>
      </c>
      <c r="P536" s="13" t="n">
        <f aca="false">SUM(M536:O536)</f>
        <v>2</v>
      </c>
      <c r="U536" s="13" t="n">
        <v>1</v>
      </c>
      <c r="W536" s="13" t="n">
        <f aca="false">SUM(Q536:V536)</f>
        <v>1</v>
      </c>
      <c r="Y536" s="13" t="n">
        <v>1</v>
      </c>
      <c r="AA536" s="9"/>
      <c r="AD536" s="14" t="n">
        <f aca="false">(U536)*(1+(J536)*0.2)</f>
        <v>1.4</v>
      </c>
      <c r="AE536" s="9"/>
      <c r="AF536" s="14" t="n">
        <f aca="false">SUM(Z536:AE536)</f>
        <v>1.4</v>
      </c>
      <c r="AG536" s="17" t="s">
        <v>47</v>
      </c>
      <c r="AH536" s="11"/>
      <c r="AI536" s="11"/>
      <c r="AJ536" s="11"/>
      <c r="AK536" s="11"/>
      <c r="AL536" s="15" t="n">
        <f aca="false">IF(AG536="yes",AD536*1.2,AD536)</f>
        <v>1.68</v>
      </c>
      <c r="AM536" s="11"/>
      <c r="AN536" s="15" t="n">
        <f aca="false">SUM(AH536:AM536)</f>
        <v>1.68</v>
      </c>
      <c r="AO536" s="1"/>
      <c r="AP536" s="1"/>
      <c r="AQ536" s="1"/>
      <c r="AR536" s="1"/>
    </row>
    <row r="537" customFormat="false" ht="13.8" hidden="false" customHeight="false" outlineLevel="0" collapsed="false">
      <c r="A537" s="1" t="s">
        <v>703</v>
      </c>
      <c r="B537" s="1" t="n">
        <v>505</v>
      </c>
      <c r="C537" s="1" t="s">
        <v>688</v>
      </c>
      <c r="D537" s="1" t="s">
        <v>42</v>
      </c>
      <c r="E537" s="13" t="s">
        <v>689</v>
      </c>
      <c r="F537" s="13" t="n">
        <v>3</v>
      </c>
      <c r="G537" s="1" t="n">
        <v>1</v>
      </c>
      <c r="H537" s="13" t="n">
        <v>6</v>
      </c>
      <c r="I537" s="8" t="n">
        <v>1664229</v>
      </c>
      <c r="J537" s="1" t="n">
        <v>1</v>
      </c>
      <c r="K537" s="1" t="s">
        <v>44</v>
      </c>
      <c r="L537" s="1" t="n">
        <v>2</v>
      </c>
      <c r="P537" s="1" t="n">
        <f aca="false">SUM(M537:O537)</f>
        <v>0</v>
      </c>
      <c r="R537" s="13" t="n">
        <v>3</v>
      </c>
      <c r="V537" s="13" t="n">
        <v>3</v>
      </c>
      <c r="W537" s="13" t="n">
        <f aca="false">SUM(Q537:V537)</f>
        <v>6</v>
      </c>
      <c r="Z537" s="12"/>
      <c r="AA537" s="13" t="n">
        <f aca="false">(R537)*(1+(J537)*0.2)</f>
        <v>3.6</v>
      </c>
      <c r="AE537" s="13" t="n">
        <f aca="false">(V537)*(1+(J537)*0.2)</f>
        <v>3.6</v>
      </c>
      <c r="AF537" s="14" t="n">
        <f aca="false">SUM(Z537:AE537)</f>
        <v>7.2</v>
      </c>
      <c r="AG537" s="17" t="s">
        <v>53</v>
      </c>
      <c r="AH537" s="11"/>
      <c r="AI537" s="15" t="n">
        <f aca="false">IF(AG537="yes",AA537*1.2,AA537)</f>
        <v>3.6</v>
      </c>
      <c r="AJ537" s="11"/>
      <c r="AK537" s="11"/>
      <c r="AL537" s="11"/>
      <c r="AM537" s="15" t="n">
        <f aca="false">IF(AG537="yes",AE537*1.2,AE537)</f>
        <v>3.6</v>
      </c>
      <c r="AN537" s="15" t="n">
        <f aca="false">SUM(AH537:AM537)</f>
        <v>7.2</v>
      </c>
      <c r="AO537" s="1"/>
      <c r="AP537" s="1"/>
      <c r="AQ537" s="1"/>
      <c r="AR537" s="1"/>
    </row>
    <row r="538" customFormat="false" ht="13.8" hidden="false" customHeight="false" outlineLevel="0" collapsed="false">
      <c r="A538" s="13" t="s">
        <v>704</v>
      </c>
      <c r="B538" s="13" t="n">
        <v>942</v>
      </c>
      <c r="C538" s="1" t="s">
        <v>688</v>
      </c>
      <c r="D538" s="13" t="s">
        <v>42</v>
      </c>
      <c r="E538" s="13" t="s">
        <v>689</v>
      </c>
      <c r="F538" s="13" t="n">
        <v>2</v>
      </c>
      <c r="G538" s="1" t="n">
        <v>1</v>
      </c>
      <c r="H538" s="13" t="n">
        <v>3</v>
      </c>
      <c r="I538" s="16" t="n">
        <v>120146</v>
      </c>
      <c r="J538" s="13" t="n">
        <v>1</v>
      </c>
      <c r="K538" s="13" t="s">
        <v>51</v>
      </c>
      <c r="L538" s="13" t="n">
        <v>1</v>
      </c>
      <c r="P538" s="1" t="n">
        <f aca="false">SUM(M538:O538)</f>
        <v>0</v>
      </c>
      <c r="W538" s="1" t="n">
        <f aca="false">SUM(Q538:V538)</f>
        <v>0</v>
      </c>
      <c r="AA538" s="9"/>
      <c r="AE538" s="9"/>
      <c r="AF538" s="9"/>
      <c r="AG538" s="10"/>
      <c r="AH538" s="11"/>
      <c r="AI538" s="11"/>
      <c r="AJ538" s="11"/>
      <c r="AK538" s="11"/>
      <c r="AL538" s="11"/>
      <c r="AM538" s="11"/>
      <c r="AN538" s="11"/>
      <c r="AO538" s="1"/>
      <c r="AP538" s="1"/>
      <c r="AQ538" s="1"/>
      <c r="AR538" s="1"/>
    </row>
    <row r="539" customFormat="false" ht="13.8" hidden="false" customHeight="false" outlineLevel="0" collapsed="false">
      <c r="A539" s="1" t="s">
        <v>705</v>
      </c>
      <c r="B539" s="1" t="n">
        <v>497</v>
      </c>
      <c r="C539" s="1" t="s">
        <v>688</v>
      </c>
      <c r="D539" s="1" t="s">
        <v>42</v>
      </c>
      <c r="E539" s="13" t="s">
        <v>689</v>
      </c>
      <c r="F539" s="13" t="n">
        <v>2</v>
      </c>
      <c r="G539" s="1" t="n">
        <v>1</v>
      </c>
      <c r="H539" s="13" t="n">
        <v>5</v>
      </c>
      <c r="I539" s="16" t="n">
        <v>575752</v>
      </c>
      <c r="J539" s="13" t="n">
        <v>1</v>
      </c>
      <c r="K539" s="13" t="s">
        <v>51</v>
      </c>
      <c r="L539" s="13" t="n">
        <v>1</v>
      </c>
      <c r="O539" s="13"/>
      <c r="P539" s="13" t="n">
        <f aca="false">SUM(M539:O539)</f>
        <v>0</v>
      </c>
      <c r="S539" s="13" t="n">
        <v>13</v>
      </c>
      <c r="W539" s="13" t="n">
        <f aca="false">SUM(Q539:V539)</f>
        <v>13</v>
      </c>
      <c r="X539" s="1" t="n">
        <v>1</v>
      </c>
      <c r="Y539" s="13"/>
      <c r="AA539" s="9"/>
      <c r="AB539" s="14" t="n">
        <f aca="false">(S539)*(1+(J539)*0.2)</f>
        <v>15.6</v>
      </c>
      <c r="AF539" s="14" t="n">
        <f aca="false">SUM(Z539:AE539)</f>
        <v>15.6</v>
      </c>
      <c r="AG539" s="17" t="s">
        <v>53</v>
      </c>
      <c r="AH539" s="11"/>
      <c r="AI539" s="11"/>
      <c r="AJ539" s="15" t="n">
        <f aca="false">IF(AG539="yes",AB539*1.2,AB539)</f>
        <v>15.6</v>
      </c>
      <c r="AK539" s="11"/>
      <c r="AL539" s="11"/>
      <c r="AM539" s="11"/>
      <c r="AN539" s="15" t="n">
        <f aca="false">SUM(AH539:AM539)</f>
        <v>15.6</v>
      </c>
      <c r="AO539" s="1"/>
      <c r="AP539" s="1"/>
      <c r="AQ539" s="1"/>
      <c r="AR539" s="1"/>
    </row>
    <row r="540" customFormat="false" ht="13.8" hidden="false" customHeight="false" outlineLevel="0" collapsed="false">
      <c r="A540" s="1" t="s">
        <v>706</v>
      </c>
      <c r="B540" s="1" t="n">
        <v>280</v>
      </c>
      <c r="C540" s="1" t="s">
        <v>688</v>
      </c>
      <c r="D540" s="1" t="s">
        <v>42</v>
      </c>
      <c r="E540" s="13" t="s">
        <v>689</v>
      </c>
      <c r="F540" s="13" t="n">
        <v>2</v>
      </c>
      <c r="G540" s="1" t="n">
        <v>1</v>
      </c>
      <c r="H540" s="13" t="n">
        <v>8</v>
      </c>
      <c r="I540" s="8" t="n">
        <v>120146</v>
      </c>
      <c r="J540" s="1" t="n">
        <v>1</v>
      </c>
      <c r="K540" s="1" t="s">
        <v>51</v>
      </c>
      <c r="L540" s="1" t="n">
        <v>1</v>
      </c>
      <c r="P540" s="1" t="n">
        <f aca="false">SUM(M540:O540)</f>
        <v>0</v>
      </c>
      <c r="W540" s="1" t="n">
        <f aca="false">SUM(Q540:V540)</f>
        <v>0</v>
      </c>
      <c r="AD540" s="9"/>
      <c r="AE540" s="20"/>
      <c r="AF540" s="9" t="n">
        <f aca="false">SUM(Z540:AE540)</f>
        <v>0</v>
      </c>
      <c r="AG540" s="10"/>
      <c r="AH540" s="11"/>
      <c r="AI540" s="11"/>
      <c r="AJ540" s="11"/>
      <c r="AK540" s="11"/>
      <c r="AL540" s="11"/>
      <c r="AM540" s="11"/>
      <c r="AN540" s="11" t="n">
        <f aca="false">SUM(AH540:AM540)</f>
        <v>0</v>
      </c>
      <c r="AO540" s="1"/>
      <c r="AP540" s="1"/>
      <c r="AQ540" s="1"/>
      <c r="AR540" s="1"/>
    </row>
    <row r="541" customFormat="false" ht="13.8" hidden="false" customHeight="false" outlineLevel="0" collapsed="false">
      <c r="A541" s="1" t="s">
        <v>707</v>
      </c>
      <c r="B541" s="1" t="n">
        <v>496</v>
      </c>
      <c r="C541" s="1" t="s">
        <v>688</v>
      </c>
      <c r="D541" s="1" t="s">
        <v>42</v>
      </c>
      <c r="E541" s="13" t="s">
        <v>689</v>
      </c>
      <c r="F541" s="13" t="n">
        <v>3</v>
      </c>
      <c r="G541" s="1" t="n">
        <v>1</v>
      </c>
      <c r="H541" s="13" t="n">
        <v>23</v>
      </c>
      <c r="I541" s="8" t="n">
        <v>4609220</v>
      </c>
      <c r="J541" s="13" t="n">
        <v>1</v>
      </c>
      <c r="K541" s="13" t="s">
        <v>44</v>
      </c>
      <c r="L541" s="13" t="n">
        <v>2</v>
      </c>
      <c r="O541" s="13" t="n">
        <v>1</v>
      </c>
      <c r="P541" s="13" t="n">
        <f aca="false">SUM(M541:O541)</f>
        <v>1</v>
      </c>
      <c r="U541" s="1" t="n">
        <v>3</v>
      </c>
      <c r="W541" s="1" t="n">
        <f aca="false">SUM(Q541:V541)</f>
        <v>3</v>
      </c>
      <c r="Y541" s="13"/>
      <c r="AA541" s="9"/>
      <c r="AD541" s="14" t="n">
        <f aca="false">(U541)*(1+(J541)*0.2)</f>
        <v>3.6</v>
      </c>
      <c r="AF541" s="14" t="n">
        <f aca="false">SUM(Z541:AE541)</f>
        <v>3.6</v>
      </c>
      <c r="AG541" s="10" t="s">
        <v>47</v>
      </c>
      <c r="AH541" s="11"/>
      <c r="AI541" s="11"/>
      <c r="AJ541" s="11"/>
      <c r="AK541" s="11"/>
      <c r="AL541" s="15" t="n">
        <f aca="false">IF(AG541="yes",AD541*1.2,AD541)</f>
        <v>4.32</v>
      </c>
      <c r="AM541" s="11"/>
      <c r="AN541" s="15" t="n">
        <f aca="false">SUM(AH541:AM541)</f>
        <v>4.32</v>
      </c>
      <c r="AO541" s="1"/>
      <c r="AP541" s="1"/>
      <c r="AQ541" s="1"/>
      <c r="AR541" s="1"/>
    </row>
    <row r="542" customFormat="false" ht="13.8" hidden="false" customHeight="false" outlineLevel="0" collapsed="false">
      <c r="A542" s="13" t="s">
        <v>708</v>
      </c>
      <c r="B542" s="13" t="n">
        <v>938</v>
      </c>
      <c r="C542" s="1" t="s">
        <v>688</v>
      </c>
      <c r="D542" s="13" t="s">
        <v>42</v>
      </c>
      <c r="E542" s="13" t="s">
        <v>689</v>
      </c>
      <c r="F542" s="13" t="n">
        <v>3</v>
      </c>
      <c r="G542" s="1" t="n">
        <v>1</v>
      </c>
      <c r="H542" s="13" t="n">
        <v>8</v>
      </c>
      <c r="I542" s="16" t="n">
        <v>976240</v>
      </c>
      <c r="J542" s="13" t="n">
        <v>1</v>
      </c>
      <c r="K542" s="13" t="s">
        <v>51</v>
      </c>
      <c r="L542" s="13" t="n">
        <v>1</v>
      </c>
      <c r="P542" s="1" t="n">
        <f aca="false">SUM(M542:O542)</f>
        <v>0</v>
      </c>
      <c r="S542" s="13" t="n">
        <v>10</v>
      </c>
      <c r="W542" s="13" t="n">
        <f aca="false">SUM(Q542:V542)</f>
        <v>10</v>
      </c>
      <c r="Y542" s="13" t="n">
        <v>2</v>
      </c>
      <c r="AA542" s="9"/>
      <c r="AB542" s="14" t="n">
        <f aca="false">(S542)*(1+(J542)*0.2)</f>
        <v>12</v>
      </c>
      <c r="AE542" s="9"/>
      <c r="AF542" s="14" t="n">
        <f aca="false">SUM(Z542:AE542)</f>
        <v>12</v>
      </c>
      <c r="AG542" s="17" t="s">
        <v>47</v>
      </c>
      <c r="AH542" s="11"/>
      <c r="AI542" s="11"/>
      <c r="AJ542" s="15" t="n">
        <f aca="false">IF(AG542="yes",AB542*1.2,AB542)</f>
        <v>14.4</v>
      </c>
      <c r="AK542" s="11"/>
      <c r="AL542" s="11"/>
      <c r="AM542" s="11"/>
      <c r="AN542" s="15" t="n">
        <f aca="false">SUM(AH542:AM542)</f>
        <v>14.4</v>
      </c>
      <c r="AO542" s="1"/>
      <c r="AP542" s="1"/>
      <c r="AQ542" s="1"/>
      <c r="AR542" s="1"/>
    </row>
    <row r="543" customFormat="false" ht="13.8" hidden="false" customHeight="false" outlineLevel="0" collapsed="false">
      <c r="A543" s="13" t="s">
        <v>709</v>
      </c>
      <c r="B543" s="13" t="n">
        <v>944</v>
      </c>
      <c r="C543" s="1" t="s">
        <v>688</v>
      </c>
      <c r="D543" s="13" t="s">
        <v>42</v>
      </c>
      <c r="E543" s="13" t="s">
        <v>689</v>
      </c>
      <c r="F543" s="13" t="n">
        <v>2</v>
      </c>
      <c r="G543" s="1" t="n">
        <v>1</v>
      </c>
      <c r="H543" s="13" t="n">
        <v>7</v>
      </c>
      <c r="I543" s="16" t="n">
        <v>962524</v>
      </c>
      <c r="J543" s="13" t="n">
        <v>2</v>
      </c>
      <c r="K543" s="13" t="s">
        <v>44</v>
      </c>
      <c r="L543" s="13" t="n">
        <v>2</v>
      </c>
      <c r="P543" s="1" t="n">
        <f aca="false">SUM(M543:O543)</f>
        <v>0</v>
      </c>
      <c r="W543" s="1" t="n">
        <f aca="false">SUM(Q543:V543)</f>
        <v>0</v>
      </c>
      <c r="X543" s="13" t="n">
        <v>1</v>
      </c>
      <c r="AA543" s="9"/>
      <c r="AE543" s="9"/>
      <c r="AF543" s="9"/>
      <c r="AG543" s="10"/>
      <c r="AH543" s="11"/>
      <c r="AI543" s="11"/>
      <c r="AJ543" s="11"/>
      <c r="AK543" s="11"/>
      <c r="AL543" s="11"/>
      <c r="AM543" s="11"/>
      <c r="AN543" s="11"/>
      <c r="AO543" s="1"/>
      <c r="AP543" s="1"/>
      <c r="AQ543" s="1"/>
      <c r="AR543" s="1"/>
    </row>
    <row r="544" customFormat="false" ht="13.8" hidden="false" customHeight="false" outlineLevel="0" collapsed="false">
      <c r="A544" s="13" t="s">
        <v>710</v>
      </c>
      <c r="B544" s="13" t="n">
        <v>936</v>
      </c>
      <c r="C544" s="1" t="s">
        <v>688</v>
      </c>
      <c r="D544" s="13" t="s">
        <v>42</v>
      </c>
      <c r="E544" s="13" t="s">
        <v>689</v>
      </c>
      <c r="F544" s="13" t="n">
        <v>5</v>
      </c>
      <c r="G544" s="1" t="n">
        <v>1</v>
      </c>
      <c r="H544" s="13" t="n">
        <v>14</v>
      </c>
      <c r="I544" s="16" t="n">
        <v>2284786</v>
      </c>
      <c r="J544" s="13" t="n">
        <v>3</v>
      </c>
      <c r="K544" s="13" t="s">
        <v>46</v>
      </c>
      <c r="L544" s="13" t="n">
        <v>4</v>
      </c>
      <c r="O544" s="13" t="n">
        <v>1</v>
      </c>
      <c r="P544" s="13" t="n">
        <f aca="false">SUM(M544:O544)</f>
        <v>1</v>
      </c>
      <c r="W544" s="1" t="n">
        <f aca="false">SUM(Q544:V544)</f>
        <v>0</v>
      </c>
      <c r="Y544" s="13" t="n">
        <v>1</v>
      </c>
      <c r="AA544" s="9"/>
      <c r="AE544" s="9"/>
      <c r="AF544" s="9"/>
      <c r="AG544" s="10"/>
      <c r="AH544" s="11"/>
      <c r="AI544" s="11"/>
      <c r="AJ544" s="11"/>
      <c r="AK544" s="11"/>
      <c r="AL544" s="11"/>
      <c r="AM544" s="11"/>
      <c r="AN544" s="11"/>
      <c r="AO544" s="1"/>
      <c r="AP544" s="1"/>
      <c r="AQ544" s="1"/>
      <c r="AR544" s="1"/>
    </row>
    <row r="545" customFormat="false" ht="13.8" hidden="false" customHeight="false" outlineLevel="0" collapsed="false">
      <c r="A545" s="13" t="s">
        <v>711</v>
      </c>
      <c r="B545" s="13" t="n">
        <v>937</v>
      </c>
      <c r="C545" s="1" t="s">
        <v>688</v>
      </c>
      <c r="D545" s="13" t="s">
        <v>42</v>
      </c>
      <c r="E545" s="13" t="s">
        <v>689</v>
      </c>
      <c r="F545" s="13" t="n">
        <v>1</v>
      </c>
      <c r="G545" s="1" t="n">
        <v>1</v>
      </c>
      <c r="H545" s="13" t="n">
        <v>5</v>
      </c>
      <c r="I545" s="16" t="n">
        <v>1802197</v>
      </c>
      <c r="J545" s="13" t="n">
        <v>2</v>
      </c>
      <c r="K545" s="13" t="s">
        <v>44</v>
      </c>
      <c r="L545" s="13" t="n">
        <v>2</v>
      </c>
      <c r="O545" s="1" t="n">
        <v>1</v>
      </c>
      <c r="P545" s="13" t="n">
        <f aca="false">SUM(M545:O545)</f>
        <v>1</v>
      </c>
      <c r="W545" s="1" t="n">
        <f aca="false">SUM(Q545:V545)</f>
        <v>0</v>
      </c>
      <c r="AA545" s="9"/>
      <c r="AE545" s="9"/>
      <c r="AF545" s="9"/>
      <c r="AG545" s="10"/>
      <c r="AH545" s="11"/>
      <c r="AI545" s="11"/>
      <c r="AJ545" s="11"/>
      <c r="AK545" s="11"/>
      <c r="AL545" s="11"/>
      <c r="AM545" s="11"/>
      <c r="AN545" s="11"/>
      <c r="AO545" s="1"/>
      <c r="AP545" s="1"/>
      <c r="AQ545" s="1"/>
      <c r="AR545" s="1"/>
    </row>
    <row r="546" customFormat="false" ht="13.8" hidden="false" customHeight="false" outlineLevel="0" collapsed="false">
      <c r="A546" s="13" t="s">
        <v>712</v>
      </c>
      <c r="B546" s="1" t="n">
        <v>504</v>
      </c>
      <c r="C546" s="1" t="s">
        <v>688</v>
      </c>
      <c r="D546" s="1" t="s">
        <v>42</v>
      </c>
      <c r="E546" s="13" t="s">
        <v>689</v>
      </c>
      <c r="F546" s="13" t="n">
        <v>2</v>
      </c>
      <c r="G546" s="1" t="n">
        <v>1</v>
      </c>
      <c r="H546" s="13" t="n">
        <v>3</v>
      </c>
      <c r="I546" s="8" t="n">
        <v>230181</v>
      </c>
      <c r="J546" s="1" t="n">
        <v>1</v>
      </c>
      <c r="K546" s="1" t="s">
        <v>44</v>
      </c>
      <c r="L546" s="1" t="n">
        <v>2</v>
      </c>
      <c r="P546" s="1" t="n">
        <f aca="false">SUM(M546:O546)</f>
        <v>0</v>
      </c>
      <c r="W546" s="1" t="n">
        <f aca="false">SUM(Q546:V546)</f>
        <v>0</v>
      </c>
      <c r="AA546" s="9"/>
      <c r="AC546" s="9"/>
      <c r="AD546" s="9"/>
      <c r="AE546" s="20"/>
      <c r="AF546" s="9" t="n">
        <f aca="false">SUM(Z546:AE546)</f>
        <v>0</v>
      </c>
      <c r="AG546" s="10"/>
      <c r="AH546" s="11"/>
      <c r="AI546" s="11"/>
      <c r="AJ546" s="11"/>
      <c r="AK546" s="11"/>
      <c r="AL546" s="11"/>
      <c r="AM546" s="11"/>
      <c r="AN546" s="11" t="n">
        <f aca="false">SUM(AH546:AM546)</f>
        <v>0</v>
      </c>
      <c r="AO546" s="1"/>
      <c r="AP546" s="1"/>
      <c r="AQ546" s="1"/>
      <c r="AR546" s="1"/>
    </row>
    <row r="547" customFormat="false" ht="13.8" hidden="false" customHeight="false" outlineLevel="0" collapsed="false">
      <c r="A547" s="13" t="s">
        <v>713</v>
      </c>
      <c r="B547" s="13" t="n">
        <v>969</v>
      </c>
      <c r="C547" s="1" t="s">
        <v>688</v>
      </c>
      <c r="D547" s="13" t="s">
        <v>42</v>
      </c>
      <c r="E547" s="13" t="s">
        <v>689</v>
      </c>
      <c r="F547" s="13" t="n">
        <v>1</v>
      </c>
      <c r="G547" s="1" t="n">
        <v>1</v>
      </c>
      <c r="H547" s="13" t="n">
        <v>3</v>
      </c>
      <c r="I547" s="16" t="n">
        <v>10012</v>
      </c>
      <c r="K547" s="13" t="s">
        <v>51</v>
      </c>
      <c r="L547" s="13" t="n">
        <v>1</v>
      </c>
      <c r="P547" s="1" t="n">
        <f aca="false">SUM(M547:O547)</f>
        <v>0</v>
      </c>
      <c r="W547" s="1" t="n">
        <f aca="false">SUM(Q547:V547)</f>
        <v>0</v>
      </c>
      <c r="AA547" s="9"/>
      <c r="AE547" s="9"/>
      <c r="AF547" s="9"/>
      <c r="AG547" s="10"/>
      <c r="AH547" s="11"/>
      <c r="AI547" s="11"/>
      <c r="AJ547" s="11"/>
      <c r="AK547" s="11"/>
      <c r="AL547" s="11"/>
      <c r="AM547" s="11"/>
      <c r="AN547" s="11"/>
      <c r="AO547" s="1"/>
      <c r="AP547" s="1"/>
      <c r="AQ547" s="1"/>
      <c r="AR547" s="1"/>
    </row>
    <row r="548" customFormat="false" ht="13.8" hidden="false" customHeight="false" outlineLevel="0" collapsed="false">
      <c r="A548" s="1" t="s">
        <v>714</v>
      </c>
      <c r="B548" s="1" t="n">
        <v>500</v>
      </c>
      <c r="C548" s="1" t="s">
        <v>688</v>
      </c>
      <c r="D548" s="1" t="s">
        <v>42</v>
      </c>
      <c r="E548" s="13" t="s">
        <v>689</v>
      </c>
      <c r="F548" s="1" t="n">
        <v>10</v>
      </c>
      <c r="G548" s="1" t="n">
        <v>1</v>
      </c>
      <c r="H548" s="1" t="n">
        <v>4</v>
      </c>
      <c r="I548" s="8" t="n">
        <v>6673637</v>
      </c>
      <c r="J548" s="1" t="n">
        <v>3</v>
      </c>
      <c r="K548" s="1" t="s">
        <v>57</v>
      </c>
      <c r="L548" s="1" t="n">
        <v>8</v>
      </c>
      <c r="M548" s="1" t="n">
        <v>2</v>
      </c>
      <c r="N548" s="1" t="n">
        <v>2</v>
      </c>
      <c r="O548" s="1" t="n">
        <v>4</v>
      </c>
      <c r="P548" s="1" t="n">
        <f aca="false">SUM(M548:O548)</f>
        <v>8</v>
      </c>
      <c r="W548" s="1" t="n">
        <f aca="false">SUM(Q548:V548)</f>
        <v>0</v>
      </c>
      <c r="X548" s="1" t="n">
        <v>7</v>
      </c>
      <c r="Y548" s="1" t="n">
        <v>7</v>
      </c>
      <c r="AF548" s="9" t="n">
        <f aca="false">SUM(Z548:AE548)</f>
        <v>0</v>
      </c>
      <c r="AG548" s="10"/>
      <c r="AH548" s="11"/>
      <c r="AI548" s="11"/>
      <c r="AJ548" s="11"/>
      <c r="AK548" s="11"/>
      <c r="AL548" s="11"/>
      <c r="AM548" s="11"/>
      <c r="AN548" s="11" t="n">
        <f aca="false">SUM(AH548:AM548)</f>
        <v>0</v>
      </c>
      <c r="AO548" s="1"/>
      <c r="AP548" s="1"/>
      <c r="AQ548" s="1"/>
      <c r="AR548" s="1"/>
    </row>
    <row r="549" customFormat="false" ht="13.8" hidden="false" customHeight="false" outlineLevel="0" collapsed="false">
      <c r="A549" s="1" t="s">
        <v>715</v>
      </c>
      <c r="B549" s="1" t="n">
        <v>498</v>
      </c>
      <c r="C549" s="1" t="s">
        <v>688</v>
      </c>
      <c r="D549" s="1" t="s">
        <v>42</v>
      </c>
      <c r="E549" s="13" t="s">
        <v>689</v>
      </c>
      <c r="F549" s="13" t="n">
        <v>3</v>
      </c>
      <c r="G549" s="1" t="n">
        <v>1</v>
      </c>
      <c r="H549" s="13" t="n">
        <v>3</v>
      </c>
      <c r="I549" s="16" t="n">
        <v>649792</v>
      </c>
      <c r="J549" s="1" t="n">
        <v>3</v>
      </c>
      <c r="K549" s="13" t="s">
        <v>46</v>
      </c>
      <c r="L549" s="13" t="n">
        <v>4</v>
      </c>
      <c r="O549" s="13" t="n">
        <v>1</v>
      </c>
      <c r="P549" s="13" t="n">
        <f aca="false">SUM(M549:O549)</f>
        <v>1</v>
      </c>
      <c r="T549" s="13" t="n">
        <v>3</v>
      </c>
      <c r="W549" s="13" t="n">
        <f aca="false">SUM(Q549:V549)</f>
        <v>3</v>
      </c>
      <c r="X549" s="13"/>
      <c r="Y549" s="13"/>
      <c r="AC549" s="14" t="n">
        <f aca="false">(T549)*(1+(J549)*0.2)</f>
        <v>4.8</v>
      </c>
      <c r="AD549" s="9"/>
      <c r="AF549" s="14" t="n">
        <f aca="false">SUM(Z549:AE549)</f>
        <v>4.8</v>
      </c>
      <c r="AG549" s="17" t="s">
        <v>53</v>
      </c>
      <c r="AH549" s="11"/>
      <c r="AI549" s="11"/>
      <c r="AJ549" s="11"/>
      <c r="AK549" s="15" t="n">
        <f aca="false">IF(AH549="yes",AC549*1.2,AC549)</f>
        <v>4.8</v>
      </c>
      <c r="AL549" s="11"/>
      <c r="AM549" s="11"/>
      <c r="AN549" s="15" t="n">
        <f aca="false">SUM(AH549:AM549)</f>
        <v>4.8</v>
      </c>
      <c r="AO549" s="1"/>
      <c r="AP549" s="1"/>
      <c r="AQ549" s="1"/>
      <c r="AR549" s="1"/>
    </row>
    <row r="550" customFormat="false" ht="13.8" hidden="false" customHeight="false" outlineLevel="0" collapsed="false">
      <c r="A550" s="1" t="s">
        <v>716</v>
      </c>
      <c r="B550" s="1" t="n">
        <v>502</v>
      </c>
      <c r="C550" s="1" t="s">
        <v>688</v>
      </c>
      <c r="D550" s="1" t="s">
        <v>42</v>
      </c>
      <c r="E550" s="13" t="s">
        <v>689</v>
      </c>
      <c r="F550" s="1" t="n">
        <v>3</v>
      </c>
      <c r="G550" s="1" t="n">
        <v>1</v>
      </c>
      <c r="H550" s="1" t="n">
        <v>13</v>
      </c>
      <c r="I550" s="8" t="n">
        <v>2963213</v>
      </c>
      <c r="J550" s="1" t="n">
        <v>3</v>
      </c>
      <c r="K550" s="1" t="s">
        <v>46</v>
      </c>
      <c r="L550" s="1" t="n">
        <v>4</v>
      </c>
      <c r="O550" s="13" t="n">
        <v>1</v>
      </c>
      <c r="P550" s="13" t="n">
        <f aca="false">SUM(M550:O550)</f>
        <v>1</v>
      </c>
      <c r="W550" s="1" t="n">
        <f aca="false">SUM(Q550:V550)</f>
        <v>0</v>
      </c>
      <c r="X550" s="1" t="n">
        <v>2</v>
      </c>
      <c r="Y550" s="1" t="n">
        <v>3</v>
      </c>
      <c r="AA550" s="9"/>
      <c r="AF550" s="9" t="n">
        <f aca="false">SUM(Z550:AE550)</f>
        <v>0</v>
      </c>
      <c r="AG550" s="10"/>
      <c r="AH550" s="11"/>
      <c r="AI550" s="11"/>
      <c r="AJ550" s="11"/>
      <c r="AK550" s="11"/>
      <c r="AL550" s="11"/>
      <c r="AM550" s="11"/>
      <c r="AN550" s="11" t="n">
        <f aca="false">SUM(AH550:AM550)</f>
        <v>0</v>
      </c>
      <c r="AO550" s="1"/>
      <c r="AP550" s="1"/>
      <c r="AQ550" s="1"/>
      <c r="AR550" s="1"/>
    </row>
    <row r="551" customFormat="false" ht="13.8" hidden="false" customHeight="false" outlineLevel="0" collapsed="false">
      <c r="A551" s="1" t="s">
        <v>717</v>
      </c>
      <c r="B551" s="1" t="n">
        <v>503</v>
      </c>
      <c r="C551" s="1" t="s">
        <v>688</v>
      </c>
      <c r="D551" s="1" t="s">
        <v>42</v>
      </c>
      <c r="E551" s="13" t="s">
        <v>689</v>
      </c>
      <c r="F551" s="13" t="n">
        <v>3</v>
      </c>
      <c r="G551" s="1" t="n">
        <v>1</v>
      </c>
      <c r="H551" s="13" t="n">
        <v>4</v>
      </c>
      <c r="I551" s="16" t="n">
        <v>962524</v>
      </c>
      <c r="J551" s="13" t="n">
        <v>2</v>
      </c>
      <c r="K551" s="1" t="s">
        <v>44</v>
      </c>
      <c r="L551" s="1" t="n">
        <v>2</v>
      </c>
      <c r="P551" s="1" t="n">
        <f aca="false">SUM(M551:O551)</f>
        <v>0</v>
      </c>
      <c r="W551" s="1" t="n">
        <f aca="false">SUM(Q551:V551)</f>
        <v>0</v>
      </c>
      <c r="X551" s="13"/>
      <c r="AF551" s="9" t="n">
        <f aca="false">SUM(Z551:AE551)</f>
        <v>0</v>
      </c>
      <c r="AG551" s="10"/>
      <c r="AH551" s="11"/>
      <c r="AI551" s="11"/>
      <c r="AJ551" s="11"/>
      <c r="AK551" s="11"/>
      <c r="AL551" s="11"/>
      <c r="AM551" s="11"/>
      <c r="AN551" s="11" t="n">
        <f aca="false">SUM(AH551:AM551)</f>
        <v>0</v>
      </c>
      <c r="AO551" s="1"/>
      <c r="AP551" s="1"/>
      <c r="AQ551" s="1"/>
      <c r="AR551" s="1"/>
    </row>
    <row r="552" customFormat="false" ht="13.8" hidden="false" customHeight="false" outlineLevel="0" collapsed="false">
      <c r="A552" s="1" t="s">
        <v>718</v>
      </c>
      <c r="B552" s="1" t="n">
        <v>501</v>
      </c>
      <c r="C552" s="1" t="s">
        <v>688</v>
      </c>
      <c r="D552" s="1" t="s">
        <v>42</v>
      </c>
      <c r="E552" s="13" t="s">
        <v>689</v>
      </c>
      <c r="F552" s="1" t="n">
        <v>21</v>
      </c>
      <c r="G552" s="1" t="n">
        <v>1</v>
      </c>
      <c r="H552" s="1" t="n">
        <v>14</v>
      </c>
      <c r="I552" s="8" t="n">
        <v>6206767</v>
      </c>
      <c r="J552" s="1" t="n">
        <v>3</v>
      </c>
      <c r="K552" s="1" t="s">
        <v>96</v>
      </c>
      <c r="L552" s="1" t="n">
        <v>6</v>
      </c>
      <c r="M552" s="1" t="n">
        <v>1</v>
      </c>
      <c r="O552" s="1" t="n">
        <v>3</v>
      </c>
      <c r="P552" s="1" t="n">
        <f aca="false">SUM(M552:O552)</f>
        <v>4</v>
      </c>
      <c r="W552" s="1" t="n">
        <f aca="false">SUM(Q552:V552)</f>
        <v>0</v>
      </c>
      <c r="Y552" s="1" t="n">
        <v>4</v>
      </c>
      <c r="AF552" s="9" t="n">
        <f aca="false">SUM(Z552:AE552)</f>
        <v>0</v>
      </c>
      <c r="AG552" s="10"/>
      <c r="AH552" s="11"/>
      <c r="AI552" s="11"/>
      <c r="AJ552" s="11"/>
      <c r="AK552" s="11"/>
      <c r="AL552" s="11"/>
      <c r="AM552" s="11"/>
      <c r="AN552" s="11" t="n">
        <f aca="false">SUM(AH552:AM552)</f>
        <v>0</v>
      </c>
      <c r="AO552" s="1"/>
      <c r="AP552" s="1"/>
      <c r="AQ552" s="1"/>
      <c r="AR552" s="1"/>
    </row>
    <row r="553" customFormat="false" ht="13.8" hidden="false" customHeight="false" outlineLevel="0" collapsed="false">
      <c r="A553" s="13" t="s">
        <v>719</v>
      </c>
      <c r="B553" s="13" t="n">
        <v>941</v>
      </c>
      <c r="C553" s="1" t="s">
        <v>688</v>
      </c>
      <c r="D553" s="13" t="s">
        <v>42</v>
      </c>
      <c r="E553" s="13" t="s">
        <v>689</v>
      </c>
      <c r="F553" s="13" t="n">
        <v>1</v>
      </c>
      <c r="G553" s="1" t="n">
        <v>1</v>
      </c>
      <c r="H553" s="13" t="n">
        <v>4</v>
      </c>
      <c r="I553" s="16" t="n">
        <v>1664229</v>
      </c>
      <c r="K553" s="13" t="s">
        <v>44</v>
      </c>
      <c r="L553" s="13" t="n">
        <v>2</v>
      </c>
      <c r="P553" s="1" t="n">
        <f aca="false">SUM(M553:O553)</f>
        <v>0</v>
      </c>
      <c r="W553" s="1" t="n">
        <f aca="false">SUM(Q553:V553)</f>
        <v>0</v>
      </c>
      <c r="AA553" s="9"/>
      <c r="AE553" s="9"/>
      <c r="AF553" s="9"/>
      <c r="AG553" s="10"/>
      <c r="AH553" s="11"/>
      <c r="AI553" s="11"/>
      <c r="AJ553" s="11"/>
      <c r="AK553" s="11"/>
      <c r="AL553" s="11"/>
      <c r="AM553" s="11"/>
      <c r="AN553" s="11"/>
      <c r="AO553" s="1"/>
      <c r="AP553" s="1"/>
      <c r="AQ553" s="1"/>
      <c r="AR553" s="1"/>
    </row>
    <row r="554" customFormat="false" ht="13.8" hidden="false" customHeight="false" outlineLevel="0" collapsed="false">
      <c r="A554" s="1" t="s">
        <v>720</v>
      </c>
      <c r="B554" s="1" t="n">
        <v>746</v>
      </c>
      <c r="C554" s="1" t="s">
        <v>721</v>
      </c>
      <c r="D554" s="1" t="s">
        <v>42</v>
      </c>
      <c r="E554" s="1" t="s">
        <v>722</v>
      </c>
      <c r="G554" s="1" t="n">
        <v>1</v>
      </c>
      <c r="H554" s="1" t="n">
        <v>7</v>
      </c>
      <c r="I554" s="8" t="n">
        <v>500610</v>
      </c>
      <c r="J554" s="1" t="n">
        <v>1</v>
      </c>
      <c r="K554" s="1" t="s">
        <v>51</v>
      </c>
      <c r="L554" s="1" t="n">
        <v>1</v>
      </c>
      <c r="P554" s="1" t="n">
        <f aca="false">SUM(M554:O554)</f>
        <v>0</v>
      </c>
      <c r="W554" s="1" t="n">
        <f aca="false">SUM(Q554:V554)</f>
        <v>0</v>
      </c>
      <c r="AD554" s="9"/>
      <c r="AF554" s="9" t="n">
        <f aca="false">SUM(Z554:AE554)</f>
        <v>0</v>
      </c>
      <c r="AG554" s="10"/>
      <c r="AH554" s="11"/>
      <c r="AI554" s="11"/>
      <c r="AJ554" s="11"/>
      <c r="AK554" s="11"/>
      <c r="AL554" s="11"/>
      <c r="AM554" s="11"/>
      <c r="AN554" s="11" t="n">
        <f aca="false">SUM(AH554:AM554)</f>
        <v>0</v>
      </c>
      <c r="AO554" s="1"/>
      <c r="AP554" s="1"/>
      <c r="AQ554" s="1"/>
      <c r="AR554" s="1"/>
    </row>
    <row r="555" customFormat="false" ht="13.8" hidden="false" customHeight="false" outlineLevel="0" collapsed="false">
      <c r="A555" s="1" t="s">
        <v>722</v>
      </c>
      <c r="B555" s="1" t="n">
        <v>615</v>
      </c>
      <c r="C555" s="1" t="s">
        <v>721</v>
      </c>
      <c r="D555" s="1" t="s">
        <v>42</v>
      </c>
      <c r="E555" s="1" t="s">
        <v>722</v>
      </c>
      <c r="F555" s="1" t="n">
        <v>3</v>
      </c>
      <c r="G555" s="1" t="n">
        <v>1</v>
      </c>
      <c r="H555" s="1" t="n">
        <v>22</v>
      </c>
      <c r="I555" s="8" t="n">
        <v>11615161</v>
      </c>
      <c r="J555" s="1" t="n">
        <v>2</v>
      </c>
      <c r="K555" s="1" t="s">
        <v>46</v>
      </c>
      <c r="L555" s="1" t="n">
        <v>4</v>
      </c>
      <c r="M555" s="1" t="n">
        <v>2</v>
      </c>
      <c r="O555" s="1" t="n">
        <v>2</v>
      </c>
      <c r="P555" s="1" t="n">
        <f aca="false">SUM(M555:O555)</f>
        <v>4</v>
      </c>
      <c r="W555" s="1" t="n">
        <f aca="false">SUM(Q555:V555)</f>
        <v>0</v>
      </c>
      <c r="AC555" s="9"/>
      <c r="AF555" s="9" t="n">
        <f aca="false">SUM(Z555:AE555)</f>
        <v>0</v>
      </c>
      <c r="AG555" s="10"/>
      <c r="AH555" s="11"/>
      <c r="AI555" s="11"/>
      <c r="AJ555" s="11"/>
      <c r="AK555" s="11"/>
      <c r="AL555" s="11"/>
      <c r="AM555" s="11"/>
      <c r="AN555" s="11" t="n">
        <f aca="false">SUM(AH555:AM555)</f>
        <v>0</v>
      </c>
      <c r="AO555" s="1"/>
      <c r="AP555" s="1"/>
      <c r="AQ555" s="1"/>
      <c r="AR555" s="1"/>
    </row>
    <row r="556" customFormat="false" ht="13.8" hidden="false" customHeight="false" outlineLevel="0" collapsed="false">
      <c r="A556" s="1" t="s">
        <v>723</v>
      </c>
      <c r="B556" s="1" t="n">
        <v>621</v>
      </c>
      <c r="C556" s="1" t="s">
        <v>721</v>
      </c>
      <c r="D556" s="1" t="s">
        <v>42</v>
      </c>
      <c r="E556" s="1" t="s">
        <v>722</v>
      </c>
      <c r="G556" s="1" t="n">
        <v>1</v>
      </c>
      <c r="H556" s="1" t="n">
        <v>11</v>
      </c>
      <c r="I556" s="8" t="n">
        <v>1585633</v>
      </c>
      <c r="J556" s="1" t="n">
        <v>1</v>
      </c>
      <c r="K556" s="1" t="s">
        <v>51</v>
      </c>
      <c r="L556" s="1" t="n">
        <v>1</v>
      </c>
      <c r="O556" s="1" t="n">
        <v>1</v>
      </c>
      <c r="P556" s="1" t="n">
        <f aca="false">SUM(M556:O556)</f>
        <v>1</v>
      </c>
      <c r="W556" s="1" t="n">
        <f aca="false">SUM(Q556:V556)</f>
        <v>0</v>
      </c>
      <c r="AF556" s="9" t="n">
        <f aca="false">SUM(Z556:AE556)</f>
        <v>0</v>
      </c>
      <c r="AG556" s="10"/>
      <c r="AH556" s="11"/>
      <c r="AI556" s="11"/>
      <c r="AJ556" s="11"/>
      <c r="AK556" s="11"/>
      <c r="AL556" s="11"/>
      <c r="AM556" s="11"/>
      <c r="AN556" s="11" t="n">
        <f aca="false">SUM(AH556:AM556)</f>
        <v>0</v>
      </c>
      <c r="AO556" s="1"/>
      <c r="AP556" s="1"/>
      <c r="AQ556" s="1"/>
      <c r="AR556" s="1"/>
    </row>
    <row r="557" customFormat="false" ht="13.8" hidden="false" customHeight="false" outlineLevel="0" collapsed="false">
      <c r="A557" s="1" t="s">
        <v>724</v>
      </c>
      <c r="B557" s="1" t="n">
        <v>868</v>
      </c>
      <c r="C557" s="1" t="s">
        <v>725</v>
      </c>
      <c r="D557" s="1" t="s">
        <v>42</v>
      </c>
      <c r="E557" s="1" t="s">
        <v>726</v>
      </c>
      <c r="F557" s="1" t="n">
        <v>1</v>
      </c>
      <c r="G557" s="1" t="n">
        <v>1</v>
      </c>
      <c r="H557" s="1" t="n">
        <v>18</v>
      </c>
      <c r="I557" s="8" t="n">
        <v>2002441</v>
      </c>
      <c r="J557" s="1" t="n">
        <v>1</v>
      </c>
      <c r="K557" s="1" t="s">
        <v>44</v>
      </c>
      <c r="L557" s="1" t="n">
        <v>2</v>
      </c>
      <c r="P557" s="1" t="n">
        <f aca="false">SUM(M557:O557)</f>
        <v>0</v>
      </c>
      <c r="W557" s="1" t="n">
        <f aca="false">SUM(Q557:V557)</f>
        <v>0</v>
      </c>
      <c r="AF557" s="9" t="n">
        <f aca="false">SUM(Z557:AE557)</f>
        <v>0</v>
      </c>
      <c r="AG557" s="10"/>
      <c r="AH557" s="11"/>
      <c r="AI557" s="11"/>
      <c r="AJ557" s="11"/>
      <c r="AK557" s="11"/>
      <c r="AL557" s="11"/>
      <c r="AM557" s="11"/>
      <c r="AN557" s="11" t="n">
        <f aca="false">SUM(AH557:AM557)</f>
        <v>0</v>
      </c>
      <c r="AO557" s="1"/>
      <c r="AP557" s="1"/>
      <c r="AQ557" s="1"/>
      <c r="AR557" s="1"/>
    </row>
    <row r="558" customFormat="false" ht="13.8" hidden="false" customHeight="false" outlineLevel="0" collapsed="false">
      <c r="A558" s="1" t="s">
        <v>727</v>
      </c>
      <c r="B558" s="1" t="n">
        <v>869</v>
      </c>
      <c r="C558" s="1" t="s">
        <v>725</v>
      </c>
      <c r="D558" s="1" t="s">
        <v>42</v>
      </c>
      <c r="E558" s="1" t="s">
        <v>726</v>
      </c>
      <c r="F558" s="1" t="n">
        <v>1</v>
      </c>
      <c r="G558" s="1" t="n">
        <v>1</v>
      </c>
      <c r="H558" s="1" t="n">
        <v>9</v>
      </c>
      <c r="I558" s="8" t="n">
        <v>2002441</v>
      </c>
      <c r="J558" s="1" t="n">
        <v>1</v>
      </c>
      <c r="K558" s="1" t="s">
        <v>44</v>
      </c>
      <c r="L558" s="1" t="n">
        <v>2</v>
      </c>
      <c r="P558" s="1" t="n">
        <f aca="false">SUM(M558:O558)</f>
        <v>0</v>
      </c>
      <c r="W558" s="1" t="n">
        <f aca="false">SUM(Q558:V558)</f>
        <v>0</v>
      </c>
      <c r="AF558" s="9" t="n">
        <f aca="false">SUM(Z558:AE558)</f>
        <v>0</v>
      </c>
      <c r="AG558" s="10"/>
      <c r="AH558" s="11"/>
      <c r="AI558" s="11"/>
      <c r="AJ558" s="11"/>
      <c r="AK558" s="11"/>
      <c r="AL558" s="11"/>
      <c r="AM558" s="11"/>
      <c r="AN558" s="11" t="n">
        <f aca="false">SUM(AH558:AM558)</f>
        <v>0</v>
      </c>
      <c r="AO558" s="1"/>
      <c r="AP558" s="1"/>
      <c r="AQ558" s="1"/>
      <c r="AR558" s="1"/>
    </row>
    <row r="559" customFormat="false" ht="13.8" hidden="false" customHeight="false" outlineLevel="0" collapsed="false">
      <c r="A559" s="1" t="s">
        <v>728</v>
      </c>
      <c r="B559" s="1" t="n">
        <v>724</v>
      </c>
      <c r="C559" s="1" t="s">
        <v>725</v>
      </c>
      <c r="D559" s="1" t="s">
        <v>42</v>
      </c>
      <c r="E559" s="1" t="s">
        <v>726</v>
      </c>
      <c r="F559" s="1" t="n">
        <v>1</v>
      </c>
      <c r="G559" s="1" t="n">
        <v>1</v>
      </c>
      <c r="H559" s="1" t="n">
        <v>20</v>
      </c>
      <c r="I559" s="8" t="n">
        <v>2044192</v>
      </c>
      <c r="J559" s="1" t="n">
        <v>2</v>
      </c>
      <c r="K559" s="1" t="s">
        <v>44</v>
      </c>
      <c r="L559" s="1" t="n">
        <v>2</v>
      </c>
      <c r="P559" s="1" t="n">
        <f aca="false">SUM(M559:O559)</f>
        <v>0</v>
      </c>
      <c r="S559" s="1" t="n">
        <v>40</v>
      </c>
      <c r="W559" s="1" t="n">
        <f aca="false">SUM(Q559:V559)</f>
        <v>40</v>
      </c>
      <c r="AB559" s="9" t="n">
        <f aca="false">(S559)*(1+(J559)*0.2)</f>
        <v>56</v>
      </c>
      <c r="AF559" s="9" t="n">
        <f aca="false">SUM(Z559:AE559)</f>
        <v>56</v>
      </c>
      <c r="AG559" s="10" t="s">
        <v>53</v>
      </c>
      <c r="AH559" s="11"/>
      <c r="AI559" s="11"/>
      <c r="AJ559" s="11" t="n">
        <f aca="false">IF(AG559="yes",AB559*1.2,AB559)</f>
        <v>56</v>
      </c>
      <c r="AK559" s="11"/>
      <c r="AL559" s="11"/>
      <c r="AM559" s="11"/>
      <c r="AN559" s="11" t="n">
        <f aca="false">SUM(AH559:AM559)</f>
        <v>56</v>
      </c>
      <c r="AO559" s="1"/>
      <c r="AP559" s="1"/>
      <c r="AQ559" s="1"/>
      <c r="AR559" s="1"/>
    </row>
    <row r="560" customFormat="false" ht="13.8" hidden="false" customHeight="false" outlineLevel="0" collapsed="false">
      <c r="A560" s="1" t="s">
        <v>726</v>
      </c>
      <c r="B560" s="1" t="n">
        <v>289</v>
      </c>
      <c r="C560" s="1" t="s">
        <v>725</v>
      </c>
      <c r="D560" s="1" t="s">
        <v>42</v>
      </c>
      <c r="E560" s="1" t="s">
        <v>726</v>
      </c>
      <c r="F560" s="1" t="n">
        <v>10</v>
      </c>
      <c r="G560" s="1" t="n">
        <v>1</v>
      </c>
      <c r="H560" s="1" t="n">
        <v>26</v>
      </c>
      <c r="I560" s="8" t="n">
        <v>8432681</v>
      </c>
      <c r="J560" s="1" t="n">
        <v>2</v>
      </c>
      <c r="K560" s="1" t="s">
        <v>96</v>
      </c>
      <c r="L560" s="1" t="n">
        <v>6</v>
      </c>
      <c r="M560" s="1" t="n">
        <v>1</v>
      </c>
      <c r="O560" s="1" t="n">
        <v>5</v>
      </c>
      <c r="P560" s="1" t="n">
        <f aca="false">SUM(M560:O560)</f>
        <v>6</v>
      </c>
      <c r="S560" s="1" t="n">
        <v>8</v>
      </c>
      <c r="T560" s="1" t="n">
        <v>2</v>
      </c>
      <c r="W560" s="1" t="n">
        <f aca="false">SUM(Q560:V560)</f>
        <v>10</v>
      </c>
      <c r="X560" s="1" t="n">
        <v>3</v>
      </c>
      <c r="Y560" s="1" t="n">
        <v>3</v>
      </c>
      <c r="AB560" s="9" t="n">
        <f aca="false">(S560)*(1+(J560)*0.2)</f>
        <v>11.2</v>
      </c>
      <c r="AC560" s="9" t="n">
        <f aca="false">(T560)*(1+(J560)*0.2)</f>
        <v>2.8</v>
      </c>
      <c r="AF560" s="9" t="n">
        <f aca="false">SUM(Z560:AE560)</f>
        <v>14</v>
      </c>
      <c r="AG560" s="10" t="s">
        <v>47</v>
      </c>
      <c r="AH560" s="11"/>
      <c r="AI560" s="11"/>
      <c r="AJ560" s="11" t="n">
        <f aca="false">IF(AG560="yes",AB560*1.2,AB560)</f>
        <v>13.44</v>
      </c>
      <c r="AK560" s="11" t="n">
        <f aca="false">IF(AG560="yes",AC560*1.2,AC560)</f>
        <v>3.36</v>
      </c>
      <c r="AL560" s="11"/>
      <c r="AM560" s="11"/>
      <c r="AN560" s="11" t="n">
        <f aca="false">SUM(AH560:AM560)</f>
        <v>16.8</v>
      </c>
      <c r="AO560" s="1"/>
      <c r="AP560" s="1"/>
      <c r="AQ560" s="1"/>
      <c r="AR560" s="1"/>
    </row>
    <row r="561" customFormat="false" ht="13.8" hidden="false" customHeight="false" outlineLevel="0" collapsed="false">
      <c r="A561" s="1" t="s">
        <v>729</v>
      </c>
      <c r="B561" s="1" t="n">
        <v>760</v>
      </c>
      <c r="C561" s="1" t="s">
        <v>730</v>
      </c>
      <c r="D561" s="1" t="s">
        <v>42</v>
      </c>
      <c r="E561" s="1" t="s">
        <v>731</v>
      </c>
      <c r="G561" s="1" t="n">
        <v>1</v>
      </c>
      <c r="H561" s="1" t="n">
        <v>8</v>
      </c>
      <c r="I561" s="8" t="n">
        <v>700854</v>
      </c>
      <c r="J561" s="1" t="n">
        <v>2</v>
      </c>
      <c r="K561" s="1" t="s">
        <v>44</v>
      </c>
      <c r="L561" s="1" t="n">
        <v>2</v>
      </c>
      <c r="M561" s="1" t="n">
        <v>1</v>
      </c>
      <c r="P561" s="1" t="n">
        <f aca="false">SUM(M561:O561)</f>
        <v>1</v>
      </c>
      <c r="W561" s="1" t="n">
        <f aca="false">SUM(Q561:V561)</f>
        <v>0</v>
      </c>
      <c r="AC561" s="9"/>
      <c r="AD561" s="9"/>
      <c r="AF561" s="9" t="n">
        <f aca="false">SUM(Z561:AE561)</f>
        <v>0</v>
      </c>
      <c r="AG561" s="10"/>
      <c r="AH561" s="11"/>
      <c r="AI561" s="11"/>
      <c r="AJ561" s="11"/>
      <c r="AK561" s="11"/>
      <c r="AL561" s="11"/>
      <c r="AM561" s="11"/>
      <c r="AN561" s="11" t="n">
        <f aca="false">SUM(AH561:AM561)</f>
        <v>0</v>
      </c>
      <c r="AO561" s="1"/>
      <c r="AP561" s="1"/>
      <c r="AQ561" s="1"/>
      <c r="AR561" s="1"/>
    </row>
    <row r="562" customFormat="false" ht="13.8" hidden="false" customHeight="false" outlineLevel="0" collapsed="false">
      <c r="A562" s="1" t="s">
        <v>732</v>
      </c>
      <c r="B562" s="1" t="n">
        <v>618</v>
      </c>
      <c r="C562" s="1" t="s">
        <v>730</v>
      </c>
      <c r="D562" s="1" t="s">
        <v>42</v>
      </c>
      <c r="E562" s="1" t="s">
        <v>731</v>
      </c>
      <c r="F562" s="1" t="n">
        <v>2</v>
      </c>
      <c r="G562" s="1" t="n">
        <v>1</v>
      </c>
      <c r="H562" s="1" t="n">
        <v>14</v>
      </c>
      <c r="I562" s="8" t="n">
        <v>671619</v>
      </c>
      <c r="J562" s="1" t="n">
        <v>2</v>
      </c>
      <c r="K562" s="1" t="s">
        <v>51</v>
      </c>
      <c r="L562" s="1" t="n">
        <v>1</v>
      </c>
      <c r="O562" s="1" t="n">
        <v>1</v>
      </c>
      <c r="P562" s="1" t="n">
        <f aca="false">SUM(M562:O562)</f>
        <v>1</v>
      </c>
      <c r="W562" s="1" t="n">
        <f aca="false">SUM(Q562:V562)</f>
        <v>0</v>
      </c>
      <c r="AE562" s="20"/>
      <c r="AF562" s="9" t="n">
        <f aca="false">SUM(Z562:AE562)</f>
        <v>0</v>
      </c>
      <c r="AG562" s="10"/>
      <c r="AH562" s="11"/>
      <c r="AI562" s="11"/>
      <c r="AJ562" s="11"/>
      <c r="AK562" s="11"/>
      <c r="AL562" s="11"/>
      <c r="AM562" s="11"/>
      <c r="AN562" s="11" t="n">
        <f aca="false">SUM(AH562:AM562)</f>
        <v>0</v>
      </c>
      <c r="AO562" s="1"/>
      <c r="AP562" s="1"/>
      <c r="AQ562" s="1"/>
      <c r="AR562" s="1"/>
    </row>
    <row r="563" customFormat="false" ht="13.8" hidden="false" customHeight="false" outlineLevel="0" collapsed="false">
      <c r="A563" s="1" t="s">
        <v>733</v>
      </c>
      <c r="B563" s="1" t="n">
        <v>759</v>
      </c>
      <c r="C563" s="1" t="s">
        <v>730</v>
      </c>
      <c r="D563" s="1" t="s">
        <v>42</v>
      </c>
      <c r="E563" s="1" t="s">
        <v>731</v>
      </c>
      <c r="G563" s="1" t="n">
        <v>1</v>
      </c>
      <c r="H563" s="1" t="n">
        <v>6</v>
      </c>
      <c r="I563" s="8" t="n">
        <v>70085</v>
      </c>
      <c r="J563" s="1" t="n">
        <v>1</v>
      </c>
      <c r="K563" s="1" t="s">
        <v>76</v>
      </c>
      <c r="L563" s="1" t="n">
        <v>0</v>
      </c>
      <c r="P563" s="1" t="n">
        <f aca="false">SUM(M563:O563)</f>
        <v>0</v>
      </c>
      <c r="W563" s="1" t="n">
        <f aca="false">SUM(Q563:V563)</f>
        <v>0</v>
      </c>
      <c r="AF563" s="9" t="n">
        <f aca="false">SUM(Z563:AE563)</f>
        <v>0</v>
      </c>
      <c r="AG563" s="10"/>
      <c r="AH563" s="11"/>
      <c r="AI563" s="11"/>
      <c r="AJ563" s="11"/>
      <c r="AK563" s="11"/>
      <c r="AL563" s="11"/>
      <c r="AM563" s="11"/>
      <c r="AN563" s="11" t="n">
        <f aca="false">SUM(AH563:AM563)</f>
        <v>0</v>
      </c>
      <c r="AO563" s="1"/>
      <c r="AP563" s="1"/>
      <c r="AQ563" s="1"/>
      <c r="AR563" s="1"/>
    </row>
    <row r="564" customFormat="false" ht="13.8" hidden="false" customHeight="false" outlineLevel="0" collapsed="false">
      <c r="A564" s="1" t="s">
        <v>734</v>
      </c>
      <c r="B564" s="1" t="n">
        <v>287</v>
      </c>
      <c r="C564" s="1" t="s">
        <v>730</v>
      </c>
      <c r="D564" s="1" t="s">
        <v>42</v>
      </c>
      <c r="E564" s="1" t="s">
        <v>731</v>
      </c>
      <c r="F564" s="1" t="n">
        <v>1</v>
      </c>
      <c r="G564" s="1" t="n">
        <v>1</v>
      </c>
      <c r="H564" s="1" t="n">
        <v>6</v>
      </c>
      <c r="I564" s="8" t="n">
        <v>408498</v>
      </c>
      <c r="J564" s="1" t="n">
        <v>1</v>
      </c>
      <c r="K564" s="1" t="s">
        <v>76</v>
      </c>
      <c r="L564" s="1" t="n">
        <v>0</v>
      </c>
      <c r="P564" s="1" t="n">
        <f aca="false">SUM(M564:O564)</f>
        <v>0</v>
      </c>
      <c r="W564" s="1" t="n">
        <f aca="false">SUM(Q564:V564)</f>
        <v>0</v>
      </c>
      <c r="AF564" s="9" t="n">
        <f aca="false">SUM(Z564:AE564)</f>
        <v>0</v>
      </c>
      <c r="AG564" s="10"/>
      <c r="AH564" s="11"/>
      <c r="AI564" s="11"/>
      <c r="AJ564" s="11"/>
      <c r="AK564" s="11"/>
      <c r="AL564" s="11"/>
      <c r="AM564" s="11"/>
      <c r="AN564" s="11" t="n">
        <f aca="false">SUM(AH564:AM564)</f>
        <v>0</v>
      </c>
      <c r="AO564" s="1"/>
      <c r="AP564" s="1"/>
      <c r="AQ564" s="1"/>
      <c r="AR564" s="1"/>
    </row>
    <row r="565" customFormat="false" ht="13.8" hidden="false" customHeight="false" outlineLevel="0" collapsed="false">
      <c r="A565" s="1" t="s">
        <v>735</v>
      </c>
      <c r="B565" s="1" t="n">
        <v>617</v>
      </c>
      <c r="C565" s="1" t="s">
        <v>730</v>
      </c>
      <c r="D565" s="1" t="s">
        <v>42</v>
      </c>
      <c r="E565" s="1" t="s">
        <v>731</v>
      </c>
      <c r="F565" s="1" t="n">
        <v>5</v>
      </c>
      <c r="G565" s="1" t="n">
        <v>1</v>
      </c>
      <c r="H565" s="1" t="n">
        <v>12</v>
      </c>
      <c r="I565" s="8" t="n">
        <v>1081819</v>
      </c>
      <c r="J565" s="1" t="n">
        <v>2</v>
      </c>
      <c r="K565" s="1" t="s">
        <v>44</v>
      </c>
      <c r="L565" s="1" t="n">
        <v>2</v>
      </c>
      <c r="O565" s="1" t="n">
        <v>2</v>
      </c>
      <c r="P565" s="1" t="n">
        <f aca="false">SUM(M565:O565)</f>
        <v>2</v>
      </c>
      <c r="W565" s="1" t="n">
        <f aca="false">SUM(Q565:V565)</f>
        <v>0</v>
      </c>
      <c r="AA565" s="9"/>
      <c r="AF565" s="9" t="n">
        <f aca="false">SUM(Z565:AE565)</f>
        <v>0</v>
      </c>
      <c r="AG565" s="10"/>
      <c r="AH565" s="11"/>
      <c r="AI565" s="11"/>
      <c r="AJ565" s="11"/>
      <c r="AK565" s="11"/>
      <c r="AL565" s="11"/>
      <c r="AM565" s="11"/>
      <c r="AN565" s="11" t="n">
        <f aca="false">SUM(AH565:AM565)</f>
        <v>0</v>
      </c>
      <c r="AO565" s="1"/>
      <c r="AP565" s="1"/>
      <c r="AQ565" s="1"/>
      <c r="AR565" s="1"/>
    </row>
    <row r="566" customFormat="false" ht="13.8" hidden="false" customHeight="false" outlineLevel="0" collapsed="false">
      <c r="A566" s="1" t="s">
        <v>736</v>
      </c>
      <c r="B566" s="1" t="n">
        <v>619</v>
      </c>
      <c r="C566" s="1" t="s">
        <v>730</v>
      </c>
      <c r="D566" s="1" t="s">
        <v>42</v>
      </c>
      <c r="E566" s="1" t="s">
        <v>731</v>
      </c>
      <c r="F566" s="1" t="n">
        <v>2</v>
      </c>
      <c r="G566" s="1" t="n">
        <v>1</v>
      </c>
      <c r="H566" s="1" t="n">
        <v>10</v>
      </c>
      <c r="I566" s="8" t="n">
        <v>1432446</v>
      </c>
      <c r="J566" s="1" t="n">
        <v>2</v>
      </c>
      <c r="K566" s="1" t="s">
        <v>51</v>
      </c>
      <c r="L566" s="1" t="n">
        <v>1</v>
      </c>
      <c r="O566" s="1" t="n">
        <v>1</v>
      </c>
      <c r="P566" s="1" t="n">
        <f aca="false">SUM(M566:O566)</f>
        <v>1</v>
      </c>
      <c r="R566" s="1" t="n">
        <v>2</v>
      </c>
      <c r="V566" s="1" t="n">
        <v>2</v>
      </c>
      <c r="W566" s="1" t="n">
        <f aca="false">SUM(Q566:V566)</f>
        <v>4</v>
      </c>
      <c r="AA566" s="9" t="n">
        <f aca="false">(R566)*(1+(J566)*0.2)</f>
        <v>2.8</v>
      </c>
      <c r="AE566" s="9" t="n">
        <f aca="false">(V566)*(1+(J566)*0.2)</f>
        <v>2.8</v>
      </c>
      <c r="AF566" s="9" t="n">
        <f aca="false">SUM(Z566:AE566)</f>
        <v>5.6</v>
      </c>
      <c r="AG566" s="10" t="s">
        <v>53</v>
      </c>
      <c r="AH566" s="11"/>
      <c r="AI566" s="11" t="n">
        <f aca="false">IF(AG566="yes",AA566*1.2,AA566)</f>
        <v>2.8</v>
      </c>
      <c r="AJ566" s="11"/>
      <c r="AK566" s="11"/>
      <c r="AL566" s="11"/>
      <c r="AM566" s="11" t="n">
        <f aca="false">IF(AG566="yes",AE566*1.2,AE566)</f>
        <v>2.8</v>
      </c>
      <c r="AN566" s="11" t="n">
        <f aca="false">SUM(AH566:AM566)</f>
        <v>5.6</v>
      </c>
      <c r="AO566" s="1"/>
      <c r="AP566" s="1"/>
      <c r="AQ566" s="1"/>
      <c r="AR566" s="1"/>
    </row>
    <row r="567" customFormat="false" ht="13.8" hidden="false" customHeight="false" outlineLevel="0" collapsed="false">
      <c r="A567" s="1" t="s">
        <v>737</v>
      </c>
      <c r="B567" s="1" t="n">
        <v>681</v>
      </c>
      <c r="C567" s="1" t="s">
        <v>738</v>
      </c>
      <c r="D567" s="1" t="s">
        <v>42</v>
      </c>
      <c r="E567" s="1" t="s">
        <v>739</v>
      </c>
      <c r="F567" s="1" t="n">
        <v>10</v>
      </c>
      <c r="G567" s="1" t="n">
        <v>1</v>
      </c>
      <c r="H567" s="1" t="n">
        <v>11</v>
      </c>
      <c r="I567" s="8" t="n">
        <v>1639177</v>
      </c>
      <c r="J567" s="1" t="n">
        <v>3</v>
      </c>
      <c r="K567" s="1" t="s">
        <v>46</v>
      </c>
      <c r="L567" s="1" t="n">
        <v>4</v>
      </c>
      <c r="O567" s="1" t="n">
        <v>2</v>
      </c>
      <c r="P567" s="1" t="n">
        <f aca="false">SUM(M567:O567)</f>
        <v>2</v>
      </c>
      <c r="W567" s="1" t="n">
        <f aca="false">SUM(Q567:V567)</f>
        <v>0</v>
      </c>
      <c r="X567" s="1" t="n">
        <v>1</v>
      </c>
      <c r="Y567" s="1" t="n">
        <v>4</v>
      </c>
      <c r="AD567" s="9"/>
      <c r="AF567" s="9" t="n">
        <f aca="false">SUM(Z567:AE567)</f>
        <v>0</v>
      </c>
      <c r="AG567" s="10"/>
      <c r="AH567" s="11"/>
      <c r="AI567" s="11"/>
      <c r="AJ567" s="11"/>
      <c r="AK567" s="11"/>
      <c r="AL567" s="11"/>
      <c r="AM567" s="11"/>
      <c r="AN567" s="11" t="n">
        <f aca="false">SUM(AH567:AM567)</f>
        <v>0</v>
      </c>
      <c r="AO567" s="1"/>
      <c r="AP567" s="1"/>
      <c r="AQ567" s="1"/>
      <c r="AR567" s="1"/>
    </row>
    <row r="568" customFormat="false" ht="13.8" hidden="false" customHeight="false" outlineLevel="0" collapsed="false">
      <c r="A568" s="1" t="s">
        <v>740</v>
      </c>
      <c r="B568" s="1" t="n">
        <v>893</v>
      </c>
      <c r="C568" s="1" t="s">
        <v>738</v>
      </c>
      <c r="D568" s="1" t="s">
        <v>42</v>
      </c>
      <c r="E568" s="1" t="s">
        <v>739</v>
      </c>
      <c r="G568" s="1" t="n">
        <v>1</v>
      </c>
      <c r="H568" s="1" t="n">
        <v>5</v>
      </c>
      <c r="I568" s="8" t="n">
        <v>46256</v>
      </c>
      <c r="J568" s="1" t="n">
        <v>2</v>
      </c>
      <c r="K568" s="1" t="s">
        <v>76</v>
      </c>
      <c r="L568" s="1" t="n">
        <v>0</v>
      </c>
      <c r="P568" s="1" t="n">
        <f aca="false">SUM(M568:O568)</f>
        <v>0</v>
      </c>
      <c r="W568" s="1" t="n">
        <f aca="false">SUM(Q568:V568)</f>
        <v>0</v>
      </c>
      <c r="AF568" s="9" t="n">
        <f aca="false">SUM(Z568:AE568)</f>
        <v>0</v>
      </c>
      <c r="AG568" s="10"/>
      <c r="AH568" s="11"/>
      <c r="AI568" s="11"/>
      <c r="AJ568" s="11"/>
      <c r="AK568" s="11"/>
      <c r="AL568" s="11"/>
      <c r="AM568" s="11"/>
      <c r="AN568" s="11" t="n">
        <f aca="false">SUM(AH568:AM568)</f>
        <v>0</v>
      </c>
      <c r="AO568" s="1"/>
      <c r="AP568" s="1"/>
      <c r="AQ568" s="1"/>
      <c r="AR568" s="1"/>
    </row>
    <row r="569" customFormat="false" ht="13.8" hidden="false" customHeight="false" outlineLevel="0" collapsed="false">
      <c r="A569" s="1" t="s">
        <v>741</v>
      </c>
      <c r="B569" s="1" t="n">
        <v>541</v>
      </c>
      <c r="C569" s="1" t="s">
        <v>738</v>
      </c>
      <c r="D569" s="1" t="s">
        <v>42</v>
      </c>
      <c r="E569" s="1" t="s">
        <v>739</v>
      </c>
      <c r="F569" s="1" t="n">
        <v>1</v>
      </c>
      <c r="G569" s="1" t="n">
        <v>1</v>
      </c>
      <c r="H569" s="1" t="n">
        <v>3</v>
      </c>
      <c r="I569" s="8" t="n">
        <v>254410</v>
      </c>
      <c r="J569" s="1" t="n">
        <v>2</v>
      </c>
      <c r="K569" s="1" t="s">
        <v>51</v>
      </c>
      <c r="L569" s="1" t="n">
        <v>1</v>
      </c>
      <c r="P569" s="1" t="n">
        <f aca="false">SUM(M569:O569)</f>
        <v>0</v>
      </c>
      <c r="W569" s="1" t="n">
        <f aca="false">SUM(Q569:V569)</f>
        <v>0</v>
      </c>
      <c r="AC569" s="9"/>
      <c r="AD569" s="9"/>
      <c r="AF569" s="9" t="n">
        <f aca="false">SUM(Z569:AE569)</f>
        <v>0</v>
      </c>
      <c r="AG569" s="10"/>
      <c r="AH569" s="11"/>
      <c r="AI569" s="11"/>
      <c r="AJ569" s="11"/>
      <c r="AK569" s="11"/>
      <c r="AL569" s="11"/>
      <c r="AM569" s="11"/>
      <c r="AN569" s="11" t="n">
        <f aca="false">SUM(AH569:AM569)</f>
        <v>0</v>
      </c>
      <c r="AO569" s="1"/>
      <c r="AP569" s="1"/>
      <c r="AQ569" s="1"/>
      <c r="AR569" s="1"/>
    </row>
    <row r="570" customFormat="false" ht="13.8" hidden="false" customHeight="false" outlineLevel="0" collapsed="false">
      <c r="A570" s="1" t="s">
        <v>742</v>
      </c>
      <c r="B570" s="1" t="n">
        <v>894</v>
      </c>
      <c r="C570" s="1" t="s">
        <v>738</v>
      </c>
      <c r="D570" s="1" t="s">
        <v>42</v>
      </c>
      <c r="E570" s="1" t="s">
        <v>739</v>
      </c>
      <c r="G570" s="1" t="n">
        <v>1</v>
      </c>
      <c r="H570" s="1" t="n">
        <v>3</v>
      </c>
      <c r="I570" s="8" t="n">
        <v>69385</v>
      </c>
      <c r="J570" s="1" t="n">
        <v>2</v>
      </c>
      <c r="K570" s="1" t="s">
        <v>76</v>
      </c>
      <c r="L570" s="1" t="n">
        <v>0</v>
      </c>
      <c r="P570" s="1" t="n">
        <f aca="false">SUM(M570:O570)</f>
        <v>0</v>
      </c>
      <c r="W570" s="1" t="n">
        <f aca="false">SUM(Q570:V570)</f>
        <v>0</v>
      </c>
      <c r="AF570" s="9" t="n">
        <f aca="false">SUM(Z570:AE570)</f>
        <v>0</v>
      </c>
      <c r="AG570" s="10"/>
      <c r="AH570" s="11"/>
      <c r="AI570" s="11"/>
      <c r="AJ570" s="11"/>
      <c r="AK570" s="11"/>
      <c r="AL570" s="11"/>
      <c r="AM570" s="11"/>
      <c r="AN570" s="11" t="n">
        <f aca="false">SUM(AH570:AM570)</f>
        <v>0</v>
      </c>
      <c r="AO570" s="1"/>
      <c r="AP570" s="1"/>
      <c r="AQ570" s="1"/>
      <c r="AR570" s="1"/>
    </row>
    <row r="571" customFormat="false" ht="13.8" hidden="false" customHeight="false" outlineLevel="0" collapsed="false">
      <c r="A571" s="1" t="s">
        <v>743</v>
      </c>
      <c r="B571" s="1" t="n">
        <v>719</v>
      </c>
      <c r="C571" s="1" t="s">
        <v>738</v>
      </c>
      <c r="D571" s="1" t="s">
        <v>42</v>
      </c>
      <c r="E571" s="1" t="s">
        <v>739</v>
      </c>
      <c r="F571" s="1" t="n">
        <v>4</v>
      </c>
      <c r="G571" s="1" t="n">
        <v>1</v>
      </c>
      <c r="H571" s="1" t="n">
        <v>9</v>
      </c>
      <c r="I571" s="8" t="n">
        <v>3966994</v>
      </c>
      <c r="J571" s="1" t="n">
        <v>3</v>
      </c>
      <c r="K571" s="1" t="s">
        <v>96</v>
      </c>
      <c r="L571" s="1" t="n">
        <v>6</v>
      </c>
      <c r="O571" s="1" t="n">
        <v>2</v>
      </c>
      <c r="P571" s="1" t="n">
        <f aca="false">SUM(M571:O571)</f>
        <v>2</v>
      </c>
      <c r="V571" s="1" t="n">
        <v>60</v>
      </c>
      <c r="W571" s="1" t="n">
        <f aca="false">SUM(Q571:V571)</f>
        <v>60</v>
      </c>
      <c r="X571" s="1" t="n">
        <v>1</v>
      </c>
      <c r="Y571" s="1" t="n">
        <v>4</v>
      </c>
      <c r="Z571" s="12"/>
      <c r="AE571" s="9" t="n">
        <f aca="false">(V571)*(1+(J571)*0.2)</f>
        <v>96</v>
      </c>
      <c r="AF571" s="9" t="n">
        <f aca="false">SUM(Z571:AE571)</f>
        <v>96</v>
      </c>
      <c r="AG571" s="10" t="s">
        <v>47</v>
      </c>
      <c r="AH571" s="11"/>
      <c r="AI571" s="11"/>
      <c r="AJ571" s="11"/>
      <c r="AK571" s="11"/>
      <c r="AL571" s="11"/>
      <c r="AM571" s="11" t="n">
        <f aca="false">IF(AG571="yes",AE571*1.2,AE571)</f>
        <v>115.2</v>
      </c>
      <c r="AN571" s="11" t="n">
        <f aca="false">SUM(AH571:AM571)</f>
        <v>115.2</v>
      </c>
      <c r="AO571" s="1"/>
      <c r="AP571" s="1"/>
      <c r="AQ571" s="1"/>
      <c r="AR571" s="1"/>
    </row>
    <row r="572" customFormat="false" ht="13.8" hidden="false" customHeight="false" outlineLevel="0" collapsed="false">
      <c r="A572" s="1" t="s">
        <v>744</v>
      </c>
      <c r="B572" s="1" t="n">
        <v>895</v>
      </c>
      <c r="C572" s="1" t="s">
        <v>738</v>
      </c>
      <c r="D572" s="1" t="s">
        <v>42</v>
      </c>
      <c r="E572" s="1" t="s">
        <v>739</v>
      </c>
      <c r="G572" s="1" t="n">
        <v>1</v>
      </c>
      <c r="H572" s="1" t="n">
        <v>3</v>
      </c>
      <c r="I572" s="8" t="n">
        <v>92513</v>
      </c>
      <c r="J572" s="1" t="n">
        <v>2</v>
      </c>
      <c r="K572" s="1" t="s">
        <v>51</v>
      </c>
      <c r="L572" s="1" t="n">
        <v>1</v>
      </c>
      <c r="P572" s="1" t="n">
        <f aca="false">SUM(M572:O572)</f>
        <v>0</v>
      </c>
      <c r="W572" s="1" t="n">
        <f aca="false">SUM(Q572:V572)</f>
        <v>0</v>
      </c>
      <c r="AB572" s="9"/>
      <c r="AF572" s="9" t="n">
        <f aca="false">SUM(Z572:AE572)</f>
        <v>0</v>
      </c>
      <c r="AG572" s="10"/>
      <c r="AH572" s="11"/>
      <c r="AI572" s="11"/>
      <c r="AJ572" s="11"/>
      <c r="AK572" s="11"/>
      <c r="AL572" s="11"/>
      <c r="AM572" s="11"/>
      <c r="AN572" s="11" t="n">
        <f aca="false">SUM(AH572:AM572)</f>
        <v>0</v>
      </c>
      <c r="AO572" s="1"/>
      <c r="AP572" s="1"/>
      <c r="AQ572" s="1"/>
      <c r="AR572" s="1"/>
    </row>
    <row r="573" customFormat="false" ht="13.8" hidden="false" customHeight="false" outlineLevel="0" collapsed="false">
      <c r="A573" s="1" t="s">
        <v>745</v>
      </c>
      <c r="B573" s="1" t="n">
        <v>275</v>
      </c>
      <c r="C573" s="1" t="s">
        <v>738</v>
      </c>
      <c r="D573" s="1" t="s">
        <v>42</v>
      </c>
      <c r="E573" s="1" t="s">
        <v>739</v>
      </c>
      <c r="F573" s="1" t="n">
        <v>10</v>
      </c>
      <c r="G573" s="1" t="n">
        <v>1</v>
      </c>
      <c r="H573" s="1" t="n">
        <v>11</v>
      </c>
      <c r="I573" s="8" t="n">
        <v>3684856</v>
      </c>
      <c r="J573" s="1" t="n">
        <v>3</v>
      </c>
      <c r="K573" s="1" t="s">
        <v>96</v>
      </c>
      <c r="L573" s="1" t="n">
        <v>6</v>
      </c>
      <c r="M573" s="1" t="n">
        <v>1</v>
      </c>
      <c r="O573" s="1" t="n">
        <v>5</v>
      </c>
      <c r="P573" s="1" t="n">
        <f aca="false">SUM(M573:O573)</f>
        <v>6</v>
      </c>
      <c r="U573" s="1" t="n">
        <v>11</v>
      </c>
      <c r="V573" s="1" t="n">
        <v>53</v>
      </c>
      <c r="W573" s="1" t="n">
        <f aca="false">SUM(Q573:V573)</f>
        <v>64</v>
      </c>
      <c r="X573" s="1" t="n">
        <v>3</v>
      </c>
      <c r="AD573" s="9" t="n">
        <f aca="false">(U573)*(1+(J573)*0.2)</f>
        <v>17.6</v>
      </c>
      <c r="AE573" s="9" t="n">
        <f aca="false">(V573)*(1+(J573)*0.2)</f>
        <v>84.8</v>
      </c>
      <c r="AF573" s="9" t="n">
        <f aca="false">SUM(Z573:AE573)</f>
        <v>102.4</v>
      </c>
      <c r="AG573" s="10" t="s">
        <v>47</v>
      </c>
      <c r="AH573" s="11"/>
      <c r="AI573" s="11"/>
      <c r="AJ573" s="11"/>
      <c r="AK573" s="11"/>
      <c r="AL573" s="11" t="n">
        <f aca="false">IF(AG573="yes",AD573*1.2,AD573)</f>
        <v>21.12</v>
      </c>
      <c r="AM573" s="11" t="n">
        <f aca="false">IF(AG573="yes",AE573*1.2,AE573)</f>
        <v>101.76</v>
      </c>
      <c r="AN573" s="11" t="n">
        <f aca="false">SUM(AH573:AM573)</f>
        <v>122.88</v>
      </c>
      <c r="AO573" s="1"/>
      <c r="AP573" s="1"/>
      <c r="AQ573" s="1"/>
      <c r="AR573" s="1"/>
    </row>
    <row r="574" customFormat="false" ht="13.8" hidden="false" customHeight="false" outlineLevel="0" collapsed="false">
      <c r="A574" s="1" t="s">
        <v>746</v>
      </c>
      <c r="B574" s="1" t="n">
        <v>826</v>
      </c>
      <c r="C574" s="1" t="s">
        <v>747</v>
      </c>
      <c r="D574" s="1" t="s">
        <v>42</v>
      </c>
      <c r="E574" s="1" t="s">
        <v>748</v>
      </c>
      <c r="F574" s="1" t="n">
        <v>1</v>
      </c>
      <c r="G574" s="1" t="n">
        <v>1</v>
      </c>
      <c r="H574" s="1" t="n">
        <v>4</v>
      </c>
      <c r="I574" s="8" t="n">
        <v>492169</v>
      </c>
      <c r="J574" s="1" t="n">
        <v>2</v>
      </c>
      <c r="K574" s="1" t="s">
        <v>44</v>
      </c>
      <c r="L574" s="1" t="n">
        <v>2</v>
      </c>
      <c r="O574" s="1" t="n">
        <v>1</v>
      </c>
      <c r="P574" s="1" t="n">
        <f aca="false">SUM(M574:O574)</f>
        <v>1</v>
      </c>
      <c r="W574" s="1" t="n">
        <f aca="false">SUM(Q574:V574)</f>
        <v>0</v>
      </c>
      <c r="AF574" s="9" t="n">
        <f aca="false">SUM(Z574:AE574)</f>
        <v>0</v>
      </c>
      <c r="AG574" s="10"/>
      <c r="AH574" s="11"/>
      <c r="AI574" s="11"/>
      <c r="AJ574" s="11"/>
      <c r="AK574" s="11"/>
      <c r="AL574" s="11"/>
      <c r="AM574" s="11"/>
      <c r="AN574" s="11" t="n">
        <f aca="false">SUM(AH574:AM574)</f>
        <v>0</v>
      </c>
      <c r="AO574" s="1"/>
      <c r="AP574" s="1"/>
      <c r="AQ574" s="1"/>
      <c r="AR574" s="1"/>
    </row>
    <row r="575" customFormat="false" ht="13.8" hidden="false" customHeight="false" outlineLevel="0" collapsed="false">
      <c r="A575" s="1" t="s">
        <v>749</v>
      </c>
      <c r="B575" s="1" t="n">
        <v>402</v>
      </c>
      <c r="C575" s="1" t="s">
        <v>747</v>
      </c>
      <c r="D575" s="1" t="s">
        <v>42</v>
      </c>
      <c r="E575" s="1" t="s">
        <v>748</v>
      </c>
      <c r="F575" s="1" t="n">
        <v>1</v>
      </c>
      <c r="G575" s="1" t="n">
        <v>1</v>
      </c>
      <c r="H575" s="1" t="n">
        <v>33</v>
      </c>
      <c r="I575" s="8" t="n">
        <v>282590</v>
      </c>
      <c r="J575" s="1" t="n">
        <v>2</v>
      </c>
      <c r="K575" s="1" t="s">
        <v>44</v>
      </c>
      <c r="L575" s="1" t="n">
        <v>2</v>
      </c>
      <c r="P575" s="1" t="n">
        <f aca="false">SUM(M575:O575)</f>
        <v>0</v>
      </c>
      <c r="V575" s="1" t="n">
        <v>15</v>
      </c>
      <c r="W575" s="1" t="n">
        <f aca="false">SUM(Q575:V575)</f>
        <v>15</v>
      </c>
      <c r="AE575" s="9" t="n">
        <f aca="false">(V575)*(1+(J575)*0.2)</f>
        <v>21</v>
      </c>
      <c r="AF575" s="9" t="n">
        <f aca="false">SUM(Z575:AE575)</f>
        <v>21</v>
      </c>
      <c r="AG575" s="10" t="s">
        <v>47</v>
      </c>
      <c r="AH575" s="11"/>
      <c r="AI575" s="11"/>
      <c r="AJ575" s="11"/>
      <c r="AK575" s="11"/>
      <c r="AL575" s="11"/>
      <c r="AM575" s="11" t="n">
        <f aca="false">IF(AG575="yes",AE575*1.2,AE575)</f>
        <v>25.2</v>
      </c>
      <c r="AN575" s="11" t="n">
        <f aca="false">SUM(AH575:AM575)</f>
        <v>25.2</v>
      </c>
      <c r="AO575" s="1"/>
      <c r="AP575" s="1"/>
      <c r="AQ575" s="1"/>
      <c r="AR575" s="1"/>
    </row>
    <row r="576" customFormat="false" ht="13.8" hidden="false" customHeight="false" outlineLevel="0" collapsed="false">
      <c r="A576" s="1" t="s">
        <v>750</v>
      </c>
      <c r="B576" s="1" t="n">
        <v>590</v>
      </c>
      <c r="C576" s="1" t="s">
        <v>747</v>
      </c>
      <c r="D576" s="1" t="s">
        <v>42</v>
      </c>
      <c r="E576" s="1" t="s">
        <v>748</v>
      </c>
      <c r="F576" s="1" t="n">
        <v>1</v>
      </c>
      <c r="G576" s="1" t="n">
        <v>1</v>
      </c>
      <c r="H576" s="1" t="n">
        <v>28</v>
      </c>
      <c r="I576" s="8" t="n">
        <v>981730</v>
      </c>
      <c r="J576" s="1" t="n">
        <v>2</v>
      </c>
      <c r="K576" s="1" t="s">
        <v>51</v>
      </c>
      <c r="L576" s="1" t="n">
        <v>1</v>
      </c>
      <c r="P576" s="1" t="n">
        <f aca="false">SUM(M576:O576)</f>
        <v>0</v>
      </c>
      <c r="W576" s="1" t="n">
        <f aca="false">SUM(Q576:V576)</f>
        <v>0</v>
      </c>
      <c r="AE576" s="20"/>
      <c r="AF576" s="9" t="n">
        <f aca="false">SUM(Z576:AE576)</f>
        <v>0</v>
      </c>
      <c r="AG576" s="10"/>
      <c r="AH576" s="11"/>
      <c r="AI576" s="11"/>
      <c r="AJ576" s="11"/>
      <c r="AK576" s="11"/>
      <c r="AL576" s="11"/>
      <c r="AM576" s="11"/>
      <c r="AN576" s="11" t="n">
        <f aca="false">SUM(AH576:AM576)</f>
        <v>0</v>
      </c>
      <c r="AO576" s="1"/>
      <c r="AP576" s="1"/>
      <c r="AQ576" s="1"/>
      <c r="AR576" s="1"/>
    </row>
    <row r="577" customFormat="false" ht="13.8" hidden="false" customHeight="false" outlineLevel="0" collapsed="false">
      <c r="A577" s="1" t="s">
        <v>751</v>
      </c>
      <c r="B577" s="1" t="n">
        <v>586</v>
      </c>
      <c r="C577" s="1" t="s">
        <v>747</v>
      </c>
      <c r="D577" s="1" t="s">
        <v>42</v>
      </c>
      <c r="E577" s="1" t="s">
        <v>748</v>
      </c>
      <c r="F577" s="1" t="n">
        <v>3</v>
      </c>
      <c r="G577" s="1" t="n">
        <v>1</v>
      </c>
      <c r="H577" s="1" t="n">
        <v>10</v>
      </c>
      <c r="I577" s="8" t="n">
        <v>2566533</v>
      </c>
      <c r="J577" s="1" t="n">
        <v>2</v>
      </c>
      <c r="K577" s="1" t="s">
        <v>96</v>
      </c>
      <c r="L577" s="1" t="n">
        <v>6</v>
      </c>
      <c r="O577" s="1" t="n">
        <v>3</v>
      </c>
      <c r="P577" s="1" t="n">
        <f aca="false">SUM(M577:O577)</f>
        <v>3</v>
      </c>
      <c r="R577" s="1" t="n">
        <v>10</v>
      </c>
      <c r="T577" s="1" t="n">
        <v>4</v>
      </c>
      <c r="U577" s="1" t="n">
        <v>20</v>
      </c>
      <c r="V577" s="1" t="n">
        <v>12</v>
      </c>
      <c r="W577" s="1" t="n">
        <f aca="false">SUM(Q577:V577)</f>
        <v>46</v>
      </c>
      <c r="AA577" s="9" t="n">
        <f aca="false">(R577)*(1+(J577)*0.2)</f>
        <v>14</v>
      </c>
      <c r="AC577" s="9" t="n">
        <f aca="false">(T577)*(1+(J577)*0.2)</f>
        <v>5.6</v>
      </c>
      <c r="AD577" s="9" t="n">
        <f aca="false">(U577)*(1+(J577)*0.2)</f>
        <v>28</v>
      </c>
      <c r="AE577" s="9" t="n">
        <f aca="false">(V577)*(1+(J577)*0.2)</f>
        <v>16.8</v>
      </c>
      <c r="AF577" s="9" t="n">
        <f aca="false">SUM(Z577:AE577)</f>
        <v>64.4</v>
      </c>
      <c r="AG577" s="10" t="s">
        <v>53</v>
      </c>
      <c r="AH577" s="11"/>
      <c r="AI577" s="11" t="n">
        <f aca="false">IF(AG577="yes",AA577*1.2,AA577)</f>
        <v>14</v>
      </c>
      <c r="AJ577" s="11"/>
      <c r="AK577" s="11" t="n">
        <f aca="false">IF(AG577="yes",AC577*1.2,AC577)</f>
        <v>5.6</v>
      </c>
      <c r="AL577" s="11" t="n">
        <f aca="false">IF(AG577="yes",AD577*1.2,AD577)</f>
        <v>28</v>
      </c>
      <c r="AM577" s="11" t="n">
        <f aca="false">IF(AG577="yes",AE577*1.2,AE577)</f>
        <v>16.8</v>
      </c>
      <c r="AN577" s="11" t="n">
        <f aca="false">SUM(AH577:AM577)</f>
        <v>64.4</v>
      </c>
      <c r="AO577" s="1"/>
      <c r="AP577" s="1"/>
      <c r="AQ577" s="1"/>
      <c r="AR577" s="1"/>
    </row>
    <row r="578" customFormat="false" ht="13.8" hidden="false" customHeight="false" outlineLevel="0" collapsed="false">
      <c r="A578" s="1" t="s">
        <v>752</v>
      </c>
      <c r="B578" s="1" t="n">
        <v>40</v>
      </c>
      <c r="C578" s="1" t="s">
        <v>747</v>
      </c>
      <c r="D578" s="1" t="s">
        <v>42</v>
      </c>
      <c r="E578" s="1" t="s">
        <v>748</v>
      </c>
      <c r="F578" s="1" t="n">
        <v>1</v>
      </c>
      <c r="G578" s="1" t="n">
        <v>1</v>
      </c>
      <c r="H578" s="1" t="n">
        <v>12</v>
      </c>
      <c r="I578" s="8" t="n">
        <v>2110024</v>
      </c>
      <c r="J578" s="1" t="n">
        <v>1</v>
      </c>
      <c r="K578" s="1" t="s">
        <v>120</v>
      </c>
      <c r="L578" s="1" t="n">
        <v>5</v>
      </c>
      <c r="O578" s="1" t="n">
        <v>1</v>
      </c>
      <c r="P578" s="1" t="n">
        <f aca="false">SUM(M578:O578)</f>
        <v>1</v>
      </c>
      <c r="W578" s="1" t="n">
        <f aca="false">SUM(Q578:V578)</f>
        <v>0</v>
      </c>
      <c r="AF578" s="9" t="n">
        <f aca="false">SUM(Z578:AE578)</f>
        <v>0</v>
      </c>
      <c r="AG578" s="10"/>
      <c r="AH578" s="11"/>
      <c r="AI578" s="11"/>
      <c r="AJ578" s="11"/>
      <c r="AK578" s="11"/>
      <c r="AL578" s="11"/>
      <c r="AM578" s="11"/>
      <c r="AN578" s="11" t="n">
        <f aca="false">SUM(AH578:AM578)</f>
        <v>0</v>
      </c>
      <c r="AO578" s="1"/>
      <c r="AP578" s="1"/>
      <c r="AQ578" s="1"/>
      <c r="AR578" s="1"/>
    </row>
    <row r="579" customFormat="false" ht="13.8" hidden="false" customHeight="false" outlineLevel="0" collapsed="false">
      <c r="A579" s="1" t="s">
        <v>753</v>
      </c>
      <c r="B579" s="1" t="n">
        <v>561</v>
      </c>
      <c r="C579" s="1" t="s">
        <v>747</v>
      </c>
      <c r="D579" s="1" t="s">
        <v>42</v>
      </c>
      <c r="E579" s="1" t="s">
        <v>748</v>
      </c>
      <c r="G579" s="1" t="n">
        <v>1</v>
      </c>
      <c r="H579" s="1" t="n">
        <v>14</v>
      </c>
      <c r="I579" s="8" t="n">
        <v>454836</v>
      </c>
      <c r="J579" s="1" t="n">
        <v>2</v>
      </c>
      <c r="K579" s="1" t="s">
        <v>44</v>
      </c>
      <c r="L579" s="1" t="n">
        <v>2</v>
      </c>
      <c r="M579" s="1" t="n">
        <v>1</v>
      </c>
      <c r="P579" s="1" t="n">
        <f aca="false">SUM(M579:O579)</f>
        <v>1</v>
      </c>
      <c r="W579" s="1" t="n">
        <f aca="false">SUM(Q579:V579)</f>
        <v>0</v>
      </c>
      <c r="AF579" s="9" t="n">
        <f aca="false">SUM(Z579:AE579)</f>
        <v>0</v>
      </c>
      <c r="AG579" s="10"/>
      <c r="AH579" s="11"/>
      <c r="AI579" s="11"/>
      <c r="AJ579" s="11"/>
      <c r="AK579" s="11"/>
      <c r="AL579" s="11"/>
      <c r="AM579" s="11"/>
      <c r="AN579" s="11" t="n">
        <f aca="false">SUM(AH579:AM579)</f>
        <v>0</v>
      </c>
      <c r="AO579" s="1"/>
      <c r="AP579" s="1"/>
      <c r="AQ579" s="1"/>
      <c r="AR579" s="1"/>
    </row>
    <row r="580" customFormat="false" ht="13.8" hidden="false" customHeight="false" outlineLevel="0" collapsed="false">
      <c r="A580" s="1" t="s">
        <v>754</v>
      </c>
      <c r="B580" s="1" t="n">
        <v>214</v>
      </c>
      <c r="C580" s="1" t="s">
        <v>747</v>
      </c>
      <c r="D580" s="1" t="s">
        <v>42</v>
      </c>
      <c r="E580" s="1" t="s">
        <v>748</v>
      </c>
      <c r="F580" s="1" t="n">
        <v>5</v>
      </c>
      <c r="G580" s="1" t="n">
        <v>1</v>
      </c>
      <c r="H580" s="1" t="n">
        <v>15</v>
      </c>
      <c r="I580" s="8" t="n">
        <v>578691</v>
      </c>
      <c r="J580" s="1" t="n">
        <v>1</v>
      </c>
      <c r="K580" s="1" t="s">
        <v>46</v>
      </c>
      <c r="L580" s="1" t="n">
        <v>4</v>
      </c>
      <c r="O580" s="1" t="n">
        <v>1</v>
      </c>
      <c r="P580" s="1" t="n">
        <f aca="false">SUM(M580:O580)</f>
        <v>1</v>
      </c>
      <c r="W580" s="1" t="n">
        <f aca="false">SUM(Q580:V580)</f>
        <v>0</v>
      </c>
      <c r="X580" s="1" t="n">
        <v>3</v>
      </c>
      <c r="Y580" s="1" t="n">
        <v>3</v>
      </c>
      <c r="AB580" s="9"/>
      <c r="AF580" s="9" t="n">
        <f aca="false">SUM(Z580:AE580)</f>
        <v>0</v>
      </c>
      <c r="AG580" s="10"/>
      <c r="AH580" s="11"/>
      <c r="AI580" s="11"/>
      <c r="AJ580" s="11"/>
      <c r="AK580" s="11"/>
      <c r="AL580" s="11"/>
      <c r="AM580" s="11"/>
      <c r="AN580" s="11" t="n">
        <f aca="false">SUM(AH580:AM580)</f>
        <v>0</v>
      </c>
      <c r="AO580" s="1"/>
      <c r="AP580" s="1"/>
      <c r="AQ580" s="1"/>
      <c r="AR580" s="1"/>
    </row>
    <row r="581" customFormat="false" ht="13.8" hidden="false" customHeight="false" outlineLevel="0" collapsed="false">
      <c r="A581" s="1" t="s">
        <v>755</v>
      </c>
      <c r="B581" s="1" t="n">
        <v>230</v>
      </c>
      <c r="C581" s="1" t="s">
        <v>747</v>
      </c>
      <c r="D581" s="1" t="s">
        <v>42</v>
      </c>
      <c r="E581" s="1" t="s">
        <v>748</v>
      </c>
      <c r="F581" s="1" t="n">
        <v>4</v>
      </c>
      <c r="G581" s="1" t="n">
        <v>1</v>
      </c>
      <c r="H581" s="1" t="n">
        <v>10</v>
      </c>
      <c r="I581" s="8" t="n">
        <v>1251608</v>
      </c>
      <c r="J581" s="1" t="n">
        <v>2</v>
      </c>
      <c r="K581" s="1" t="s">
        <v>46</v>
      </c>
      <c r="L581" s="1" t="n">
        <v>4</v>
      </c>
      <c r="O581" s="1" t="n">
        <v>2</v>
      </c>
      <c r="P581" s="1" t="n">
        <f aca="false">SUM(M581:O581)</f>
        <v>2</v>
      </c>
      <c r="W581" s="1" t="n">
        <f aca="false">SUM(Q581:V581)</f>
        <v>0</v>
      </c>
      <c r="X581" s="1" t="n">
        <v>2</v>
      </c>
      <c r="AF581" s="9" t="n">
        <f aca="false">SUM(Z581:AE581)</f>
        <v>0</v>
      </c>
      <c r="AG581" s="10"/>
      <c r="AH581" s="11"/>
      <c r="AI581" s="11"/>
      <c r="AJ581" s="11"/>
      <c r="AK581" s="11"/>
      <c r="AL581" s="11"/>
      <c r="AM581" s="11"/>
      <c r="AN581" s="11" t="n">
        <f aca="false">SUM(AH581:AM581)</f>
        <v>0</v>
      </c>
      <c r="AO581" s="1"/>
      <c r="AP581" s="1"/>
      <c r="AQ581" s="1"/>
      <c r="AR581" s="1"/>
    </row>
    <row r="582" customFormat="false" ht="13.8" hidden="false" customHeight="false" outlineLevel="0" collapsed="false">
      <c r="A582" s="1" t="s">
        <v>756</v>
      </c>
      <c r="B582" s="1" t="n">
        <v>584</v>
      </c>
      <c r="C582" s="1" t="s">
        <v>747</v>
      </c>
      <c r="D582" s="1" t="s">
        <v>42</v>
      </c>
      <c r="E582" s="1" t="s">
        <v>748</v>
      </c>
      <c r="F582" s="1" t="n">
        <v>2</v>
      </c>
      <c r="G582" s="1" t="n">
        <v>1</v>
      </c>
      <c r="H582" s="1" t="n">
        <v>26</v>
      </c>
      <c r="I582" s="8" t="n">
        <v>932595</v>
      </c>
      <c r="J582" s="1" t="n">
        <v>1</v>
      </c>
      <c r="K582" s="1" t="s">
        <v>51</v>
      </c>
      <c r="L582" s="1" t="n">
        <v>1</v>
      </c>
      <c r="O582" s="1" t="n">
        <v>1</v>
      </c>
      <c r="P582" s="1" t="n">
        <f aca="false">SUM(M582:O582)</f>
        <v>1</v>
      </c>
      <c r="W582" s="1" t="n">
        <f aca="false">SUM(Q582:V582)</f>
        <v>0</v>
      </c>
      <c r="AB582" s="9"/>
      <c r="AF582" s="9" t="n">
        <f aca="false">SUM(Z582:AE582)</f>
        <v>0</v>
      </c>
      <c r="AG582" s="10"/>
      <c r="AH582" s="11"/>
      <c r="AI582" s="11"/>
      <c r="AJ582" s="11"/>
      <c r="AK582" s="11"/>
      <c r="AL582" s="11"/>
      <c r="AM582" s="11"/>
      <c r="AN582" s="11" t="n">
        <f aca="false">SUM(AH582:AM582)</f>
        <v>0</v>
      </c>
      <c r="AO582" s="1"/>
      <c r="AP582" s="1"/>
      <c r="AQ582" s="1"/>
      <c r="AR582" s="1"/>
    </row>
    <row r="583" customFormat="false" ht="13.8" hidden="false" customHeight="false" outlineLevel="0" collapsed="false">
      <c r="A583" s="1" t="s">
        <v>757</v>
      </c>
      <c r="B583" s="1" t="n">
        <v>236</v>
      </c>
      <c r="C583" s="1" t="s">
        <v>747</v>
      </c>
      <c r="D583" s="1" t="s">
        <v>42</v>
      </c>
      <c r="E583" s="1" t="s">
        <v>748</v>
      </c>
      <c r="F583" s="1" t="n">
        <v>3</v>
      </c>
      <c r="G583" s="1" t="n">
        <v>1</v>
      </c>
      <c r="H583" s="1" t="n">
        <v>15</v>
      </c>
      <c r="I583" s="8" t="n">
        <v>647998</v>
      </c>
      <c r="J583" s="1" t="n">
        <v>2</v>
      </c>
      <c r="K583" s="1" t="s">
        <v>44</v>
      </c>
      <c r="L583" s="1" t="n">
        <v>2</v>
      </c>
      <c r="P583" s="1" t="n">
        <f aca="false">SUM(M583:O583)</f>
        <v>0</v>
      </c>
      <c r="W583" s="1" t="n">
        <f aca="false">SUM(Q583:V583)</f>
        <v>0</v>
      </c>
      <c r="X583" s="1" t="n">
        <v>1</v>
      </c>
      <c r="AF583" s="9" t="n">
        <f aca="false">SUM(Z583:AE583)</f>
        <v>0</v>
      </c>
      <c r="AG583" s="10"/>
      <c r="AH583" s="11"/>
      <c r="AI583" s="11"/>
      <c r="AJ583" s="11"/>
      <c r="AK583" s="11"/>
      <c r="AL583" s="11"/>
      <c r="AM583" s="11"/>
      <c r="AN583" s="11" t="n">
        <f aca="false">SUM(AH583:AM583)</f>
        <v>0</v>
      </c>
      <c r="AO583" s="1"/>
      <c r="AP583" s="1"/>
      <c r="AQ583" s="1"/>
      <c r="AR583" s="1"/>
    </row>
    <row r="584" customFormat="false" ht="13.8" hidden="false" customHeight="false" outlineLevel="0" collapsed="false">
      <c r="A584" s="1" t="s">
        <v>758</v>
      </c>
      <c r="B584" s="1" t="n">
        <v>589</v>
      </c>
      <c r="C584" s="1" t="s">
        <v>747</v>
      </c>
      <c r="D584" s="1" t="s">
        <v>42</v>
      </c>
      <c r="E584" s="1" t="s">
        <v>748</v>
      </c>
      <c r="F584" s="1" t="n">
        <v>1</v>
      </c>
      <c r="G584" s="1" t="n">
        <v>1</v>
      </c>
      <c r="H584" s="1" t="n">
        <v>19</v>
      </c>
      <c r="I584" s="8" t="n">
        <v>535844</v>
      </c>
      <c r="J584" s="1" t="n">
        <v>2</v>
      </c>
      <c r="K584" s="1" t="s">
        <v>51</v>
      </c>
      <c r="L584" s="1" t="n">
        <v>1</v>
      </c>
      <c r="O584" s="1" t="n">
        <v>1</v>
      </c>
      <c r="P584" s="1" t="n">
        <f aca="false">SUM(M584:O584)</f>
        <v>1</v>
      </c>
      <c r="W584" s="1" t="n">
        <f aca="false">SUM(Q584:V584)</f>
        <v>0</v>
      </c>
      <c r="AD584" s="9"/>
      <c r="AF584" s="9" t="n">
        <f aca="false">SUM(Z584:AE584)</f>
        <v>0</v>
      </c>
      <c r="AG584" s="21"/>
      <c r="AH584" s="11"/>
      <c r="AI584" s="11"/>
      <c r="AJ584" s="11"/>
      <c r="AK584" s="11"/>
      <c r="AL584" s="11"/>
      <c r="AM584" s="11"/>
      <c r="AN584" s="11" t="n">
        <f aca="false">SUM(AH584:AM584)</f>
        <v>0</v>
      </c>
      <c r="AO584" s="1"/>
      <c r="AP584" s="1"/>
      <c r="AQ584" s="1"/>
      <c r="AR584" s="1"/>
    </row>
    <row r="585" customFormat="false" ht="13.8" hidden="false" customHeight="false" outlineLevel="0" collapsed="false">
      <c r="A585" s="1" t="s">
        <v>759</v>
      </c>
      <c r="B585" s="1" t="n">
        <v>229</v>
      </c>
      <c r="C585" s="1" t="s">
        <v>747</v>
      </c>
      <c r="D585" s="1" t="s">
        <v>42</v>
      </c>
      <c r="E585" s="1" t="s">
        <v>748</v>
      </c>
      <c r="F585" s="1" t="n">
        <v>11</v>
      </c>
      <c r="G585" s="1" t="n">
        <v>1</v>
      </c>
      <c r="H585" s="1" t="n">
        <v>17</v>
      </c>
      <c r="I585" s="8" t="n">
        <v>2884566</v>
      </c>
      <c r="J585" s="1" t="n">
        <v>2</v>
      </c>
      <c r="K585" s="1" t="s">
        <v>120</v>
      </c>
      <c r="L585" s="1" t="n">
        <v>5</v>
      </c>
      <c r="O585" s="1" t="n">
        <v>1</v>
      </c>
      <c r="P585" s="1" t="n">
        <f aca="false">SUM(M585:O585)</f>
        <v>1</v>
      </c>
      <c r="Q585" s="1" t="n">
        <v>70</v>
      </c>
      <c r="W585" s="1" t="n">
        <f aca="false">SUM(Q585:V585)</f>
        <v>70</v>
      </c>
      <c r="X585" s="1" t="n">
        <v>1</v>
      </c>
      <c r="Z585" s="9" t="n">
        <f aca="false">(Q585)*(1+(J585)*0.2)</f>
        <v>98</v>
      </c>
      <c r="AF585" s="9" t="n">
        <f aca="false">SUM(Z585:AE585)</f>
        <v>98</v>
      </c>
      <c r="AG585" s="10" t="s">
        <v>47</v>
      </c>
      <c r="AH585" s="11" t="n">
        <f aca="false">IF(AG585="yes",Z585*1.2,Z585)</f>
        <v>117.6</v>
      </c>
      <c r="AI585" s="11"/>
      <c r="AJ585" s="11"/>
      <c r="AK585" s="11"/>
      <c r="AL585" s="11"/>
      <c r="AM585" s="11"/>
      <c r="AN585" s="11" t="n">
        <f aca="false">SUM(AH585:AM585)</f>
        <v>117.6</v>
      </c>
      <c r="AO585" s="1"/>
      <c r="AP585" s="1"/>
      <c r="AQ585" s="1"/>
      <c r="AR585" s="1"/>
    </row>
    <row r="586" customFormat="false" ht="13.8" hidden="false" customHeight="false" outlineLevel="0" collapsed="false">
      <c r="A586" s="1" t="s">
        <v>760</v>
      </c>
      <c r="B586" s="1" t="n">
        <v>401</v>
      </c>
      <c r="C586" s="1" t="s">
        <v>747</v>
      </c>
      <c r="D586" s="1" t="s">
        <v>42</v>
      </c>
      <c r="E586" s="1" t="s">
        <v>748</v>
      </c>
      <c r="F586" s="1" t="n">
        <v>1</v>
      </c>
      <c r="G586" s="1" t="n">
        <v>1</v>
      </c>
      <c r="H586" s="1" t="n">
        <v>17</v>
      </c>
      <c r="I586" s="8" t="n">
        <v>309908</v>
      </c>
      <c r="J586" s="1" t="n">
        <v>2</v>
      </c>
      <c r="K586" s="1" t="s">
        <v>44</v>
      </c>
      <c r="L586" s="1" t="n">
        <v>2</v>
      </c>
      <c r="P586" s="1" t="n">
        <f aca="false">SUM(M586:O586)</f>
        <v>0</v>
      </c>
      <c r="T586" s="1" t="n">
        <v>10</v>
      </c>
      <c r="U586" s="1" t="n">
        <v>10</v>
      </c>
      <c r="W586" s="1" t="n">
        <f aca="false">SUM(Q586:V586)</f>
        <v>20</v>
      </c>
      <c r="AC586" s="9" t="n">
        <f aca="false">(T586)*(1+(J586)*0.2)</f>
        <v>14</v>
      </c>
      <c r="AD586" s="9" t="n">
        <f aca="false">(U586)*(1+(J586)*0.2)</f>
        <v>14</v>
      </c>
      <c r="AF586" s="9" t="n">
        <f aca="false">SUM(Z586:AE586)</f>
        <v>28</v>
      </c>
      <c r="AG586" s="10" t="s">
        <v>53</v>
      </c>
      <c r="AH586" s="11"/>
      <c r="AI586" s="11"/>
      <c r="AJ586" s="11"/>
      <c r="AK586" s="11" t="n">
        <f aca="false">IF(AG586="yes",AC586*1.2,AC586)</f>
        <v>14</v>
      </c>
      <c r="AL586" s="11" t="n">
        <f aca="false">IF(AG586="yes",AD586*1.2,AD586)</f>
        <v>14</v>
      </c>
      <c r="AM586" s="11"/>
      <c r="AN586" s="11" t="n">
        <f aca="false">SUM(AH586:AM586)</f>
        <v>28</v>
      </c>
      <c r="AO586" s="1"/>
      <c r="AP586" s="1"/>
      <c r="AQ586" s="1"/>
      <c r="AR586" s="1"/>
    </row>
    <row r="587" customFormat="false" ht="13.8" hidden="false" customHeight="false" outlineLevel="0" collapsed="false">
      <c r="A587" s="1" t="s">
        <v>761</v>
      </c>
      <c r="B587" s="1" t="n">
        <v>834</v>
      </c>
      <c r="C587" s="1" t="s">
        <v>747</v>
      </c>
      <c r="D587" s="1" t="s">
        <v>42</v>
      </c>
      <c r="E587" s="1" t="s">
        <v>748</v>
      </c>
      <c r="F587" s="1" t="n">
        <v>3</v>
      </c>
      <c r="G587" s="1" t="n">
        <v>1</v>
      </c>
      <c r="H587" s="1" t="n">
        <v>4</v>
      </c>
      <c r="I587" s="8" t="n">
        <v>183972</v>
      </c>
      <c r="J587" s="1" t="n">
        <v>2</v>
      </c>
      <c r="K587" s="1" t="s">
        <v>44</v>
      </c>
      <c r="L587" s="1" t="n">
        <v>2</v>
      </c>
      <c r="P587" s="1" t="n">
        <f aca="false">SUM(M587:O587)</f>
        <v>0</v>
      </c>
      <c r="W587" s="1" t="n">
        <f aca="false">SUM(Q587:V587)</f>
        <v>0</v>
      </c>
      <c r="AF587" s="9" t="n">
        <f aca="false">SUM(Z587:AE587)</f>
        <v>0</v>
      </c>
      <c r="AG587" s="10"/>
      <c r="AH587" s="11"/>
      <c r="AI587" s="11"/>
      <c r="AJ587" s="11"/>
      <c r="AK587" s="11"/>
      <c r="AL587" s="11"/>
      <c r="AM587" s="11"/>
      <c r="AN587" s="11" t="n">
        <f aca="false">SUM(AH587:AM587)</f>
        <v>0</v>
      </c>
      <c r="AO587" s="1"/>
      <c r="AP587" s="1"/>
      <c r="AQ587" s="1"/>
      <c r="AR587" s="1"/>
    </row>
    <row r="588" customFormat="false" ht="13.8" hidden="false" customHeight="false" outlineLevel="0" collapsed="false">
      <c r="A588" s="1" t="s">
        <v>762</v>
      </c>
      <c r="B588" s="1" t="n">
        <v>240</v>
      </c>
      <c r="C588" s="1" t="s">
        <v>747</v>
      </c>
      <c r="D588" s="1" t="s">
        <v>42</v>
      </c>
      <c r="E588" s="1" t="s">
        <v>748</v>
      </c>
      <c r="F588" s="1" t="n">
        <v>1</v>
      </c>
      <c r="G588" s="1" t="n">
        <v>1</v>
      </c>
      <c r="H588" s="1" t="n">
        <v>13</v>
      </c>
      <c r="I588" s="8" t="n">
        <v>1366203</v>
      </c>
      <c r="J588" s="1" t="n">
        <v>3</v>
      </c>
      <c r="K588" s="1" t="s">
        <v>46</v>
      </c>
      <c r="L588" s="1" t="n">
        <v>4</v>
      </c>
      <c r="P588" s="1" t="n">
        <f aca="false">SUM(M588:O588)</f>
        <v>0</v>
      </c>
      <c r="W588" s="1" t="n">
        <f aca="false">SUM(Q588:V588)</f>
        <v>0</v>
      </c>
      <c r="AF588" s="9" t="n">
        <f aca="false">SUM(Z588:AE588)</f>
        <v>0</v>
      </c>
      <c r="AG588" s="10"/>
      <c r="AH588" s="11"/>
      <c r="AI588" s="11"/>
      <c r="AJ588" s="11"/>
      <c r="AK588" s="11"/>
      <c r="AL588" s="11"/>
      <c r="AM588" s="11"/>
      <c r="AN588" s="11" t="n">
        <f aca="false">SUM(AH588:AM588)</f>
        <v>0</v>
      </c>
      <c r="AO588" s="1"/>
      <c r="AP588" s="1"/>
      <c r="AQ588" s="1"/>
      <c r="AR588" s="1"/>
    </row>
    <row r="589" customFormat="false" ht="13.8" hidden="false" customHeight="false" outlineLevel="0" collapsed="false">
      <c r="A589" s="1" t="s">
        <v>763</v>
      </c>
      <c r="B589" s="1" t="n">
        <v>657</v>
      </c>
      <c r="C589" s="1" t="s">
        <v>747</v>
      </c>
      <c r="D589" s="1" t="s">
        <v>42</v>
      </c>
      <c r="E589" s="1" t="s">
        <v>748</v>
      </c>
      <c r="G589" s="1" t="n">
        <v>1</v>
      </c>
      <c r="H589" s="1" t="n">
        <v>19</v>
      </c>
      <c r="I589" s="8" t="n">
        <v>308756</v>
      </c>
      <c r="J589" s="1" t="n">
        <v>2</v>
      </c>
      <c r="K589" s="1" t="s">
        <v>51</v>
      </c>
      <c r="L589" s="1" t="n">
        <v>1</v>
      </c>
      <c r="P589" s="1" t="n">
        <f aca="false">SUM(M589:O589)</f>
        <v>0</v>
      </c>
      <c r="U589" s="1" t="n">
        <v>18</v>
      </c>
      <c r="W589" s="1" t="n">
        <f aca="false">SUM(Q589:V589)</f>
        <v>18</v>
      </c>
      <c r="X589" s="1" t="n">
        <v>2</v>
      </c>
      <c r="AD589" s="9" t="n">
        <f aca="false">(U589)*(1+(J589)*0.2)</f>
        <v>25.2</v>
      </c>
      <c r="AF589" s="9" t="n">
        <f aca="false">SUM(Z589:AE589)</f>
        <v>25.2</v>
      </c>
      <c r="AG589" s="10" t="s">
        <v>47</v>
      </c>
      <c r="AH589" s="11"/>
      <c r="AI589" s="11"/>
      <c r="AJ589" s="11"/>
      <c r="AK589" s="11"/>
      <c r="AL589" s="11" t="n">
        <f aca="false">IF(AG589="yes",AD589*1.2,AD589)</f>
        <v>30.24</v>
      </c>
      <c r="AM589" s="11"/>
      <c r="AN589" s="11" t="n">
        <f aca="false">SUM(AH589:AM589)</f>
        <v>30.24</v>
      </c>
      <c r="AO589" s="1"/>
      <c r="AP589" s="1"/>
      <c r="AQ589" s="1"/>
      <c r="AR589" s="1"/>
    </row>
    <row r="590" customFormat="false" ht="13.8" hidden="false" customHeight="false" outlineLevel="0" collapsed="false">
      <c r="A590" s="1" t="s">
        <v>764</v>
      </c>
      <c r="B590" s="1" t="n">
        <v>204</v>
      </c>
      <c r="C590" s="1" t="s">
        <v>747</v>
      </c>
      <c r="D590" s="1" t="s">
        <v>42</v>
      </c>
      <c r="E590" s="1" t="s">
        <v>748</v>
      </c>
      <c r="F590" s="1" t="n">
        <v>3</v>
      </c>
      <c r="G590" s="1" t="n">
        <v>1</v>
      </c>
      <c r="H590" s="1" t="n">
        <v>8</v>
      </c>
      <c r="I590" s="8" t="n">
        <v>1042355</v>
      </c>
      <c r="J590" s="1" t="n">
        <v>3</v>
      </c>
      <c r="K590" s="1" t="s">
        <v>44</v>
      </c>
      <c r="L590" s="1" t="n">
        <v>2</v>
      </c>
      <c r="P590" s="1" t="n">
        <f aca="false">SUM(M590:O590)</f>
        <v>0</v>
      </c>
      <c r="W590" s="1" t="n">
        <f aca="false">SUM(Q590:V590)</f>
        <v>0</v>
      </c>
      <c r="AF590" s="9" t="n">
        <f aca="false">SUM(Z590:AE590)</f>
        <v>0</v>
      </c>
      <c r="AG590" s="10"/>
      <c r="AH590" s="11"/>
      <c r="AI590" s="11"/>
      <c r="AJ590" s="11"/>
      <c r="AK590" s="11"/>
      <c r="AL590" s="11"/>
      <c r="AM590" s="11"/>
      <c r="AN590" s="11" t="n">
        <f aca="false">SUM(AH590:AM590)</f>
        <v>0</v>
      </c>
      <c r="AO590" s="1"/>
      <c r="AP590" s="1"/>
      <c r="AQ590" s="1"/>
      <c r="AR590" s="1"/>
    </row>
    <row r="591" customFormat="false" ht="13.8" hidden="false" customHeight="false" outlineLevel="0" collapsed="false">
      <c r="A591" s="1" t="s">
        <v>765</v>
      </c>
      <c r="B591" s="1" t="n">
        <v>565</v>
      </c>
      <c r="C591" s="1" t="s">
        <v>747</v>
      </c>
      <c r="D591" s="1" t="s">
        <v>42</v>
      </c>
      <c r="E591" s="1" t="s">
        <v>748</v>
      </c>
      <c r="G591" s="1" t="n">
        <v>1</v>
      </c>
      <c r="H591" s="1" t="n">
        <v>10</v>
      </c>
      <c r="I591" s="8" t="n">
        <v>195563</v>
      </c>
      <c r="J591" s="1" t="n">
        <v>1</v>
      </c>
      <c r="K591" s="1" t="s">
        <v>44</v>
      </c>
      <c r="L591" s="1" t="n">
        <v>2</v>
      </c>
      <c r="P591" s="1" t="n">
        <f aca="false">SUM(M591:O591)</f>
        <v>0</v>
      </c>
      <c r="U591" s="1" t="n">
        <v>10</v>
      </c>
      <c r="V591" s="1" t="n">
        <v>5</v>
      </c>
      <c r="W591" s="1" t="n">
        <f aca="false">SUM(Q591:V591)</f>
        <v>15</v>
      </c>
      <c r="AD591" s="9" t="n">
        <f aca="false">(U591)*(1+(J591)*0.2)</f>
        <v>12</v>
      </c>
      <c r="AE591" s="9" t="n">
        <f aca="false">(V591)*(1+(J591)*0.2)</f>
        <v>6</v>
      </c>
      <c r="AF591" s="9" t="n">
        <f aca="false">SUM(Z591:AE591)</f>
        <v>18</v>
      </c>
      <c r="AG591" s="10" t="s">
        <v>53</v>
      </c>
      <c r="AH591" s="11"/>
      <c r="AI591" s="11"/>
      <c r="AJ591" s="11"/>
      <c r="AK591" s="11"/>
      <c r="AL591" s="11" t="n">
        <f aca="false">IF(AG591="yes",AD591*1.2,AD591)</f>
        <v>12</v>
      </c>
      <c r="AM591" s="11" t="n">
        <f aca="false">IF(AG591="yes",AE591*1.2,AE591)</f>
        <v>6</v>
      </c>
      <c r="AN591" s="11" t="n">
        <f aca="false">SUM(AH591:AM591)</f>
        <v>18</v>
      </c>
      <c r="AO591" s="1"/>
      <c r="AP591" s="1"/>
      <c r="AQ591" s="1"/>
      <c r="AR591" s="1"/>
    </row>
    <row r="592" customFormat="false" ht="13.8" hidden="false" customHeight="false" outlineLevel="0" collapsed="false">
      <c r="A592" s="1" t="s">
        <v>766</v>
      </c>
      <c r="B592" s="1" t="n">
        <v>567</v>
      </c>
      <c r="C592" s="1" t="s">
        <v>747</v>
      </c>
      <c r="D592" s="1" t="s">
        <v>42</v>
      </c>
      <c r="E592" s="1" t="s">
        <v>748</v>
      </c>
      <c r="G592" s="1" t="n">
        <v>1</v>
      </c>
      <c r="H592" s="1" t="n">
        <v>18</v>
      </c>
      <c r="I592" s="8" t="n">
        <v>410684</v>
      </c>
      <c r="J592" s="1" t="n">
        <v>2</v>
      </c>
      <c r="K592" s="1" t="s">
        <v>44</v>
      </c>
      <c r="L592" s="1" t="n">
        <v>2</v>
      </c>
      <c r="P592" s="1" t="n">
        <f aca="false">SUM(M592:O592)</f>
        <v>0</v>
      </c>
      <c r="R592" s="1" t="n">
        <v>26</v>
      </c>
      <c r="W592" s="1" t="n">
        <f aca="false">SUM(Q592:V592)</f>
        <v>26</v>
      </c>
      <c r="AA592" s="9" t="n">
        <f aca="false">(R592)*(1+(J592)*0.2)</f>
        <v>36.4</v>
      </c>
      <c r="AB592" s="9"/>
      <c r="AF592" s="9" t="n">
        <f aca="false">SUM(Z592:AE592)</f>
        <v>36.4</v>
      </c>
      <c r="AG592" s="10" t="s">
        <v>53</v>
      </c>
      <c r="AH592" s="11"/>
      <c r="AI592" s="11" t="n">
        <f aca="false">IF(AG592="yes",AA592*1.2,AA592)</f>
        <v>36.4</v>
      </c>
      <c r="AJ592" s="11"/>
      <c r="AK592" s="11"/>
      <c r="AL592" s="11"/>
      <c r="AM592" s="11"/>
      <c r="AN592" s="11" t="n">
        <f aca="false">SUM(AH592:AM592)</f>
        <v>36.4</v>
      </c>
      <c r="AO592" s="1"/>
      <c r="AP592" s="1"/>
      <c r="AQ592" s="1"/>
      <c r="AR592" s="1"/>
    </row>
    <row r="593" customFormat="false" ht="13.8" hidden="false" customHeight="false" outlineLevel="0" collapsed="false">
      <c r="A593" s="1" t="s">
        <v>767</v>
      </c>
      <c r="B593" s="1" t="n">
        <v>224</v>
      </c>
      <c r="C593" s="1" t="s">
        <v>747</v>
      </c>
      <c r="D593" s="1" t="s">
        <v>42</v>
      </c>
      <c r="E593" s="1" t="s">
        <v>748</v>
      </c>
      <c r="F593" s="1" t="n">
        <v>10</v>
      </c>
      <c r="G593" s="1" t="n">
        <v>1</v>
      </c>
      <c r="H593" s="1" t="n">
        <v>17</v>
      </c>
      <c r="I593" s="8" t="n">
        <v>1709651</v>
      </c>
      <c r="J593" s="1" t="n">
        <v>3</v>
      </c>
      <c r="K593" s="1" t="s">
        <v>46</v>
      </c>
      <c r="L593" s="1" t="n">
        <v>4</v>
      </c>
      <c r="P593" s="1" t="n">
        <f aca="false">SUM(M593:O593)</f>
        <v>0</v>
      </c>
      <c r="W593" s="1" t="n">
        <f aca="false">SUM(Q593:V593)</f>
        <v>0</v>
      </c>
      <c r="X593" s="1" t="n">
        <v>2</v>
      </c>
      <c r="AD593" s="9"/>
      <c r="AF593" s="9" t="n">
        <f aca="false">SUM(Z593:AE593)</f>
        <v>0</v>
      </c>
      <c r="AG593" s="21"/>
      <c r="AH593" s="11"/>
      <c r="AI593" s="11"/>
      <c r="AJ593" s="11"/>
      <c r="AK593" s="11"/>
      <c r="AL593" s="11"/>
      <c r="AM593" s="11"/>
      <c r="AN593" s="11" t="n">
        <f aca="false">SUM(AH593:AM593)</f>
        <v>0</v>
      </c>
      <c r="AO593" s="1"/>
      <c r="AP593" s="1"/>
      <c r="AQ593" s="1"/>
      <c r="AR593" s="1"/>
    </row>
    <row r="594" customFormat="false" ht="13.8" hidden="false" customHeight="false" outlineLevel="0" collapsed="false">
      <c r="A594" s="1" t="s">
        <v>768</v>
      </c>
      <c r="B594" s="1" t="n">
        <v>830</v>
      </c>
      <c r="C594" s="1" t="s">
        <v>747</v>
      </c>
      <c r="D594" s="1" t="s">
        <v>42</v>
      </c>
      <c r="E594" s="1" t="s">
        <v>748</v>
      </c>
      <c r="F594" s="1" t="n">
        <v>3</v>
      </c>
      <c r="G594" s="1" t="n">
        <v>1</v>
      </c>
      <c r="H594" s="1" t="n">
        <v>10</v>
      </c>
      <c r="I594" s="8" t="n">
        <v>2192269</v>
      </c>
      <c r="J594" s="1" t="n">
        <v>2</v>
      </c>
      <c r="K594" s="1" t="s">
        <v>44</v>
      </c>
      <c r="L594" s="1" t="n">
        <v>2</v>
      </c>
      <c r="O594" s="1" t="n">
        <v>1</v>
      </c>
      <c r="P594" s="1" t="n">
        <f aca="false">SUM(M594:O594)</f>
        <v>1</v>
      </c>
      <c r="W594" s="1" t="n">
        <f aca="false">SUM(Q594:V594)</f>
        <v>0</v>
      </c>
      <c r="X594" s="1" t="n">
        <v>1</v>
      </c>
      <c r="AD594" s="9"/>
      <c r="AF594" s="9" t="n">
        <f aca="false">SUM(Z594:AE594)</f>
        <v>0</v>
      </c>
      <c r="AG594" s="10"/>
      <c r="AH594" s="11"/>
      <c r="AI594" s="11"/>
      <c r="AJ594" s="11"/>
      <c r="AK594" s="11"/>
      <c r="AL594" s="11"/>
      <c r="AM594" s="11"/>
      <c r="AN594" s="11" t="n">
        <f aca="false">SUM(AH594:AM594)</f>
        <v>0</v>
      </c>
      <c r="AO594" s="1"/>
      <c r="AP594" s="1"/>
      <c r="AQ594" s="1"/>
      <c r="AR594" s="1"/>
    </row>
    <row r="595" customFormat="false" ht="13.8" hidden="false" customHeight="false" outlineLevel="0" collapsed="false">
      <c r="A595" s="1" t="s">
        <v>769</v>
      </c>
      <c r="B595" s="1" t="n">
        <v>564</v>
      </c>
      <c r="C595" s="1" t="s">
        <v>747</v>
      </c>
      <c r="D595" s="1" t="s">
        <v>42</v>
      </c>
      <c r="E595" s="1" t="s">
        <v>748</v>
      </c>
      <c r="F595" s="1" t="n">
        <v>3</v>
      </c>
      <c r="G595" s="1" t="n">
        <v>1</v>
      </c>
      <c r="H595" s="1" t="n">
        <v>18</v>
      </c>
      <c r="I595" s="8" t="n">
        <v>371346</v>
      </c>
      <c r="J595" s="1" t="n">
        <v>2</v>
      </c>
      <c r="K595" s="1" t="s">
        <v>44</v>
      </c>
      <c r="L595" s="1" t="n">
        <v>2</v>
      </c>
      <c r="P595" s="1" t="n">
        <f aca="false">SUM(M595:O595)</f>
        <v>0</v>
      </c>
      <c r="R595" s="1" t="n">
        <v>4</v>
      </c>
      <c r="T595" s="1" t="n">
        <v>10</v>
      </c>
      <c r="U595" s="1" t="n">
        <v>10</v>
      </c>
      <c r="V595" s="1" t="n">
        <v>12</v>
      </c>
      <c r="W595" s="1" t="n">
        <f aca="false">SUM(Q595:V595)</f>
        <v>36</v>
      </c>
      <c r="AA595" s="9" t="n">
        <f aca="false">(R595)*(1+(J595)*0.2)</f>
        <v>5.6</v>
      </c>
      <c r="AC595" s="9" t="n">
        <f aca="false">(T595)*(1+(J595)*0.2)</f>
        <v>14</v>
      </c>
      <c r="AD595" s="9" t="n">
        <f aca="false">(U595)*(1+(J595)*0.2)</f>
        <v>14</v>
      </c>
      <c r="AE595" s="9" t="n">
        <f aca="false">(V595)*(1+(J595)*0.2)</f>
        <v>16.8</v>
      </c>
      <c r="AF595" s="9" t="n">
        <f aca="false">SUM(Z595:AE595)</f>
        <v>50.4</v>
      </c>
      <c r="AG595" s="10" t="s">
        <v>53</v>
      </c>
      <c r="AH595" s="11"/>
      <c r="AI595" s="11" t="n">
        <f aca="false">IF(AG595="yes",AA595*1.2,AA595)</f>
        <v>5.6</v>
      </c>
      <c r="AJ595" s="11"/>
      <c r="AK595" s="11" t="n">
        <f aca="false">IF(AG595="yes",AC595*1.2,AC595)</f>
        <v>14</v>
      </c>
      <c r="AL595" s="11" t="n">
        <f aca="false">IF(AG595="yes",AD595*1.2,AD595)</f>
        <v>14</v>
      </c>
      <c r="AM595" s="11" t="n">
        <f aca="false">IF(AG595="yes",AE595*1.2,AE595)</f>
        <v>16.8</v>
      </c>
      <c r="AN595" s="11" t="n">
        <f aca="false">SUM(AH595:AM595)</f>
        <v>50.4</v>
      </c>
      <c r="AO595" s="1"/>
      <c r="AP595" s="1"/>
      <c r="AQ595" s="1"/>
      <c r="AR595" s="1"/>
    </row>
    <row r="596" customFormat="false" ht="13.8" hidden="false" customHeight="false" outlineLevel="0" collapsed="false">
      <c r="A596" s="1" t="s">
        <v>770</v>
      </c>
      <c r="B596" s="1" t="n">
        <v>821</v>
      </c>
      <c r="C596" s="1" t="s">
        <v>747</v>
      </c>
      <c r="D596" s="1" t="s">
        <v>42</v>
      </c>
      <c r="E596" s="1" t="s">
        <v>748</v>
      </c>
      <c r="F596" s="1" t="n">
        <v>5</v>
      </c>
      <c r="G596" s="1" t="n">
        <v>1</v>
      </c>
      <c r="H596" s="1" t="n">
        <v>6</v>
      </c>
      <c r="I596" s="8" t="n">
        <v>732879</v>
      </c>
      <c r="J596" s="1" t="n">
        <v>2</v>
      </c>
      <c r="K596" s="1" t="s">
        <v>44</v>
      </c>
      <c r="L596" s="1" t="n">
        <v>2</v>
      </c>
      <c r="P596" s="1" t="n">
        <f aca="false">SUM(M596:O596)</f>
        <v>0</v>
      </c>
      <c r="Q596" s="1" t="n">
        <v>9</v>
      </c>
      <c r="W596" s="1" t="n">
        <f aca="false">SUM(Q596:V596)</f>
        <v>9</v>
      </c>
      <c r="Z596" s="9" t="n">
        <f aca="false">(Q596)*(1+(J596)*0.2)</f>
        <v>12.6</v>
      </c>
      <c r="AF596" s="9" t="n">
        <f aca="false">SUM(Z596:AE596)</f>
        <v>12.6</v>
      </c>
      <c r="AG596" s="10" t="s">
        <v>47</v>
      </c>
      <c r="AH596" s="11" t="n">
        <f aca="false">IF(AG596="yes",Z596*1.2,Z596)</f>
        <v>15.12</v>
      </c>
      <c r="AI596" s="11"/>
      <c r="AJ596" s="11"/>
      <c r="AK596" s="11"/>
      <c r="AL596" s="11"/>
      <c r="AM596" s="11"/>
      <c r="AN596" s="11" t="n">
        <f aca="false">SUM(AH596:AM596)</f>
        <v>15.12</v>
      </c>
      <c r="AO596" s="1"/>
      <c r="AP596" s="1"/>
      <c r="AQ596" s="1"/>
      <c r="AR596" s="1"/>
    </row>
    <row r="597" customFormat="false" ht="13.8" hidden="false" customHeight="false" outlineLevel="0" collapsed="false">
      <c r="A597" s="1" t="s">
        <v>771</v>
      </c>
      <c r="B597" s="1" t="n">
        <v>572</v>
      </c>
      <c r="C597" s="1" t="s">
        <v>747</v>
      </c>
      <c r="D597" s="1" t="s">
        <v>42</v>
      </c>
      <c r="E597" s="1" t="s">
        <v>748</v>
      </c>
      <c r="F597" s="1" t="n">
        <v>5</v>
      </c>
      <c r="G597" s="1" t="n">
        <v>1</v>
      </c>
      <c r="H597" s="1" t="n">
        <v>15</v>
      </c>
      <c r="I597" s="8" t="n">
        <v>2077465</v>
      </c>
      <c r="J597" s="1" t="n">
        <v>3</v>
      </c>
      <c r="K597" s="1" t="s">
        <v>46</v>
      </c>
      <c r="L597" s="1" t="n">
        <v>4</v>
      </c>
      <c r="O597" s="1" t="n">
        <v>1</v>
      </c>
      <c r="P597" s="1" t="n">
        <f aca="false">SUM(M597:O597)</f>
        <v>1</v>
      </c>
      <c r="W597" s="1" t="n">
        <f aca="false">SUM(Q597:V597)</f>
        <v>0</v>
      </c>
      <c r="AD597" s="9"/>
      <c r="AE597" s="20"/>
      <c r="AF597" s="9" t="n">
        <f aca="false">SUM(Z597:AE597)</f>
        <v>0</v>
      </c>
      <c r="AG597" s="10"/>
      <c r="AH597" s="11"/>
      <c r="AI597" s="11"/>
      <c r="AJ597" s="11"/>
      <c r="AK597" s="11"/>
      <c r="AL597" s="11"/>
      <c r="AM597" s="11"/>
      <c r="AN597" s="11" t="n">
        <f aca="false">SUM(AH597:AM597)</f>
        <v>0</v>
      </c>
      <c r="AO597" s="1"/>
      <c r="AP597" s="1"/>
      <c r="AQ597" s="1"/>
      <c r="AR597" s="1"/>
    </row>
    <row r="598" customFormat="false" ht="13.8" hidden="false" customHeight="false" outlineLevel="0" collapsed="false">
      <c r="A598" s="1" t="s">
        <v>772</v>
      </c>
      <c r="B598" s="1" t="n">
        <v>203</v>
      </c>
      <c r="C598" s="1" t="s">
        <v>747</v>
      </c>
      <c r="D598" s="1" t="s">
        <v>42</v>
      </c>
      <c r="E598" s="1" t="s">
        <v>748</v>
      </c>
      <c r="F598" s="1" t="n">
        <v>5</v>
      </c>
      <c r="G598" s="1" t="n">
        <v>1</v>
      </c>
      <c r="H598" s="1" t="n">
        <v>14</v>
      </c>
      <c r="I598" s="8" t="n">
        <v>2408126</v>
      </c>
      <c r="J598" s="1" t="n">
        <v>3</v>
      </c>
      <c r="K598" s="1" t="s">
        <v>120</v>
      </c>
      <c r="L598" s="1" t="n">
        <v>5</v>
      </c>
      <c r="O598" s="1" t="n">
        <v>1</v>
      </c>
      <c r="P598" s="1" t="n">
        <f aca="false">SUM(M598:O598)</f>
        <v>1</v>
      </c>
      <c r="W598" s="1" t="n">
        <f aca="false">SUM(Q598:V598)</f>
        <v>0</v>
      </c>
      <c r="AA598" s="9"/>
      <c r="AC598" s="9"/>
      <c r="AD598" s="9"/>
      <c r="AE598" s="20"/>
      <c r="AF598" s="9" t="n">
        <f aca="false">SUM(Z598:AE598)</f>
        <v>0</v>
      </c>
      <c r="AG598" s="10"/>
      <c r="AH598" s="11"/>
      <c r="AI598" s="11"/>
      <c r="AJ598" s="11"/>
      <c r="AK598" s="11"/>
      <c r="AL598" s="11"/>
      <c r="AM598" s="11"/>
      <c r="AN598" s="11" t="n">
        <f aca="false">SUM(AH598:AM598)</f>
        <v>0</v>
      </c>
      <c r="AO598" s="1"/>
      <c r="AP598" s="1"/>
      <c r="AQ598" s="1"/>
      <c r="AR598" s="1"/>
    </row>
    <row r="599" customFormat="false" ht="13.8" hidden="false" customHeight="false" outlineLevel="0" collapsed="false">
      <c r="A599" s="1" t="s">
        <v>773</v>
      </c>
      <c r="B599" s="1" t="n">
        <v>193</v>
      </c>
      <c r="C599" s="1" t="s">
        <v>747</v>
      </c>
      <c r="D599" s="1" t="s">
        <v>42</v>
      </c>
      <c r="E599" s="1" t="s">
        <v>748</v>
      </c>
      <c r="F599" s="1" t="n">
        <v>3</v>
      </c>
      <c r="G599" s="1" t="n">
        <v>1</v>
      </c>
      <c r="H599" s="1" t="n">
        <v>14</v>
      </c>
      <c r="I599" s="8" t="n">
        <v>1375314</v>
      </c>
      <c r="J599" s="1" t="n">
        <v>3</v>
      </c>
      <c r="K599" s="1" t="s">
        <v>96</v>
      </c>
      <c r="L599" s="1" t="n">
        <v>6</v>
      </c>
      <c r="P599" s="1" t="n">
        <f aca="false">SUM(M599:O599)</f>
        <v>0</v>
      </c>
      <c r="W599" s="1" t="n">
        <f aca="false">SUM(Q599:V599)</f>
        <v>0</v>
      </c>
      <c r="X599" s="1" t="n">
        <v>8</v>
      </c>
      <c r="AD599" s="9"/>
      <c r="AE599" s="20"/>
      <c r="AF599" s="9" t="n">
        <f aca="false">SUM(Z599:AE599)</f>
        <v>0</v>
      </c>
      <c r="AG599" s="10"/>
      <c r="AH599" s="11"/>
      <c r="AI599" s="11"/>
      <c r="AJ599" s="11"/>
      <c r="AK599" s="11"/>
      <c r="AL599" s="11"/>
      <c r="AM599" s="11"/>
      <c r="AN599" s="11" t="n">
        <f aca="false">SUM(AH599:AM599)</f>
        <v>0</v>
      </c>
      <c r="AO599" s="1"/>
      <c r="AP599" s="1"/>
      <c r="AQ599" s="1"/>
      <c r="AR599" s="1"/>
    </row>
    <row r="600" customFormat="false" ht="13.8" hidden="false" customHeight="false" outlineLevel="0" collapsed="false">
      <c r="A600" s="1" t="s">
        <v>774</v>
      </c>
      <c r="B600" s="1" t="n">
        <v>563</v>
      </c>
      <c r="C600" s="1" t="s">
        <v>747</v>
      </c>
      <c r="D600" s="1" t="s">
        <v>42</v>
      </c>
      <c r="E600" s="1" t="s">
        <v>748</v>
      </c>
      <c r="F600" s="1" t="n">
        <v>1</v>
      </c>
      <c r="G600" s="1" t="n">
        <v>1</v>
      </c>
      <c r="H600" s="1" t="n">
        <v>21</v>
      </c>
      <c r="I600" s="8" t="n">
        <v>1045585</v>
      </c>
      <c r="J600" s="1" t="n">
        <v>2</v>
      </c>
      <c r="K600" s="1" t="s">
        <v>44</v>
      </c>
      <c r="L600" s="1" t="n">
        <v>2</v>
      </c>
      <c r="P600" s="1" t="n">
        <f aca="false">SUM(M600:O600)</f>
        <v>0</v>
      </c>
      <c r="U600" s="1" t="n">
        <v>9</v>
      </c>
      <c r="V600" s="1" t="n">
        <v>8</v>
      </c>
      <c r="W600" s="1" t="n">
        <f aca="false">SUM(Q600:V600)</f>
        <v>17</v>
      </c>
      <c r="X600" s="1" t="n">
        <v>2</v>
      </c>
      <c r="AA600" s="9"/>
      <c r="AD600" s="9" t="n">
        <f aca="false">(U600)*(1+(J600)*0.2)</f>
        <v>12.6</v>
      </c>
      <c r="AE600" s="9" t="n">
        <f aca="false">(V600)*(1+(J600)*0.2)</f>
        <v>11.2</v>
      </c>
      <c r="AF600" s="9" t="n">
        <f aca="false">SUM(Z600:AE600)</f>
        <v>23.8</v>
      </c>
      <c r="AG600" s="10" t="s">
        <v>47</v>
      </c>
      <c r="AH600" s="11"/>
      <c r="AI600" s="11"/>
      <c r="AJ600" s="11"/>
      <c r="AK600" s="11"/>
      <c r="AL600" s="11" t="n">
        <f aca="false">IF(AG600="yes",AD600*1.2,AD600)</f>
        <v>15.12</v>
      </c>
      <c r="AM600" s="11" t="n">
        <f aca="false">IF(AG600="yes",AE600*1.2,AE600)</f>
        <v>13.44</v>
      </c>
      <c r="AN600" s="11" t="n">
        <f aca="false">SUM(AH600:AM600)</f>
        <v>28.56</v>
      </c>
      <c r="AO600" s="1"/>
      <c r="AP600" s="1"/>
      <c r="AQ600" s="1"/>
      <c r="AR600" s="1"/>
    </row>
    <row r="601" customFormat="false" ht="13.8" hidden="false" customHeight="false" outlineLevel="0" collapsed="false">
      <c r="A601" s="1" t="s">
        <v>775</v>
      </c>
      <c r="B601" s="1" t="n">
        <v>875</v>
      </c>
      <c r="C601" s="1" t="s">
        <v>747</v>
      </c>
      <c r="D601" s="1" t="s">
        <v>42</v>
      </c>
      <c r="E601" s="1" t="s">
        <v>748</v>
      </c>
      <c r="F601" s="1" t="n">
        <v>1</v>
      </c>
      <c r="G601" s="1" t="n">
        <v>1</v>
      </c>
      <c r="H601" s="1" t="n">
        <v>2</v>
      </c>
      <c r="I601" s="8" t="n">
        <v>30037</v>
      </c>
      <c r="J601" s="1" t="n">
        <v>1</v>
      </c>
      <c r="K601" s="1" t="s">
        <v>51</v>
      </c>
      <c r="L601" s="1" t="n">
        <v>1</v>
      </c>
      <c r="P601" s="1" t="n">
        <f aca="false">SUM(M601:O601)</f>
        <v>0</v>
      </c>
      <c r="W601" s="1" t="n">
        <f aca="false">SUM(Q601:V601)</f>
        <v>0</v>
      </c>
      <c r="Y601" s="1" t="n">
        <v>1</v>
      </c>
      <c r="AA601" s="9"/>
      <c r="AF601" s="9" t="n">
        <f aca="false">SUM(Z601:AE601)</f>
        <v>0</v>
      </c>
      <c r="AG601" s="10"/>
      <c r="AH601" s="11"/>
      <c r="AI601" s="11"/>
      <c r="AJ601" s="11"/>
      <c r="AK601" s="11"/>
      <c r="AL601" s="11"/>
      <c r="AM601" s="11"/>
      <c r="AN601" s="11" t="n">
        <f aca="false">SUM(AH601:AM601)</f>
        <v>0</v>
      </c>
      <c r="AO601" s="1"/>
      <c r="AP601" s="1"/>
      <c r="AQ601" s="1"/>
      <c r="AR601" s="1"/>
    </row>
    <row r="602" customFormat="false" ht="13.8" hidden="false" customHeight="false" outlineLevel="0" collapsed="false">
      <c r="A602" s="1" t="s">
        <v>776</v>
      </c>
      <c r="B602" s="1" t="n">
        <v>822</v>
      </c>
      <c r="C602" s="1" t="s">
        <v>747</v>
      </c>
      <c r="D602" s="1" t="s">
        <v>42</v>
      </c>
      <c r="E602" s="1" t="s">
        <v>748</v>
      </c>
      <c r="F602" s="1" t="n">
        <v>1</v>
      </c>
      <c r="G602" s="1" t="n">
        <v>1</v>
      </c>
      <c r="H602" s="1" t="n">
        <v>4</v>
      </c>
      <c r="I602" s="8" t="n">
        <v>31220</v>
      </c>
      <c r="J602" s="1" t="n">
        <v>1</v>
      </c>
      <c r="K602" s="1" t="s">
        <v>51</v>
      </c>
      <c r="L602" s="1" t="n">
        <v>1</v>
      </c>
      <c r="P602" s="1" t="n">
        <f aca="false">SUM(M602:O602)</f>
        <v>0</v>
      </c>
      <c r="W602" s="1" t="n">
        <f aca="false">SUM(Q602:V602)</f>
        <v>0</v>
      </c>
      <c r="AF602" s="9" t="n">
        <f aca="false">SUM(Z602:AE602)</f>
        <v>0</v>
      </c>
      <c r="AG602" s="10"/>
      <c r="AH602" s="11"/>
      <c r="AI602" s="11"/>
      <c r="AJ602" s="11"/>
      <c r="AK602" s="11"/>
      <c r="AL602" s="11"/>
      <c r="AM602" s="11"/>
      <c r="AN602" s="11" t="n">
        <f aca="false">SUM(AH602:AM602)</f>
        <v>0</v>
      </c>
      <c r="AO602" s="1"/>
      <c r="AP602" s="1"/>
      <c r="AQ602" s="1"/>
      <c r="AR602" s="1"/>
    </row>
    <row r="603" customFormat="false" ht="13.8" hidden="false" customHeight="false" outlineLevel="0" collapsed="false">
      <c r="A603" s="1" t="s">
        <v>777</v>
      </c>
      <c r="B603" s="1" t="n">
        <v>256</v>
      </c>
      <c r="C603" s="1" t="s">
        <v>747</v>
      </c>
      <c r="D603" s="1" t="s">
        <v>42</v>
      </c>
      <c r="E603" s="1" t="s">
        <v>748</v>
      </c>
      <c r="F603" s="1" t="n">
        <v>1</v>
      </c>
      <c r="G603" s="1" t="n">
        <v>1</v>
      </c>
      <c r="H603" s="1" t="n">
        <v>9</v>
      </c>
      <c r="I603" s="8" t="n">
        <v>786990</v>
      </c>
      <c r="J603" s="1" t="n">
        <v>2</v>
      </c>
      <c r="K603" s="1" t="s">
        <v>46</v>
      </c>
      <c r="L603" s="1" t="n">
        <v>4</v>
      </c>
      <c r="P603" s="1" t="n">
        <f aca="false">SUM(M603:O603)</f>
        <v>0</v>
      </c>
      <c r="W603" s="1" t="n">
        <f aca="false">SUM(Q603:V603)</f>
        <v>0</v>
      </c>
      <c r="AF603" s="9" t="n">
        <f aca="false">SUM(Z603:AE603)</f>
        <v>0</v>
      </c>
      <c r="AG603" s="10"/>
      <c r="AH603" s="11"/>
      <c r="AI603" s="11"/>
      <c r="AJ603" s="11"/>
      <c r="AK603" s="11"/>
      <c r="AL603" s="11"/>
      <c r="AM603" s="11"/>
      <c r="AN603" s="11" t="n">
        <f aca="false">SUM(AH603:AM603)</f>
        <v>0</v>
      </c>
      <c r="AO603" s="1"/>
      <c r="AP603" s="1"/>
      <c r="AQ603" s="1"/>
      <c r="AR603" s="1"/>
    </row>
    <row r="604" customFormat="false" ht="13.8" hidden="false" customHeight="false" outlineLevel="0" collapsed="false">
      <c r="A604" s="1" t="s">
        <v>778</v>
      </c>
      <c r="B604" s="1" t="n">
        <v>137</v>
      </c>
      <c r="C604" s="1" t="s">
        <v>747</v>
      </c>
      <c r="D604" s="1" t="s">
        <v>42</v>
      </c>
      <c r="E604" s="1" t="s">
        <v>748</v>
      </c>
      <c r="F604" s="1" t="n">
        <v>22</v>
      </c>
      <c r="G604" s="1" t="n">
        <v>1</v>
      </c>
      <c r="H604" s="1" t="n">
        <v>9</v>
      </c>
      <c r="I604" s="8" t="n">
        <v>1062903</v>
      </c>
      <c r="J604" s="1" t="n">
        <v>3</v>
      </c>
      <c r="K604" s="1" t="s">
        <v>96</v>
      </c>
      <c r="L604" s="1" t="n">
        <v>6</v>
      </c>
      <c r="N604" s="1" t="n">
        <v>1</v>
      </c>
      <c r="P604" s="1" t="n">
        <f aca="false">SUM(M604:O604)</f>
        <v>1</v>
      </c>
      <c r="W604" s="1" t="n">
        <f aca="false">SUM(Q604:V604)</f>
        <v>0</v>
      </c>
      <c r="X604" s="1" t="n">
        <v>3</v>
      </c>
      <c r="Y604" s="1" t="n">
        <v>11</v>
      </c>
      <c r="AF604" s="9" t="n">
        <f aca="false">SUM(Z604:AE604)</f>
        <v>0</v>
      </c>
      <c r="AG604" s="10"/>
      <c r="AH604" s="11"/>
      <c r="AI604" s="11"/>
      <c r="AJ604" s="11"/>
      <c r="AK604" s="11"/>
      <c r="AL604" s="11"/>
      <c r="AM604" s="11"/>
      <c r="AN604" s="11" t="n">
        <f aca="false">SUM(AH604:AM604)</f>
        <v>0</v>
      </c>
      <c r="AO604" s="1"/>
      <c r="AP604" s="1"/>
      <c r="AQ604" s="1"/>
      <c r="AR604" s="1"/>
    </row>
    <row r="605" customFormat="false" ht="13.8" hidden="false" customHeight="false" outlineLevel="0" collapsed="false">
      <c r="A605" s="1" t="s">
        <v>779</v>
      </c>
      <c r="B605" s="1" t="n">
        <v>232</v>
      </c>
      <c r="C605" s="1" t="s">
        <v>747</v>
      </c>
      <c r="D605" s="1" t="s">
        <v>42</v>
      </c>
      <c r="E605" s="1" t="s">
        <v>748</v>
      </c>
      <c r="F605" s="1" t="n">
        <v>3</v>
      </c>
      <c r="G605" s="1" t="n">
        <v>1</v>
      </c>
      <c r="H605" s="1" t="n">
        <v>16</v>
      </c>
      <c r="I605" s="8" t="n">
        <v>1359950</v>
      </c>
      <c r="J605" s="1" t="n">
        <v>2</v>
      </c>
      <c r="K605" s="1" t="s">
        <v>44</v>
      </c>
      <c r="L605" s="1" t="n">
        <v>2</v>
      </c>
      <c r="P605" s="1" t="n">
        <f aca="false">SUM(M605:O605)</f>
        <v>0</v>
      </c>
      <c r="Q605" s="1" t="n">
        <v>10</v>
      </c>
      <c r="W605" s="1" t="n">
        <f aca="false">SUM(Q605:V605)</f>
        <v>10</v>
      </c>
      <c r="Z605" s="9" t="n">
        <f aca="false">(Q605)*(1+(J605)*0.2)</f>
        <v>14</v>
      </c>
      <c r="AF605" s="9" t="n">
        <f aca="false">SUM(Z605:AE605)</f>
        <v>14</v>
      </c>
      <c r="AG605" s="10" t="s">
        <v>47</v>
      </c>
      <c r="AH605" s="11" t="n">
        <f aca="false">IF(AG605="yes",Z605*1.2,Z605)</f>
        <v>16.8</v>
      </c>
      <c r="AI605" s="11"/>
      <c r="AJ605" s="11"/>
      <c r="AK605" s="11"/>
      <c r="AL605" s="11"/>
      <c r="AM605" s="11"/>
      <c r="AN605" s="11" t="n">
        <f aca="false">SUM(AH605:AM605)</f>
        <v>16.8</v>
      </c>
      <c r="AO605" s="1"/>
      <c r="AP605" s="1"/>
      <c r="AQ605" s="1"/>
      <c r="AR605" s="1"/>
    </row>
    <row r="606" customFormat="false" ht="13.8" hidden="false" customHeight="false" outlineLevel="0" collapsed="false">
      <c r="A606" s="1" t="s">
        <v>780</v>
      </c>
      <c r="B606" s="1" t="n">
        <v>226</v>
      </c>
      <c r="C606" s="1" t="s">
        <v>747</v>
      </c>
      <c r="D606" s="1" t="s">
        <v>42</v>
      </c>
      <c r="E606" s="1" t="s">
        <v>748</v>
      </c>
      <c r="F606" s="1" t="n">
        <v>11</v>
      </c>
      <c r="G606" s="1" t="n">
        <v>1</v>
      </c>
      <c r="H606" s="1" t="n">
        <v>12</v>
      </c>
      <c r="I606" s="8" t="n">
        <v>2393966</v>
      </c>
      <c r="J606" s="1" t="n">
        <v>3</v>
      </c>
      <c r="K606" s="1" t="s">
        <v>46</v>
      </c>
      <c r="L606" s="1" t="n">
        <v>4</v>
      </c>
      <c r="O606" s="1" t="n">
        <v>2</v>
      </c>
      <c r="P606" s="1" t="n">
        <f aca="false">SUM(M606:O606)</f>
        <v>2</v>
      </c>
      <c r="Q606" s="1" t="n">
        <v>4</v>
      </c>
      <c r="W606" s="1" t="n">
        <f aca="false">SUM(Q606:V606)</f>
        <v>4</v>
      </c>
      <c r="X606" s="1" t="n">
        <v>2</v>
      </c>
      <c r="Z606" s="9" t="n">
        <f aca="false">(Q606)*(1+(J606)*0.2)</f>
        <v>6.4</v>
      </c>
      <c r="AF606" s="9" t="n">
        <f aca="false">SUM(Z606:AE606)</f>
        <v>6.4</v>
      </c>
      <c r="AG606" s="10" t="s">
        <v>47</v>
      </c>
      <c r="AH606" s="11" t="n">
        <f aca="false">IF(AG606="yes",Z606*1.2,Z606)</f>
        <v>7.68</v>
      </c>
      <c r="AI606" s="11"/>
      <c r="AJ606" s="11"/>
      <c r="AK606" s="11"/>
      <c r="AL606" s="11"/>
      <c r="AM606" s="11"/>
      <c r="AN606" s="11" t="n">
        <f aca="false">SUM(AH606:AM606)</f>
        <v>7.68</v>
      </c>
      <c r="AO606" s="1"/>
      <c r="AP606" s="1"/>
      <c r="AQ606" s="1"/>
      <c r="AR606" s="1"/>
    </row>
    <row r="607" customFormat="false" ht="13.8" hidden="false" customHeight="false" outlineLevel="0" collapsed="false">
      <c r="A607" s="1" t="s">
        <v>781</v>
      </c>
      <c r="B607" s="1" t="n">
        <v>516</v>
      </c>
      <c r="C607" s="1" t="s">
        <v>747</v>
      </c>
      <c r="D607" s="1" t="s">
        <v>42</v>
      </c>
      <c r="E607" s="1" t="s">
        <v>748</v>
      </c>
      <c r="F607" s="1" t="n">
        <v>1</v>
      </c>
      <c r="G607" s="1" t="n">
        <v>1</v>
      </c>
      <c r="H607" s="1" t="n">
        <v>12</v>
      </c>
      <c r="I607" s="8" t="n">
        <v>6011</v>
      </c>
      <c r="J607" s="1" t="n">
        <v>1</v>
      </c>
      <c r="K607" s="1" t="s">
        <v>51</v>
      </c>
      <c r="L607" s="1" t="n">
        <v>1</v>
      </c>
      <c r="P607" s="1" t="n">
        <f aca="false">SUM(M607:O607)</f>
        <v>0</v>
      </c>
      <c r="W607" s="1" t="n">
        <f aca="false">SUM(Q607:V607)</f>
        <v>0</v>
      </c>
      <c r="AE607" s="20"/>
      <c r="AF607" s="9" t="n">
        <f aca="false">SUM(Z607:AE607)</f>
        <v>0</v>
      </c>
      <c r="AG607" s="10"/>
      <c r="AH607" s="11"/>
      <c r="AI607" s="11"/>
      <c r="AJ607" s="11"/>
      <c r="AK607" s="11"/>
      <c r="AL607" s="11"/>
      <c r="AM607" s="11"/>
      <c r="AN607" s="11" t="n">
        <f aca="false">SUM(AH607:AM607)</f>
        <v>0</v>
      </c>
      <c r="AO607" s="1"/>
      <c r="AP607" s="1"/>
      <c r="AQ607" s="1"/>
      <c r="AR607" s="1"/>
    </row>
    <row r="608" customFormat="false" ht="13.8" hidden="false" customHeight="false" outlineLevel="0" collapsed="false">
      <c r="A608" s="1" t="s">
        <v>782</v>
      </c>
      <c r="B608" s="1" t="n">
        <v>829</v>
      </c>
      <c r="C608" s="1" t="s">
        <v>747</v>
      </c>
      <c r="D608" s="1" t="s">
        <v>42</v>
      </c>
      <c r="E608" s="1" t="s">
        <v>748</v>
      </c>
      <c r="F608" s="1" t="n">
        <v>3</v>
      </c>
      <c r="G608" s="1" t="n">
        <v>1</v>
      </c>
      <c r="H608" s="1" t="n">
        <v>12</v>
      </c>
      <c r="I608" s="8" t="n">
        <v>619285</v>
      </c>
      <c r="J608" s="1" t="n">
        <v>3</v>
      </c>
      <c r="K608" s="1" t="s">
        <v>44</v>
      </c>
      <c r="L608" s="1" t="n">
        <v>2</v>
      </c>
      <c r="P608" s="1" t="n">
        <f aca="false">SUM(M608:O608)</f>
        <v>0</v>
      </c>
      <c r="T608" s="1" t="n">
        <v>6</v>
      </c>
      <c r="U608" s="1" t="n">
        <v>14</v>
      </c>
      <c r="W608" s="1" t="n">
        <f aca="false">SUM(Q608:V608)</f>
        <v>20</v>
      </c>
      <c r="AC608" s="9" t="n">
        <f aca="false">(T608)*(1+(J608)*0.2)</f>
        <v>9.6</v>
      </c>
      <c r="AD608" s="9" t="n">
        <f aca="false">(U608)*(1+(J608)*0.2)</f>
        <v>22.4</v>
      </c>
      <c r="AF608" s="9" t="n">
        <f aca="false">SUM(Z608:AE608)</f>
        <v>32</v>
      </c>
      <c r="AG608" s="10" t="s">
        <v>53</v>
      </c>
      <c r="AH608" s="11"/>
      <c r="AI608" s="11"/>
      <c r="AJ608" s="11"/>
      <c r="AK608" s="11" t="n">
        <f aca="false">IF(AG608="yes",AC608*1.2,AC608)</f>
        <v>9.6</v>
      </c>
      <c r="AL608" s="11" t="n">
        <f aca="false">IF(AG608="yes",AD608*1.2,AD608)</f>
        <v>22.4</v>
      </c>
      <c r="AM608" s="11"/>
      <c r="AN608" s="11" t="n">
        <f aca="false">SUM(AH608:AM608)</f>
        <v>32</v>
      </c>
      <c r="AO608" s="1"/>
      <c r="AP608" s="1"/>
      <c r="AQ608" s="1"/>
      <c r="AR608" s="1"/>
    </row>
    <row r="609" customFormat="false" ht="13.8" hidden="false" customHeight="false" outlineLevel="0" collapsed="false">
      <c r="A609" s="1" t="s">
        <v>783</v>
      </c>
      <c r="B609" s="1" t="n">
        <v>231</v>
      </c>
      <c r="C609" s="1" t="s">
        <v>747</v>
      </c>
      <c r="D609" s="1" t="s">
        <v>42</v>
      </c>
      <c r="E609" s="1" t="s">
        <v>748</v>
      </c>
      <c r="F609" s="1" t="n">
        <v>8</v>
      </c>
      <c r="G609" s="1" t="n">
        <v>1</v>
      </c>
      <c r="H609" s="1" t="n">
        <v>15</v>
      </c>
      <c r="I609" s="8" t="n">
        <v>2460844</v>
      </c>
      <c r="J609" s="1" t="n">
        <v>2</v>
      </c>
      <c r="K609" s="1" t="s">
        <v>46</v>
      </c>
      <c r="L609" s="1" t="n">
        <v>4</v>
      </c>
      <c r="O609" s="1" t="n">
        <v>1</v>
      </c>
      <c r="P609" s="1" t="n">
        <f aca="false">SUM(M609:O609)</f>
        <v>1</v>
      </c>
      <c r="W609" s="1" t="n">
        <f aca="false">SUM(Q609:V609)</f>
        <v>0</v>
      </c>
      <c r="X609" s="1" t="n">
        <v>3</v>
      </c>
      <c r="Y609" s="1" t="n">
        <v>2</v>
      </c>
      <c r="AF609" s="9" t="n">
        <f aca="false">SUM(Z609:AE609)</f>
        <v>0</v>
      </c>
      <c r="AG609" s="10"/>
      <c r="AH609" s="11"/>
      <c r="AI609" s="11"/>
      <c r="AJ609" s="11"/>
      <c r="AK609" s="11"/>
      <c r="AL609" s="11"/>
      <c r="AM609" s="11"/>
      <c r="AN609" s="11" t="n">
        <f aca="false">SUM(AH609:AM609)</f>
        <v>0</v>
      </c>
      <c r="AO609" s="1"/>
      <c r="AP609" s="1"/>
      <c r="AQ609" s="1"/>
      <c r="AR609" s="1"/>
    </row>
    <row r="610" customFormat="false" ht="13.8" hidden="false" customHeight="false" outlineLevel="0" collapsed="false">
      <c r="A610" s="1" t="s">
        <v>784</v>
      </c>
      <c r="B610" s="1" t="n">
        <v>241</v>
      </c>
      <c r="C610" s="1" t="s">
        <v>747</v>
      </c>
      <c r="D610" s="1" t="s">
        <v>42</v>
      </c>
      <c r="E610" s="1" t="s">
        <v>748</v>
      </c>
      <c r="F610" s="1" t="n">
        <v>10</v>
      </c>
      <c r="G610" s="1" t="n">
        <v>1</v>
      </c>
      <c r="H610" s="1" t="n">
        <v>13</v>
      </c>
      <c r="I610" s="8" t="n">
        <v>944574</v>
      </c>
      <c r="J610" s="1" t="n">
        <v>3</v>
      </c>
      <c r="K610" s="1" t="s">
        <v>44</v>
      </c>
      <c r="L610" s="1" t="n">
        <v>2</v>
      </c>
      <c r="P610" s="1" t="n">
        <f aca="false">SUM(M610:O610)</f>
        <v>0</v>
      </c>
      <c r="W610" s="1" t="n">
        <f aca="false">SUM(Q610:V610)</f>
        <v>0</v>
      </c>
      <c r="X610" s="1" t="n">
        <v>3</v>
      </c>
      <c r="AF610" s="9" t="n">
        <f aca="false">SUM(Z610:AE610)</f>
        <v>0</v>
      </c>
      <c r="AG610" s="10"/>
      <c r="AH610" s="11"/>
      <c r="AI610" s="11"/>
      <c r="AJ610" s="11"/>
      <c r="AK610" s="11"/>
      <c r="AL610" s="11"/>
      <c r="AM610" s="11"/>
      <c r="AN610" s="11" t="n">
        <f aca="false">SUM(AH610:AM610)</f>
        <v>0</v>
      </c>
      <c r="AO610" s="1"/>
      <c r="AP610" s="1"/>
      <c r="AQ610" s="1"/>
      <c r="AR610" s="1"/>
    </row>
    <row r="611" customFormat="false" ht="13.8" hidden="false" customHeight="false" outlineLevel="0" collapsed="false">
      <c r="A611" s="1" t="s">
        <v>785</v>
      </c>
      <c r="B611" s="1" t="n">
        <v>252</v>
      </c>
      <c r="C611" s="1" t="s">
        <v>747</v>
      </c>
      <c r="D611" s="1" t="s">
        <v>42</v>
      </c>
      <c r="E611" s="1" t="s">
        <v>748</v>
      </c>
      <c r="F611" s="1" t="n">
        <v>10</v>
      </c>
      <c r="G611" s="1" t="n">
        <v>1</v>
      </c>
      <c r="H611" s="1" t="n">
        <v>37</v>
      </c>
      <c r="I611" s="8" t="n">
        <v>3382300</v>
      </c>
      <c r="J611" s="1" t="n">
        <v>3</v>
      </c>
      <c r="K611" s="1" t="s">
        <v>96</v>
      </c>
      <c r="L611" s="1" t="n">
        <v>6</v>
      </c>
      <c r="M611" s="1" t="n">
        <v>2</v>
      </c>
      <c r="P611" s="1" t="n">
        <f aca="false">SUM(M611:O611)</f>
        <v>2</v>
      </c>
      <c r="W611" s="1" t="n">
        <f aca="false">SUM(Q611:V611)</f>
        <v>0</v>
      </c>
      <c r="X611" s="1" t="n">
        <v>1</v>
      </c>
      <c r="Z611" s="12"/>
      <c r="AF611" s="9" t="n">
        <f aca="false">SUM(Z611:AE611)</f>
        <v>0</v>
      </c>
      <c r="AG611" s="10"/>
      <c r="AH611" s="11"/>
      <c r="AI611" s="11"/>
      <c r="AJ611" s="11"/>
      <c r="AK611" s="11"/>
      <c r="AL611" s="11"/>
      <c r="AM611" s="11"/>
      <c r="AN611" s="11" t="n">
        <f aca="false">SUM(AH611:AM611)</f>
        <v>0</v>
      </c>
      <c r="AO611" s="1"/>
      <c r="AP611" s="1"/>
      <c r="AQ611" s="1"/>
      <c r="AR611" s="1"/>
    </row>
    <row r="612" customFormat="false" ht="13.8" hidden="false" customHeight="false" outlineLevel="0" collapsed="false">
      <c r="A612" s="1" t="s">
        <v>786</v>
      </c>
      <c r="B612" s="1" t="n">
        <v>406</v>
      </c>
      <c r="C612" s="1" t="s">
        <v>747</v>
      </c>
      <c r="D612" s="1" t="s">
        <v>42</v>
      </c>
      <c r="E612" s="1" t="s">
        <v>748</v>
      </c>
      <c r="F612" s="1" t="n">
        <v>1</v>
      </c>
      <c r="G612" s="1" t="n">
        <v>1</v>
      </c>
      <c r="H612" s="1" t="n">
        <v>19</v>
      </c>
      <c r="I612" s="8" t="n">
        <v>146673</v>
      </c>
      <c r="J612" s="1" t="n">
        <v>1</v>
      </c>
      <c r="K612" s="1" t="s">
        <v>76</v>
      </c>
      <c r="L612" s="1" t="n">
        <v>0</v>
      </c>
      <c r="P612" s="1" t="n">
        <f aca="false">SUM(M612:O612)</f>
        <v>0</v>
      </c>
      <c r="W612" s="1" t="n">
        <f aca="false">SUM(Q612:V612)</f>
        <v>0</v>
      </c>
      <c r="AF612" s="9" t="n">
        <f aca="false">SUM(Z612:AE612)</f>
        <v>0</v>
      </c>
      <c r="AG612" s="10"/>
      <c r="AH612" s="11"/>
      <c r="AI612" s="11"/>
      <c r="AJ612" s="11"/>
      <c r="AK612" s="11"/>
      <c r="AL612" s="11"/>
      <c r="AM612" s="11"/>
      <c r="AN612" s="11" t="n">
        <f aca="false">SUM(AH612:AM612)</f>
        <v>0</v>
      </c>
      <c r="AO612" s="1"/>
      <c r="AP612" s="1"/>
      <c r="AQ612" s="1"/>
      <c r="AR612" s="1"/>
    </row>
    <row r="613" customFormat="false" ht="13.8" hidden="false" customHeight="false" outlineLevel="0" collapsed="false">
      <c r="A613" s="1" t="s">
        <v>787</v>
      </c>
      <c r="B613" s="1" t="n">
        <v>566</v>
      </c>
      <c r="C613" s="1" t="s">
        <v>747</v>
      </c>
      <c r="D613" s="1" t="s">
        <v>42</v>
      </c>
      <c r="E613" s="1" t="s">
        <v>748</v>
      </c>
      <c r="F613" s="1" t="n">
        <v>3</v>
      </c>
      <c r="G613" s="1" t="n">
        <v>1</v>
      </c>
      <c r="H613" s="1" t="n">
        <v>11</v>
      </c>
      <c r="I613" s="8" t="n">
        <v>756159</v>
      </c>
      <c r="J613" s="1" t="n">
        <v>2</v>
      </c>
      <c r="K613" s="1" t="s">
        <v>44</v>
      </c>
      <c r="L613" s="1" t="n">
        <v>2</v>
      </c>
      <c r="M613" s="1" t="n">
        <v>1</v>
      </c>
      <c r="P613" s="1" t="n">
        <f aca="false">SUM(M613:O613)</f>
        <v>1</v>
      </c>
      <c r="R613" s="1" t="n">
        <v>7</v>
      </c>
      <c r="U613" s="1" t="n">
        <v>20</v>
      </c>
      <c r="W613" s="1" t="n">
        <f aca="false">SUM(Q613:V613)</f>
        <v>27</v>
      </c>
      <c r="X613" s="1" t="n">
        <v>1</v>
      </c>
      <c r="AA613" s="9" t="n">
        <f aca="false">(R613)*(1+(J613)*0.2)</f>
        <v>9.8</v>
      </c>
      <c r="AD613" s="9" t="n">
        <f aca="false">(U613)*(1+(J613)*0.2)</f>
        <v>28</v>
      </c>
      <c r="AF613" s="9" t="n">
        <f aca="false">SUM(Z613:AE613)</f>
        <v>37.8</v>
      </c>
      <c r="AG613" s="10" t="s">
        <v>47</v>
      </c>
      <c r="AH613" s="11"/>
      <c r="AI613" s="11" t="n">
        <f aca="false">IF(AG613="yes",AA613*1.2,AA613)</f>
        <v>11.76</v>
      </c>
      <c r="AJ613" s="11"/>
      <c r="AK613" s="11"/>
      <c r="AL613" s="11" t="n">
        <f aca="false">IF(AG613="yes",AD613*1.2,AD613)</f>
        <v>33.6</v>
      </c>
      <c r="AM613" s="11"/>
      <c r="AN613" s="11" t="n">
        <f aca="false">SUM(AH613:AM613)</f>
        <v>45.36</v>
      </c>
      <c r="AO613" s="1"/>
      <c r="AP613" s="1"/>
      <c r="AQ613" s="1"/>
      <c r="AR613" s="1"/>
    </row>
    <row r="614" customFormat="false" ht="13.8" hidden="false" customHeight="false" outlineLevel="0" collapsed="false">
      <c r="A614" s="1" t="s">
        <v>788</v>
      </c>
      <c r="B614" s="1" t="n">
        <v>253</v>
      </c>
      <c r="C614" s="1" t="s">
        <v>747</v>
      </c>
      <c r="D614" s="1" t="s">
        <v>42</v>
      </c>
      <c r="E614" s="1" t="s">
        <v>748</v>
      </c>
      <c r="F614" s="1" t="n">
        <v>3</v>
      </c>
      <c r="G614" s="1" t="n">
        <v>1</v>
      </c>
      <c r="H614" s="1" t="n">
        <v>31</v>
      </c>
      <c r="I614" s="8" t="n">
        <v>2589144</v>
      </c>
      <c r="J614" s="1" t="n">
        <v>3</v>
      </c>
      <c r="K614" s="1" t="s">
        <v>46</v>
      </c>
      <c r="L614" s="1" t="n">
        <v>4</v>
      </c>
      <c r="P614" s="1" t="n">
        <f aca="false">SUM(M614:O614)</f>
        <v>0</v>
      </c>
      <c r="W614" s="1" t="n">
        <f aca="false">SUM(Q614:V614)</f>
        <v>0</v>
      </c>
      <c r="AF614" s="9" t="n">
        <f aca="false">SUM(Z614:AE614)</f>
        <v>0</v>
      </c>
      <c r="AG614" s="10"/>
      <c r="AH614" s="11"/>
      <c r="AI614" s="11"/>
      <c r="AJ614" s="11"/>
      <c r="AK614" s="11"/>
      <c r="AL614" s="11"/>
      <c r="AM614" s="11"/>
      <c r="AN614" s="11" t="n">
        <f aca="false">SUM(AH614:AM614)</f>
        <v>0</v>
      </c>
      <c r="AO614" s="1"/>
      <c r="AP614" s="1"/>
      <c r="AQ614" s="1"/>
      <c r="AR614" s="1"/>
    </row>
    <row r="615" customFormat="false" ht="13.8" hidden="false" customHeight="false" outlineLevel="0" collapsed="false">
      <c r="A615" s="1" t="s">
        <v>789</v>
      </c>
      <c r="B615" s="1" t="n">
        <v>827</v>
      </c>
      <c r="C615" s="1" t="s">
        <v>747</v>
      </c>
      <c r="D615" s="1" t="s">
        <v>42</v>
      </c>
      <c r="E615" s="1" t="s">
        <v>748</v>
      </c>
      <c r="F615" s="1" t="n">
        <v>1</v>
      </c>
      <c r="G615" s="1" t="n">
        <v>1</v>
      </c>
      <c r="H615" s="1" t="n">
        <v>4</v>
      </c>
      <c r="I615" s="8" t="n">
        <v>388464</v>
      </c>
      <c r="J615" s="1" t="n">
        <v>2</v>
      </c>
      <c r="K615" s="1" t="s">
        <v>51</v>
      </c>
      <c r="L615" s="1" t="n">
        <v>1</v>
      </c>
      <c r="P615" s="1" t="n">
        <f aca="false">SUM(M615:O615)</f>
        <v>0</v>
      </c>
      <c r="V615" s="1" t="n">
        <v>17</v>
      </c>
      <c r="W615" s="1" t="n">
        <f aca="false">SUM(Q615:V615)</f>
        <v>17</v>
      </c>
      <c r="AA615" s="9"/>
      <c r="AE615" s="9" t="n">
        <f aca="false">(V615)*(1+(J615)*0.2)</f>
        <v>23.8</v>
      </c>
      <c r="AF615" s="9" t="n">
        <f aca="false">SUM(Z615:AE615)</f>
        <v>23.8</v>
      </c>
      <c r="AG615" s="10" t="s">
        <v>53</v>
      </c>
      <c r="AH615" s="11"/>
      <c r="AI615" s="11"/>
      <c r="AJ615" s="11"/>
      <c r="AK615" s="11"/>
      <c r="AL615" s="11"/>
      <c r="AM615" s="11" t="n">
        <f aca="false">IF(AG615="yes",AE615*1.2,AE615)</f>
        <v>23.8</v>
      </c>
      <c r="AN615" s="11" t="n">
        <f aca="false">SUM(AH615:AM615)</f>
        <v>23.8</v>
      </c>
      <c r="AO615" s="1"/>
      <c r="AP615" s="1"/>
      <c r="AQ615" s="1"/>
      <c r="AR615" s="1"/>
    </row>
    <row r="616" customFormat="false" ht="13.8" hidden="false" customHeight="false" outlineLevel="0" collapsed="false">
      <c r="A616" s="1" t="s">
        <v>790</v>
      </c>
      <c r="B616" s="1" t="n">
        <v>247</v>
      </c>
      <c r="C616" s="1" t="s">
        <v>747</v>
      </c>
      <c r="D616" s="1" t="s">
        <v>42</v>
      </c>
      <c r="E616" s="1" t="s">
        <v>748</v>
      </c>
      <c r="F616" s="1" t="n">
        <v>10</v>
      </c>
      <c r="G616" s="1" t="n">
        <v>1</v>
      </c>
      <c r="H616" s="1" t="n">
        <v>17</v>
      </c>
      <c r="I616" s="8" t="n">
        <v>1332836</v>
      </c>
      <c r="J616" s="1" t="n">
        <v>3</v>
      </c>
      <c r="K616" s="1" t="s">
        <v>46</v>
      </c>
      <c r="L616" s="1" t="n">
        <v>4</v>
      </c>
      <c r="P616" s="1" t="n">
        <f aca="false">SUM(M616:O616)</f>
        <v>0</v>
      </c>
      <c r="W616" s="1" t="n">
        <f aca="false">SUM(Q616:V616)</f>
        <v>0</v>
      </c>
      <c r="X616" s="1" t="n">
        <v>2</v>
      </c>
      <c r="Z616" s="12"/>
      <c r="AD616" s="9"/>
      <c r="AF616" s="9" t="n">
        <f aca="false">SUM(Z616:AE616)</f>
        <v>0</v>
      </c>
      <c r="AG616" s="10"/>
      <c r="AH616" s="11"/>
      <c r="AI616" s="11"/>
      <c r="AJ616" s="11"/>
      <c r="AK616" s="11"/>
      <c r="AL616" s="11"/>
      <c r="AM616" s="11"/>
      <c r="AN616" s="11" t="n">
        <f aca="false">SUM(AH616:AM616)</f>
        <v>0</v>
      </c>
      <c r="AO616" s="1"/>
      <c r="AP616" s="1"/>
      <c r="AQ616" s="1"/>
      <c r="AR616" s="1"/>
    </row>
    <row r="617" customFormat="false" ht="13.8" hidden="false" customHeight="false" outlineLevel="0" collapsed="false">
      <c r="A617" s="1" t="s">
        <v>791</v>
      </c>
      <c r="B617" s="1" t="n">
        <v>237</v>
      </c>
      <c r="C617" s="1" t="s">
        <v>747</v>
      </c>
      <c r="D617" s="1" t="s">
        <v>42</v>
      </c>
      <c r="E617" s="1" t="s">
        <v>748</v>
      </c>
      <c r="F617" s="1" t="n">
        <v>1</v>
      </c>
      <c r="G617" s="1" t="n">
        <v>1</v>
      </c>
      <c r="H617" s="1" t="n">
        <v>28</v>
      </c>
      <c r="I617" s="8" t="n">
        <v>169827</v>
      </c>
      <c r="J617" s="1" t="n">
        <v>1</v>
      </c>
      <c r="K617" s="1" t="s">
        <v>44</v>
      </c>
      <c r="L617" s="1" t="n">
        <v>2</v>
      </c>
      <c r="P617" s="1" t="n">
        <f aca="false">SUM(M617:O617)</f>
        <v>0</v>
      </c>
      <c r="W617" s="1" t="n">
        <f aca="false">SUM(Q617:V617)</f>
        <v>0</v>
      </c>
      <c r="AF617" s="9" t="n">
        <f aca="false">SUM(Z617:AE617)</f>
        <v>0</v>
      </c>
      <c r="AG617" s="10"/>
      <c r="AH617" s="11"/>
      <c r="AI617" s="11"/>
      <c r="AJ617" s="11"/>
      <c r="AK617" s="11"/>
      <c r="AL617" s="11"/>
      <c r="AM617" s="11"/>
      <c r="AN617" s="11" t="n">
        <f aca="false">SUM(AH617:AM617)</f>
        <v>0</v>
      </c>
      <c r="AO617" s="1"/>
      <c r="AP617" s="1"/>
      <c r="AQ617" s="1"/>
      <c r="AR617" s="1"/>
    </row>
    <row r="618" customFormat="false" ht="13.8" hidden="false" customHeight="false" outlineLevel="0" collapsed="false">
      <c r="A618" s="1" t="s">
        <v>792</v>
      </c>
      <c r="B618" s="1" t="n">
        <v>205</v>
      </c>
      <c r="C618" s="1" t="s">
        <v>747</v>
      </c>
      <c r="D618" s="1" t="s">
        <v>42</v>
      </c>
      <c r="E618" s="1" t="s">
        <v>748</v>
      </c>
      <c r="F618" s="1" t="n">
        <v>1</v>
      </c>
      <c r="G618" s="1" t="n">
        <v>1</v>
      </c>
      <c r="H618" s="1" t="n">
        <v>16</v>
      </c>
      <c r="I618" s="8" t="n">
        <v>1122372</v>
      </c>
      <c r="J618" s="1" t="n">
        <v>3</v>
      </c>
      <c r="K618" s="1" t="s">
        <v>46</v>
      </c>
      <c r="L618" s="1" t="n">
        <v>4</v>
      </c>
      <c r="P618" s="1" t="n">
        <f aca="false">SUM(M618:O618)</f>
        <v>0</v>
      </c>
      <c r="W618" s="1" t="n">
        <f aca="false">SUM(Q618:V618)</f>
        <v>0</v>
      </c>
      <c r="AF618" s="9" t="n">
        <f aca="false">SUM(Z618:AE618)</f>
        <v>0</v>
      </c>
      <c r="AG618" s="10"/>
      <c r="AH618" s="11"/>
      <c r="AI618" s="11"/>
      <c r="AJ618" s="11"/>
      <c r="AK618" s="11"/>
      <c r="AL618" s="11"/>
      <c r="AM618" s="11"/>
      <c r="AN618" s="11" t="n">
        <f aca="false">SUM(AH618:AM618)</f>
        <v>0</v>
      </c>
      <c r="AO618" s="1"/>
      <c r="AP618" s="1"/>
      <c r="AQ618" s="1"/>
      <c r="AR618" s="1"/>
    </row>
    <row r="619" customFormat="false" ht="13.8" hidden="false" customHeight="false" outlineLevel="0" collapsed="false">
      <c r="A619" s="1" t="s">
        <v>793</v>
      </c>
      <c r="B619" s="1" t="n">
        <v>637</v>
      </c>
      <c r="C619" s="1" t="s">
        <v>747</v>
      </c>
      <c r="D619" s="1" t="s">
        <v>42</v>
      </c>
      <c r="E619" s="1" t="s">
        <v>748</v>
      </c>
      <c r="G619" s="1" t="n">
        <v>1</v>
      </c>
      <c r="H619" s="1" t="n">
        <v>7</v>
      </c>
      <c r="I619" s="8" t="n">
        <v>48891</v>
      </c>
      <c r="J619" s="1" t="n">
        <v>1</v>
      </c>
      <c r="K619" s="1" t="s">
        <v>51</v>
      </c>
      <c r="L619" s="1" t="n">
        <v>1</v>
      </c>
      <c r="P619" s="1" t="n">
        <f aca="false">SUM(M619:O619)</f>
        <v>0</v>
      </c>
      <c r="W619" s="1" t="n">
        <f aca="false">SUM(Q619:V619)</f>
        <v>0</v>
      </c>
      <c r="Y619" s="1" t="n">
        <v>1</v>
      </c>
      <c r="AF619" s="9" t="n">
        <f aca="false">SUM(Z619:AE619)</f>
        <v>0</v>
      </c>
      <c r="AG619" s="10"/>
      <c r="AH619" s="11"/>
      <c r="AI619" s="11"/>
      <c r="AJ619" s="11"/>
      <c r="AK619" s="11"/>
      <c r="AL619" s="11"/>
      <c r="AM619" s="11"/>
      <c r="AN619" s="11" t="n">
        <f aca="false">SUM(AH619:AM619)</f>
        <v>0</v>
      </c>
      <c r="AO619" s="1"/>
      <c r="AP619" s="1"/>
      <c r="AQ619" s="1"/>
      <c r="AR619" s="1"/>
    </row>
    <row r="620" customFormat="false" ht="13.8" hidden="false" customHeight="false" outlineLevel="0" collapsed="false">
      <c r="A620" s="1" t="s">
        <v>794</v>
      </c>
      <c r="B620" s="1" t="n">
        <v>881</v>
      </c>
      <c r="C620" s="1" t="s">
        <v>747</v>
      </c>
      <c r="D620" s="1" t="s">
        <v>42</v>
      </c>
      <c r="E620" s="1" t="s">
        <v>748</v>
      </c>
      <c r="G620" s="1" t="n">
        <v>1</v>
      </c>
      <c r="H620" s="1" t="n">
        <v>22</v>
      </c>
      <c r="I620" s="8" t="n">
        <v>227293</v>
      </c>
      <c r="J620" s="1" t="n">
        <v>1</v>
      </c>
      <c r="K620" s="1" t="s">
        <v>51</v>
      </c>
      <c r="L620" s="1" t="n">
        <v>1</v>
      </c>
      <c r="P620" s="1" t="n">
        <f aca="false">SUM(M620:O620)</f>
        <v>0</v>
      </c>
      <c r="W620" s="1" t="n">
        <f aca="false">SUM(Q620:V620)</f>
        <v>0</v>
      </c>
      <c r="AA620" s="9"/>
      <c r="AC620" s="9"/>
      <c r="AD620" s="9"/>
      <c r="AE620" s="20"/>
      <c r="AF620" s="9" t="n">
        <f aca="false">SUM(Z620:AE620)</f>
        <v>0</v>
      </c>
      <c r="AG620" s="10"/>
      <c r="AH620" s="11"/>
      <c r="AI620" s="11"/>
      <c r="AJ620" s="11"/>
      <c r="AK620" s="11"/>
      <c r="AL620" s="11"/>
      <c r="AM620" s="11"/>
      <c r="AN620" s="11" t="n">
        <f aca="false">SUM(AH620:AM620)</f>
        <v>0</v>
      </c>
      <c r="AO620" s="1"/>
      <c r="AP620" s="1"/>
      <c r="AQ620" s="1"/>
      <c r="AR620" s="1"/>
    </row>
    <row r="621" customFormat="false" ht="13.8" hidden="false" customHeight="false" outlineLevel="0" collapsed="false">
      <c r="A621" s="1" t="s">
        <v>795</v>
      </c>
      <c r="B621" s="1" t="n">
        <v>823</v>
      </c>
      <c r="C621" s="1" t="s">
        <v>747</v>
      </c>
      <c r="D621" s="1" t="s">
        <v>42</v>
      </c>
      <c r="E621" s="1" t="s">
        <v>748</v>
      </c>
      <c r="F621" s="1" t="n">
        <v>1</v>
      </c>
      <c r="G621" s="1" t="n">
        <v>1</v>
      </c>
      <c r="H621" s="1" t="n">
        <v>12</v>
      </c>
      <c r="I621" s="8" t="n">
        <v>258745</v>
      </c>
      <c r="J621" s="1" t="n">
        <v>2</v>
      </c>
      <c r="K621" s="1" t="s">
        <v>44</v>
      </c>
      <c r="L621" s="1" t="n">
        <v>2</v>
      </c>
      <c r="P621" s="1" t="n">
        <f aca="false">SUM(M621:O621)</f>
        <v>0</v>
      </c>
      <c r="W621" s="1" t="n">
        <f aca="false">SUM(Q621:V621)</f>
        <v>0</v>
      </c>
      <c r="AF621" s="9" t="n">
        <f aca="false">SUM(Z621:AE621)</f>
        <v>0</v>
      </c>
      <c r="AG621" s="10"/>
      <c r="AH621" s="11"/>
      <c r="AI621" s="11"/>
      <c r="AJ621" s="11"/>
      <c r="AK621" s="11"/>
      <c r="AL621" s="11"/>
      <c r="AM621" s="11"/>
      <c r="AN621" s="11" t="n">
        <f aca="false">SUM(AH621:AM621)</f>
        <v>0</v>
      </c>
      <c r="AO621" s="1"/>
      <c r="AP621" s="1"/>
      <c r="AQ621" s="1"/>
      <c r="AR621" s="1"/>
    </row>
    <row r="622" customFormat="false" ht="13.8" hidden="false" customHeight="false" outlineLevel="0" collapsed="false">
      <c r="A622" s="1" t="s">
        <v>796</v>
      </c>
      <c r="B622" s="1" t="n">
        <v>879</v>
      </c>
      <c r="C622" s="1" t="s">
        <v>747</v>
      </c>
      <c r="D622" s="1" t="s">
        <v>42</v>
      </c>
      <c r="E622" s="1" t="s">
        <v>748</v>
      </c>
      <c r="F622" s="1" t="n">
        <v>1</v>
      </c>
      <c r="G622" s="1" t="n">
        <v>1</v>
      </c>
      <c r="H622" s="1" t="n">
        <v>17</v>
      </c>
      <c r="I622" s="8" t="n">
        <v>210434</v>
      </c>
      <c r="J622" s="1" t="n">
        <v>1</v>
      </c>
      <c r="K622" s="1" t="s">
        <v>44</v>
      </c>
      <c r="L622" s="1" t="n">
        <v>2</v>
      </c>
      <c r="P622" s="1" t="n">
        <f aca="false">SUM(M622:O622)</f>
        <v>0</v>
      </c>
      <c r="W622" s="1" t="n">
        <f aca="false">SUM(Q622:V622)</f>
        <v>0</v>
      </c>
      <c r="AE622" s="20"/>
      <c r="AF622" s="9" t="n">
        <f aca="false">SUM(Z622:AE622)</f>
        <v>0</v>
      </c>
      <c r="AG622" s="10"/>
      <c r="AH622" s="11"/>
      <c r="AI622" s="11"/>
      <c r="AJ622" s="11"/>
      <c r="AK622" s="11"/>
      <c r="AL622" s="11"/>
      <c r="AM622" s="11"/>
      <c r="AN622" s="11" t="n">
        <f aca="false">SUM(AH622:AM622)</f>
        <v>0</v>
      </c>
      <c r="AO622" s="1"/>
      <c r="AP622" s="1"/>
      <c r="AQ622" s="1"/>
      <c r="AR622" s="1"/>
    </row>
    <row r="623" customFormat="false" ht="13.8" hidden="false" customHeight="false" outlineLevel="0" collapsed="false">
      <c r="A623" s="1" t="s">
        <v>797</v>
      </c>
      <c r="B623" s="1" t="n">
        <v>249</v>
      </c>
      <c r="C623" s="1" t="s">
        <v>747</v>
      </c>
      <c r="D623" s="1" t="s">
        <v>42</v>
      </c>
      <c r="E623" s="1" t="s">
        <v>748</v>
      </c>
      <c r="F623" s="1" t="n">
        <v>10</v>
      </c>
      <c r="G623" s="1" t="n">
        <v>1</v>
      </c>
      <c r="H623" s="1" t="n">
        <v>28</v>
      </c>
      <c r="I623" s="8" t="n">
        <v>2764662</v>
      </c>
      <c r="J623" s="1" t="n">
        <v>3</v>
      </c>
      <c r="K623" s="1" t="s">
        <v>46</v>
      </c>
      <c r="L623" s="1" t="n">
        <v>4</v>
      </c>
      <c r="M623" s="1" t="n">
        <v>1</v>
      </c>
      <c r="P623" s="1" t="n">
        <f aca="false">SUM(M623:O623)</f>
        <v>1</v>
      </c>
      <c r="U623" s="1" t="n">
        <v>25</v>
      </c>
      <c r="W623" s="1" t="n">
        <f aca="false">SUM(Q623:V623)</f>
        <v>25</v>
      </c>
      <c r="AD623" s="9" t="n">
        <f aca="false">(U623)*(1+(J623)*0.2)</f>
        <v>40</v>
      </c>
      <c r="AF623" s="9" t="n">
        <f aca="false">SUM(Z623:AE623)</f>
        <v>40</v>
      </c>
      <c r="AG623" s="10" t="s">
        <v>47</v>
      </c>
      <c r="AH623" s="11"/>
      <c r="AI623" s="11"/>
      <c r="AJ623" s="11"/>
      <c r="AK623" s="11"/>
      <c r="AL623" s="11" t="n">
        <f aca="false">IF(AG623="yes",AD623*1.2,AD623)</f>
        <v>48</v>
      </c>
      <c r="AM623" s="11"/>
      <c r="AN623" s="11" t="n">
        <f aca="false">SUM(AH623:AM623)</f>
        <v>48</v>
      </c>
      <c r="AO623" s="1"/>
      <c r="AP623" s="1"/>
      <c r="AQ623" s="1"/>
      <c r="AR623" s="1"/>
    </row>
    <row r="624" customFormat="false" ht="13.8" hidden="false" customHeight="false" outlineLevel="0" collapsed="false">
      <c r="A624" s="1" t="s">
        <v>798</v>
      </c>
      <c r="B624" s="1" t="n">
        <v>409</v>
      </c>
      <c r="C624" s="1" t="s">
        <v>747</v>
      </c>
      <c r="D624" s="1" t="s">
        <v>42</v>
      </c>
      <c r="E624" s="1" t="s">
        <v>748</v>
      </c>
      <c r="F624" s="1" t="n">
        <v>1</v>
      </c>
      <c r="G624" s="1" t="n">
        <v>1</v>
      </c>
      <c r="H624" s="1" t="n">
        <v>26</v>
      </c>
      <c r="I624" s="8" t="n">
        <v>295966</v>
      </c>
      <c r="J624" s="1" t="n">
        <v>2</v>
      </c>
      <c r="K624" s="1" t="s">
        <v>44</v>
      </c>
      <c r="L624" s="1" t="n">
        <v>2</v>
      </c>
      <c r="O624" s="1" t="n">
        <v>1</v>
      </c>
      <c r="P624" s="1" t="n">
        <f aca="false">SUM(M624:O624)</f>
        <v>1</v>
      </c>
      <c r="V624" s="1" t="n">
        <v>9</v>
      </c>
      <c r="W624" s="1" t="n">
        <f aca="false">SUM(Q624:V624)</f>
        <v>9</v>
      </c>
      <c r="X624" s="1" t="n">
        <v>4</v>
      </c>
      <c r="Y624" s="1" t="n">
        <v>1</v>
      </c>
      <c r="AE624" s="9" t="n">
        <f aca="false">(V624)*(1+(J624)*0.2)</f>
        <v>12.6</v>
      </c>
      <c r="AF624" s="9" t="n">
        <f aca="false">SUM(Z624:AE624)</f>
        <v>12.6</v>
      </c>
      <c r="AG624" s="10" t="s">
        <v>47</v>
      </c>
      <c r="AH624" s="11"/>
      <c r="AI624" s="11"/>
      <c r="AJ624" s="11"/>
      <c r="AK624" s="11"/>
      <c r="AL624" s="11"/>
      <c r="AM624" s="11" t="n">
        <f aca="false">IF(AG624="yes",AE624*1.2,AE624)</f>
        <v>15.12</v>
      </c>
      <c r="AN624" s="11" t="n">
        <f aca="false">SUM(AH624:AM624)</f>
        <v>15.12</v>
      </c>
      <c r="AO624" s="1"/>
      <c r="AP624" s="1"/>
      <c r="AQ624" s="1"/>
      <c r="AR624" s="1"/>
    </row>
    <row r="625" customFormat="false" ht="13.8" hidden="false" customHeight="false" outlineLevel="0" collapsed="false">
      <c r="A625" s="1" t="s">
        <v>799</v>
      </c>
      <c r="B625" s="1" t="n">
        <v>569</v>
      </c>
      <c r="C625" s="1" t="s">
        <v>747</v>
      </c>
      <c r="D625" s="1" t="s">
        <v>42</v>
      </c>
      <c r="E625" s="1" t="s">
        <v>748</v>
      </c>
      <c r="F625" s="1" t="n">
        <v>4</v>
      </c>
      <c r="G625" s="1" t="n">
        <v>1</v>
      </c>
      <c r="H625" s="1" t="n">
        <v>13</v>
      </c>
      <c r="I625" s="8" t="n">
        <v>1569235</v>
      </c>
      <c r="J625" s="1" t="n">
        <v>2</v>
      </c>
      <c r="K625" s="1" t="s">
        <v>46</v>
      </c>
      <c r="L625" s="1" t="n">
        <v>4</v>
      </c>
      <c r="O625" s="1" t="n">
        <v>1</v>
      </c>
      <c r="P625" s="1" t="n">
        <f aca="false">SUM(M625:O625)</f>
        <v>1</v>
      </c>
      <c r="W625" s="1" t="n">
        <f aca="false">SUM(Q625:V625)</f>
        <v>0</v>
      </c>
      <c r="AF625" s="9" t="n">
        <f aca="false">SUM(Z625:AE625)</f>
        <v>0</v>
      </c>
      <c r="AG625" s="10"/>
      <c r="AH625" s="11"/>
      <c r="AI625" s="11"/>
      <c r="AJ625" s="11"/>
      <c r="AK625" s="11"/>
      <c r="AL625" s="11"/>
      <c r="AM625" s="11"/>
      <c r="AN625" s="11" t="n">
        <f aca="false">SUM(AH625:AM625)</f>
        <v>0</v>
      </c>
      <c r="AO625" s="1"/>
      <c r="AP625" s="1"/>
      <c r="AQ625" s="1"/>
      <c r="AR625" s="1"/>
    </row>
    <row r="626" customFormat="false" ht="13.8" hidden="false" customHeight="false" outlineLevel="0" collapsed="false">
      <c r="A626" s="1" t="s">
        <v>800</v>
      </c>
      <c r="B626" s="1" t="n">
        <v>221</v>
      </c>
      <c r="C626" s="1" t="s">
        <v>747</v>
      </c>
      <c r="D626" s="1" t="s">
        <v>42</v>
      </c>
      <c r="E626" s="1" t="s">
        <v>748</v>
      </c>
      <c r="F626" s="1" t="n">
        <v>10</v>
      </c>
      <c r="G626" s="1" t="n">
        <v>1</v>
      </c>
      <c r="H626" s="1" t="n">
        <v>11</v>
      </c>
      <c r="I626" s="8" t="n">
        <v>2230239</v>
      </c>
      <c r="J626" s="1" t="n">
        <v>4</v>
      </c>
      <c r="K626" s="1" t="s">
        <v>96</v>
      </c>
      <c r="L626" s="1" t="n">
        <v>6</v>
      </c>
      <c r="M626" s="1" t="n">
        <v>1</v>
      </c>
      <c r="P626" s="1" t="n">
        <f aca="false">SUM(M626:O626)</f>
        <v>1</v>
      </c>
      <c r="U626" s="1" t="n">
        <v>33</v>
      </c>
      <c r="W626" s="1" t="n">
        <f aca="false">SUM(Q626:V626)</f>
        <v>33</v>
      </c>
      <c r="X626" s="1" t="n">
        <v>5</v>
      </c>
      <c r="AC626" s="9"/>
      <c r="AD626" s="9" t="n">
        <f aca="false">(U626)*(1+(J626)*0.2)</f>
        <v>59.4</v>
      </c>
      <c r="AE626" s="20"/>
      <c r="AF626" s="9" t="n">
        <f aca="false">SUM(Z626:AE626)</f>
        <v>59.4</v>
      </c>
      <c r="AG626" s="10" t="s">
        <v>47</v>
      </c>
      <c r="AH626" s="11"/>
      <c r="AI626" s="11"/>
      <c r="AJ626" s="11"/>
      <c r="AK626" s="11"/>
      <c r="AL626" s="11" t="n">
        <f aca="false">IF(AG626="yes",AD626*1.2,AD626)</f>
        <v>71.28</v>
      </c>
      <c r="AM626" s="11"/>
      <c r="AN626" s="11" t="n">
        <f aca="false">SUM(AH626:AM626)</f>
        <v>71.28</v>
      </c>
      <c r="AO626" s="1"/>
      <c r="AP626" s="1"/>
      <c r="AQ626" s="1"/>
      <c r="AR626" s="1"/>
    </row>
    <row r="627" customFormat="false" ht="13.8" hidden="false" customHeight="false" outlineLevel="0" collapsed="false">
      <c r="A627" s="1" t="s">
        <v>801</v>
      </c>
      <c r="B627" s="1" t="n">
        <v>878</v>
      </c>
      <c r="C627" s="1" t="s">
        <v>747</v>
      </c>
      <c r="D627" s="1" t="s">
        <v>42</v>
      </c>
      <c r="E627" s="1" t="s">
        <v>748</v>
      </c>
      <c r="G627" s="1" t="n">
        <v>1</v>
      </c>
      <c r="H627" s="1" t="n">
        <v>6</v>
      </c>
      <c r="I627" s="8" t="n">
        <v>15993</v>
      </c>
      <c r="J627" s="1" t="n">
        <v>1</v>
      </c>
      <c r="K627" s="1" t="s">
        <v>51</v>
      </c>
      <c r="L627" s="1" t="n">
        <v>1</v>
      </c>
      <c r="P627" s="1" t="n">
        <f aca="false">SUM(M627:O627)</f>
        <v>0</v>
      </c>
      <c r="W627" s="1" t="n">
        <f aca="false">SUM(Q627:V627)</f>
        <v>0</v>
      </c>
      <c r="AC627" s="9"/>
      <c r="AD627" s="9"/>
      <c r="AE627" s="20"/>
      <c r="AF627" s="9" t="n">
        <f aca="false">SUM(Z627:AE627)</f>
        <v>0</v>
      </c>
      <c r="AG627" s="10"/>
      <c r="AH627" s="11"/>
      <c r="AI627" s="11"/>
      <c r="AJ627" s="11"/>
      <c r="AK627" s="11"/>
      <c r="AL627" s="11"/>
      <c r="AM627" s="11"/>
      <c r="AN627" s="11" t="n">
        <f aca="false">SUM(AH627:AM627)</f>
        <v>0</v>
      </c>
      <c r="AO627" s="1"/>
      <c r="AP627" s="1"/>
      <c r="AQ627" s="1"/>
      <c r="AR627" s="1"/>
    </row>
    <row r="628" customFormat="false" ht="13.8" hidden="false" customHeight="false" outlineLevel="0" collapsed="false">
      <c r="A628" s="1" t="s">
        <v>802</v>
      </c>
      <c r="B628" s="1" t="n">
        <v>196</v>
      </c>
      <c r="C628" s="1" t="s">
        <v>747</v>
      </c>
      <c r="D628" s="1" t="s">
        <v>42</v>
      </c>
      <c r="E628" s="1" t="s">
        <v>748</v>
      </c>
      <c r="F628" s="1" t="n">
        <v>1</v>
      </c>
      <c r="G628" s="1" t="n">
        <v>1</v>
      </c>
      <c r="H628" s="1" t="n">
        <v>8</v>
      </c>
      <c r="I628" s="8" t="n">
        <v>729252</v>
      </c>
      <c r="J628" s="1" t="n">
        <v>3</v>
      </c>
      <c r="K628" s="1" t="s">
        <v>44</v>
      </c>
      <c r="L628" s="1" t="n">
        <v>2</v>
      </c>
      <c r="P628" s="1" t="n">
        <f aca="false">SUM(M628:O628)</f>
        <v>0</v>
      </c>
      <c r="V628" s="1" t="n">
        <v>15</v>
      </c>
      <c r="W628" s="1" t="n">
        <f aca="false">SUM(Q628:V628)</f>
        <v>15</v>
      </c>
      <c r="X628" s="1" t="n">
        <v>3</v>
      </c>
      <c r="AC628" s="9"/>
      <c r="AD628" s="9"/>
      <c r="AE628" s="9" t="n">
        <f aca="false">(V628)*(1+(J628)*0.2)</f>
        <v>24</v>
      </c>
      <c r="AF628" s="9" t="n">
        <f aca="false">SUM(Z628:AE628)</f>
        <v>24</v>
      </c>
      <c r="AG628" s="10" t="s">
        <v>53</v>
      </c>
      <c r="AH628" s="11"/>
      <c r="AI628" s="11"/>
      <c r="AJ628" s="11"/>
      <c r="AK628" s="11"/>
      <c r="AL628" s="11"/>
      <c r="AM628" s="11" t="n">
        <f aca="false">IF(AG628="yes",AE628*1.2,AE628)</f>
        <v>24</v>
      </c>
      <c r="AN628" s="11" t="n">
        <f aca="false">SUM(AH628:AM628)</f>
        <v>24</v>
      </c>
      <c r="AO628" s="1"/>
      <c r="AP628" s="1"/>
      <c r="AQ628" s="1"/>
      <c r="AR628" s="1"/>
    </row>
    <row r="629" customFormat="false" ht="13.8" hidden="false" customHeight="false" outlineLevel="0" collapsed="false">
      <c r="A629" s="1" t="s">
        <v>803</v>
      </c>
      <c r="B629" s="1" t="n">
        <v>831</v>
      </c>
      <c r="C629" s="1" t="s">
        <v>747</v>
      </c>
      <c r="D629" s="1" t="s">
        <v>42</v>
      </c>
      <c r="E629" s="1" t="s">
        <v>748</v>
      </c>
      <c r="F629" s="1" t="n">
        <v>1</v>
      </c>
      <c r="G629" s="1" t="n">
        <v>1</v>
      </c>
      <c r="H629" s="1" t="n">
        <v>5</v>
      </c>
      <c r="I629" s="8" t="n">
        <v>258745</v>
      </c>
      <c r="J629" s="1" t="n">
        <v>2</v>
      </c>
      <c r="K629" s="1" t="s">
        <v>44</v>
      </c>
      <c r="L629" s="1" t="n">
        <v>2</v>
      </c>
      <c r="P629" s="1" t="n">
        <f aca="false">SUM(M629:O629)</f>
        <v>0</v>
      </c>
      <c r="W629" s="1" t="n">
        <f aca="false">SUM(Q629:V629)</f>
        <v>0</v>
      </c>
      <c r="AF629" s="9" t="n">
        <f aca="false">SUM(Z629:AE629)</f>
        <v>0</v>
      </c>
      <c r="AG629" s="10"/>
      <c r="AH629" s="11"/>
      <c r="AI629" s="11"/>
      <c r="AJ629" s="11"/>
      <c r="AK629" s="11"/>
      <c r="AL629" s="11"/>
      <c r="AM629" s="11"/>
      <c r="AN629" s="11" t="n">
        <f aca="false">SUM(AH629:AM629)</f>
        <v>0</v>
      </c>
      <c r="AO629" s="1"/>
      <c r="AP629" s="1"/>
      <c r="AQ629" s="1"/>
      <c r="AR629" s="1"/>
    </row>
    <row r="630" customFormat="false" ht="13.8" hidden="false" customHeight="false" outlineLevel="0" collapsed="false">
      <c r="A630" s="1" t="s">
        <v>804</v>
      </c>
      <c r="B630" s="1" t="n">
        <v>199</v>
      </c>
      <c r="C630" s="1" t="s">
        <v>747</v>
      </c>
      <c r="D630" s="1" t="s">
        <v>42</v>
      </c>
      <c r="E630" s="1" t="s">
        <v>748</v>
      </c>
      <c r="F630" s="1" t="n">
        <v>3</v>
      </c>
      <c r="G630" s="1" t="n">
        <v>1</v>
      </c>
      <c r="H630" s="1" t="n">
        <v>6</v>
      </c>
      <c r="I630" s="8" t="n">
        <v>1425760</v>
      </c>
      <c r="J630" s="1" t="n">
        <v>3</v>
      </c>
      <c r="K630" s="1" t="s">
        <v>46</v>
      </c>
      <c r="L630" s="1" t="n">
        <v>4</v>
      </c>
      <c r="O630" s="1" t="n">
        <v>1</v>
      </c>
      <c r="P630" s="1" t="n">
        <f aca="false">SUM(M630:O630)</f>
        <v>1</v>
      </c>
      <c r="W630" s="1" t="n">
        <f aca="false">SUM(Q630:V630)</f>
        <v>0</v>
      </c>
      <c r="X630" s="1" t="n">
        <v>3</v>
      </c>
      <c r="AF630" s="9" t="n">
        <f aca="false">SUM(Z630:AE630)</f>
        <v>0</v>
      </c>
      <c r="AG630" s="10"/>
      <c r="AH630" s="11"/>
      <c r="AI630" s="11"/>
      <c r="AJ630" s="11"/>
      <c r="AK630" s="11"/>
      <c r="AL630" s="11"/>
      <c r="AM630" s="11"/>
      <c r="AN630" s="11" t="n">
        <f aca="false">SUM(AH630:AM630)</f>
        <v>0</v>
      </c>
      <c r="AO630" s="1"/>
      <c r="AP630" s="1"/>
      <c r="AQ630" s="1"/>
      <c r="AR630" s="1"/>
    </row>
    <row r="631" customFormat="false" ht="13.8" hidden="false" customHeight="false" outlineLevel="0" collapsed="false">
      <c r="A631" s="1" t="s">
        <v>805</v>
      </c>
      <c r="B631" s="1" t="n">
        <v>202</v>
      </c>
      <c r="C631" s="1" t="s">
        <v>747</v>
      </c>
      <c r="D631" s="1" t="s">
        <v>42</v>
      </c>
      <c r="E631" s="1" t="s">
        <v>748</v>
      </c>
      <c r="F631" s="1" t="n">
        <v>25</v>
      </c>
      <c r="G631" s="1" t="n">
        <v>1</v>
      </c>
      <c r="H631" s="1" t="n">
        <v>11</v>
      </c>
      <c r="I631" s="8" t="n">
        <v>2498398</v>
      </c>
      <c r="J631" s="1" t="n">
        <v>4</v>
      </c>
      <c r="K631" s="1" t="s">
        <v>96</v>
      </c>
      <c r="L631" s="1" t="n">
        <v>6</v>
      </c>
      <c r="M631" s="1" t="n">
        <v>2</v>
      </c>
      <c r="O631" s="1" t="n">
        <v>3</v>
      </c>
      <c r="P631" s="1" t="n">
        <f aca="false">SUM(M631:O631)</f>
        <v>5</v>
      </c>
      <c r="Q631" s="1" t="n">
        <v>8</v>
      </c>
      <c r="R631" s="1" t="n">
        <v>7</v>
      </c>
      <c r="W631" s="1" t="n">
        <f aca="false">SUM(Q631:V631)</f>
        <v>15</v>
      </c>
      <c r="X631" s="1" t="n">
        <v>8</v>
      </c>
      <c r="Z631" s="9" t="n">
        <f aca="false">(Q631)*(1+(J631)*0.2)</f>
        <v>14.4</v>
      </c>
      <c r="AA631" s="9" t="n">
        <f aca="false">(R631)*(1+(J631)*0.2)</f>
        <v>12.6</v>
      </c>
      <c r="AF631" s="9" t="n">
        <f aca="false">SUM(Z631:AE631)</f>
        <v>27</v>
      </c>
      <c r="AG631" s="10" t="s">
        <v>47</v>
      </c>
      <c r="AH631" s="11" t="n">
        <f aca="false">IF(AG631="yes",Z631*1.2,Z631)</f>
        <v>17.28</v>
      </c>
      <c r="AI631" s="11" t="n">
        <f aca="false">IF(AG631="yes",AA631*1.2,AA631)</f>
        <v>15.12</v>
      </c>
      <c r="AJ631" s="11"/>
      <c r="AK631" s="11"/>
      <c r="AL631" s="11"/>
      <c r="AM631" s="11"/>
      <c r="AN631" s="11" t="n">
        <f aca="false">SUM(AH631:AM631)</f>
        <v>32.4</v>
      </c>
      <c r="AO631" s="1"/>
      <c r="AP631" s="1"/>
      <c r="AQ631" s="1"/>
      <c r="AR631" s="1"/>
    </row>
    <row r="632" customFormat="false" ht="13.8" hidden="false" customHeight="false" outlineLevel="0" collapsed="false">
      <c r="A632" s="1" t="s">
        <v>806</v>
      </c>
      <c r="B632" s="1" t="n">
        <v>575</v>
      </c>
      <c r="C632" s="1" t="s">
        <v>747</v>
      </c>
      <c r="D632" s="1" t="s">
        <v>42</v>
      </c>
      <c r="E632" s="1" t="s">
        <v>748</v>
      </c>
      <c r="G632" s="1" t="n">
        <v>1</v>
      </c>
      <c r="H632" s="1" t="n">
        <v>13</v>
      </c>
      <c r="I632" s="8" t="n">
        <v>146673</v>
      </c>
      <c r="J632" s="1" t="n">
        <v>1</v>
      </c>
      <c r="K632" s="1" t="s">
        <v>76</v>
      </c>
      <c r="L632" s="1" t="n">
        <v>0</v>
      </c>
      <c r="P632" s="1" t="n">
        <f aca="false">SUM(M632:O632)</f>
        <v>0</v>
      </c>
      <c r="W632" s="1" t="n">
        <f aca="false">SUM(Q632:V632)</f>
        <v>0</v>
      </c>
      <c r="AF632" s="9" t="n">
        <f aca="false">SUM(Z632:AE632)</f>
        <v>0</v>
      </c>
      <c r="AG632" s="10"/>
      <c r="AH632" s="11"/>
      <c r="AI632" s="11"/>
      <c r="AJ632" s="11"/>
      <c r="AK632" s="11"/>
      <c r="AL632" s="11"/>
      <c r="AM632" s="11"/>
      <c r="AN632" s="11" t="n">
        <f aca="false">SUM(AH632:AM632)</f>
        <v>0</v>
      </c>
      <c r="AO632" s="1"/>
      <c r="AP632" s="1"/>
      <c r="AQ632" s="1"/>
      <c r="AR632" s="1"/>
    </row>
    <row r="633" customFormat="false" ht="13.8" hidden="false" customHeight="false" outlineLevel="0" collapsed="false">
      <c r="A633" s="1" t="s">
        <v>807</v>
      </c>
      <c r="B633" s="1" t="n">
        <v>400</v>
      </c>
      <c r="C633" s="1" t="s">
        <v>747</v>
      </c>
      <c r="D633" s="1" t="s">
        <v>42</v>
      </c>
      <c r="E633" s="1" t="s">
        <v>748</v>
      </c>
      <c r="F633" s="1" t="n">
        <v>1</v>
      </c>
      <c r="G633" s="1" t="n">
        <v>1</v>
      </c>
      <c r="H633" s="1" t="n">
        <v>65</v>
      </c>
      <c r="I633" s="8" t="n">
        <v>2118057</v>
      </c>
      <c r="J633" s="1" t="n">
        <v>2</v>
      </c>
      <c r="K633" s="1" t="s">
        <v>46</v>
      </c>
      <c r="L633" s="1" t="n">
        <v>4</v>
      </c>
      <c r="P633" s="1" t="n">
        <f aca="false">SUM(M633:O633)</f>
        <v>0</v>
      </c>
      <c r="R633" s="1" t="n">
        <v>14</v>
      </c>
      <c r="W633" s="1" t="n">
        <f aca="false">SUM(Q633:V633)</f>
        <v>14</v>
      </c>
      <c r="AA633" s="9" t="n">
        <f aca="false">(R633)*(1+(J633)*0.2)</f>
        <v>19.6</v>
      </c>
      <c r="AC633" s="9"/>
      <c r="AD633" s="9"/>
      <c r="AE633" s="20"/>
      <c r="AF633" s="9" t="n">
        <f aca="false">SUM(Z633:AE633)</f>
        <v>19.6</v>
      </c>
      <c r="AG633" s="10" t="s">
        <v>47</v>
      </c>
      <c r="AH633" s="11"/>
      <c r="AI633" s="11" t="n">
        <f aca="false">IF(AG633="yes",AA633*1.2,AA633)</f>
        <v>23.52</v>
      </c>
      <c r="AJ633" s="11"/>
      <c r="AK633" s="11"/>
      <c r="AL633" s="11"/>
      <c r="AM633" s="11"/>
      <c r="AN633" s="11" t="n">
        <f aca="false">SUM(AH633:AM633)</f>
        <v>23.52</v>
      </c>
      <c r="AO633" s="1"/>
      <c r="AP633" s="1"/>
      <c r="AQ633" s="1"/>
      <c r="AR633" s="1"/>
    </row>
    <row r="634" customFormat="false" ht="13.8" hidden="false" customHeight="false" outlineLevel="0" collapsed="false">
      <c r="A634" s="1" t="s">
        <v>808</v>
      </c>
      <c r="B634" s="1" t="n">
        <v>644</v>
      </c>
      <c r="C634" s="1" t="s">
        <v>747</v>
      </c>
      <c r="D634" s="1" t="s">
        <v>42</v>
      </c>
      <c r="E634" s="1" t="s">
        <v>748</v>
      </c>
      <c r="F634" s="1" t="n">
        <v>1</v>
      </c>
      <c r="G634" s="1" t="n">
        <v>1</v>
      </c>
      <c r="H634" s="1" t="n">
        <v>6</v>
      </c>
      <c r="I634" s="8" t="n">
        <v>13106</v>
      </c>
      <c r="J634" s="1" t="n">
        <v>1</v>
      </c>
      <c r="K634" s="1" t="s">
        <v>76</v>
      </c>
      <c r="L634" s="1" t="n">
        <v>0</v>
      </c>
      <c r="P634" s="1" t="n">
        <f aca="false">SUM(M634:O634)</f>
        <v>0</v>
      </c>
      <c r="W634" s="1" t="n">
        <f aca="false">SUM(Q634:V634)</f>
        <v>0</v>
      </c>
      <c r="AF634" s="9" t="n">
        <f aca="false">SUM(Z634:AE634)</f>
        <v>0</v>
      </c>
      <c r="AG634" s="10"/>
      <c r="AH634" s="11"/>
      <c r="AI634" s="11"/>
      <c r="AJ634" s="11"/>
      <c r="AK634" s="11"/>
      <c r="AL634" s="11"/>
      <c r="AM634" s="11"/>
      <c r="AN634" s="11" t="n">
        <f aca="false">SUM(AH634:AM634)</f>
        <v>0</v>
      </c>
      <c r="AO634" s="1"/>
      <c r="AP634" s="1"/>
      <c r="AQ634" s="1"/>
      <c r="AR634" s="1"/>
    </row>
    <row r="635" customFormat="false" ht="13.8" hidden="false" customHeight="false" outlineLevel="0" collapsed="false">
      <c r="A635" s="1" t="s">
        <v>809</v>
      </c>
      <c r="B635" s="1" t="n">
        <v>583</v>
      </c>
      <c r="C635" s="1" t="s">
        <v>747</v>
      </c>
      <c r="D635" s="1" t="s">
        <v>42</v>
      </c>
      <c r="E635" s="1" t="s">
        <v>748</v>
      </c>
      <c r="F635" s="1" t="n">
        <v>1</v>
      </c>
      <c r="G635" s="1" t="n">
        <v>1</v>
      </c>
      <c r="H635" s="1" t="n">
        <v>27</v>
      </c>
      <c r="I635" s="8" t="n">
        <v>315835</v>
      </c>
      <c r="J635" s="1" t="n">
        <v>2</v>
      </c>
      <c r="K635" s="1" t="s">
        <v>44</v>
      </c>
      <c r="L635" s="1" t="n">
        <v>2</v>
      </c>
      <c r="P635" s="1" t="n">
        <f aca="false">SUM(M635:O635)</f>
        <v>0</v>
      </c>
      <c r="W635" s="1" t="n">
        <f aca="false">SUM(Q635:V635)</f>
        <v>0</v>
      </c>
      <c r="Z635" s="12"/>
      <c r="AF635" s="9" t="n">
        <f aca="false">SUM(Z635:AE635)</f>
        <v>0</v>
      </c>
      <c r="AG635" s="10"/>
      <c r="AH635" s="11"/>
      <c r="AI635" s="11"/>
      <c r="AJ635" s="11"/>
      <c r="AK635" s="11"/>
      <c r="AL635" s="11"/>
      <c r="AM635" s="11"/>
      <c r="AN635" s="11" t="n">
        <f aca="false">SUM(AH635:AM635)</f>
        <v>0</v>
      </c>
      <c r="AO635" s="1"/>
      <c r="AP635" s="1"/>
      <c r="AQ635" s="1"/>
      <c r="AR635" s="1"/>
    </row>
    <row r="636" customFormat="false" ht="13.8" hidden="false" customHeight="false" outlineLevel="0" collapsed="false">
      <c r="A636" s="1" t="s">
        <v>810</v>
      </c>
      <c r="B636" s="1" t="n">
        <v>880</v>
      </c>
      <c r="C636" s="1" t="s">
        <v>747</v>
      </c>
      <c r="D636" s="1" t="s">
        <v>42</v>
      </c>
      <c r="E636" s="1" t="s">
        <v>748</v>
      </c>
      <c r="F636" s="1" t="n">
        <v>1</v>
      </c>
      <c r="G636" s="1" t="n">
        <v>1</v>
      </c>
      <c r="H636" s="1" t="n">
        <v>19</v>
      </c>
      <c r="I636" s="8" t="n">
        <v>263042</v>
      </c>
      <c r="J636" s="1" t="n">
        <v>1</v>
      </c>
      <c r="K636" s="1" t="s">
        <v>44</v>
      </c>
      <c r="L636" s="1" t="n">
        <v>2</v>
      </c>
      <c r="P636" s="1" t="n">
        <f aca="false">SUM(M636:O636)</f>
        <v>0</v>
      </c>
      <c r="W636" s="1" t="n">
        <f aca="false">SUM(Q636:V636)</f>
        <v>0</v>
      </c>
      <c r="AC636" s="9"/>
      <c r="AF636" s="9" t="n">
        <f aca="false">SUM(Z636:AE636)</f>
        <v>0</v>
      </c>
      <c r="AG636" s="10"/>
      <c r="AH636" s="11"/>
      <c r="AI636" s="11"/>
      <c r="AJ636" s="11"/>
      <c r="AK636" s="11"/>
      <c r="AL636" s="11"/>
      <c r="AM636" s="11"/>
      <c r="AN636" s="11" t="n">
        <f aca="false">SUM(AH636:AM636)</f>
        <v>0</v>
      </c>
      <c r="AO636" s="1"/>
      <c r="AP636" s="1"/>
      <c r="AQ636" s="1"/>
      <c r="AR636" s="1"/>
    </row>
    <row r="637" customFormat="false" ht="13.8" hidden="false" customHeight="false" outlineLevel="0" collapsed="false">
      <c r="A637" s="1" t="s">
        <v>811</v>
      </c>
      <c r="B637" s="1" t="n">
        <v>234</v>
      </c>
      <c r="C637" s="1" t="s">
        <v>747</v>
      </c>
      <c r="D637" s="1" t="s">
        <v>42</v>
      </c>
      <c r="E637" s="1" t="s">
        <v>748</v>
      </c>
      <c r="F637" s="1" t="n">
        <v>9</v>
      </c>
      <c r="G637" s="1" t="n">
        <v>1</v>
      </c>
      <c r="H637" s="1" t="n">
        <v>26</v>
      </c>
      <c r="I637" s="8" t="n">
        <v>2906915</v>
      </c>
      <c r="J637" s="1" t="n">
        <v>3</v>
      </c>
      <c r="K637" s="1" t="s">
        <v>96</v>
      </c>
      <c r="L637" s="1" t="n">
        <v>6</v>
      </c>
      <c r="O637" s="1" t="n">
        <v>1</v>
      </c>
      <c r="P637" s="1" t="n">
        <f aca="false">SUM(M637:O637)</f>
        <v>1</v>
      </c>
      <c r="Q637" s="1" t="n">
        <v>12</v>
      </c>
      <c r="T637" s="1" t="n">
        <v>17</v>
      </c>
      <c r="W637" s="1" t="n">
        <f aca="false">SUM(Q637:V637)</f>
        <v>29</v>
      </c>
      <c r="Y637" s="1" t="n">
        <v>3</v>
      </c>
      <c r="Z637" s="9" t="n">
        <f aca="false">(Q637)*(1+(J637)*0.2)</f>
        <v>19.2</v>
      </c>
      <c r="AC637" s="9" t="n">
        <f aca="false">(T637)*(1+(J637)*0.2)</f>
        <v>27.2</v>
      </c>
      <c r="AF637" s="9" t="n">
        <f aca="false">SUM(Z637:AE637)</f>
        <v>46.4</v>
      </c>
      <c r="AG637" s="10" t="s">
        <v>47</v>
      </c>
      <c r="AH637" s="11" t="n">
        <f aca="false">IF(AG637="yes",Z637*1.2,Z637)</f>
        <v>23.04</v>
      </c>
      <c r="AI637" s="11"/>
      <c r="AJ637" s="11"/>
      <c r="AK637" s="11" t="n">
        <f aca="false">IF(AG637="yes",AC637*1.2,AC637)</f>
        <v>32.64</v>
      </c>
      <c r="AL637" s="11"/>
      <c r="AM637" s="11"/>
      <c r="AN637" s="11" t="n">
        <f aca="false">SUM(AH637:AM637)</f>
        <v>55.68</v>
      </c>
      <c r="AO637" s="1"/>
      <c r="AP637" s="1"/>
      <c r="AQ637" s="1"/>
      <c r="AR637" s="1"/>
    </row>
    <row r="638" customFormat="false" ht="13.8" hidden="false" customHeight="false" outlineLevel="0" collapsed="false">
      <c r="A638" s="1" t="s">
        <v>812</v>
      </c>
      <c r="B638" s="1" t="n">
        <v>568</v>
      </c>
      <c r="C638" s="1" t="s">
        <v>747</v>
      </c>
      <c r="D638" s="1" t="s">
        <v>42</v>
      </c>
      <c r="E638" s="1" t="s">
        <v>748</v>
      </c>
      <c r="F638" s="1" t="n">
        <v>1</v>
      </c>
      <c r="G638" s="1" t="n">
        <v>1</v>
      </c>
      <c r="H638" s="1" t="n">
        <v>16</v>
      </c>
      <c r="I638" s="8" t="n">
        <v>1728534</v>
      </c>
      <c r="J638" s="1" t="n">
        <v>2</v>
      </c>
      <c r="K638" s="1" t="s">
        <v>46</v>
      </c>
      <c r="L638" s="1" t="n">
        <v>4</v>
      </c>
      <c r="P638" s="1" t="n">
        <f aca="false">SUM(M638:O638)</f>
        <v>0</v>
      </c>
      <c r="W638" s="1" t="n">
        <f aca="false">SUM(Q638:V638)</f>
        <v>0</v>
      </c>
      <c r="AF638" s="9" t="n">
        <f aca="false">SUM(Z638:AE638)</f>
        <v>0</v>
      </c>
      <c r="AG638" s="10"/>
      <c r="AH638" s="11"/>
      <c r="AI638" s="11"/>
      <c r="AJ638" s="11"/>
      <c r="AK638" s="11"/>
      <c r="AL638" s="11"/>
      <c r="AM638" s="11"/>
      <c r="AN638" s="11" t="n">
        <f aca="false">SUM(AH638:AM638)</f>
        <v>0</v>
      </c>
      <c r="AO638" s="1"/>
      <c r="AP638" s="1"/>
      <c r="AQ638" s="1"/>
      <c r="AR638" s="1"/>
    </row>
    <row r="639" customFormat="false" ht="13.8" hidden="false" customHeight="false" outlineLevel="0" collapsed="false">
      <c r="A639" s="1" t="s">
        <v>813</v>
      </c>
      <c r="B639" s="1" t="n">
        <v>220</v>
      </c>
      <c r="C639" s="1" t="s">
        <v>747</v>
      </c>
      <c r="D639" s="1" t="s">
        <v>42</v>
      </c>
      <c r="E639" s="1" t="s">
        <v>748</v>
      </c>
      <c r="F639" s="1" t="n">
        <v>5</v>
      </c>
      <c r="G639" s="1" t="n">
        <v>1</v>
      </c>
      <c r="H639" s="1" t="n">
        <v>14</v>
      </c>
      <c r="I639" s="8" t="n">
        <v>1682137</v>
      </c>
      <c r="J639" s="1" t="n">
        <v>3</v>
      </c>
      <c r="K639" s="1" t="s">
        <v>96</v>
      </c>
      <c r="L639" s="1" t="n">
        <v>6</v>
      </c>
      <c r="P639" s="1" t="n">
        <f aca="false">SUM(M639:O639)</f>
        <v>0</v>
      </c>
      <c r="W639" s="1" t="n">
        <f aca="false">SUM(Q639:V639)</f>
        <v>0</v>
      </c>
      <c r="X639" s="1" t="n">
        <v>1</v>
      </c>
      <c r="AD639" s="20"/>
      <c r="AF639" s="9" t="n">
        <f aca="false">SUM(Z639:AE639)</f>
        <v>0</v>
      </c>
      <c r="AG639" s="10"/>
      <c r="AH639" s="11"/>
      <c r="AI639" s="11"/>
      <c r="AJ639" s="11"/>
      <c r="AK639" s="11"/>
      <c r="AL639" s="11"/>
      <c r="AM639" s="11"/>
      <c r="AN639" s="11" t="n">
        <f aca="false">SUM(AH639:AM639)</f>
        <v>0</v>
      </c>
      <c r="AO639" s="1"/>
      <c r="AP639" s="1"/>
      <c r="AQ639" s="1"/>
      <c r="AR639" s="1"/>
    </row>
    <row r="640" customFormat="false" ht="13.8" hidden="false" customHeight="false" outlineLevel="0" collapsed="false">
      <c r="A640" s="1" t="s">
        <v>814</v>
      </c>
      <c r="B640" s="1" t="n">
        <v>251</v>
      </c>
      <c r="C640" s="1" t="s">
        <v>747</v>
      </c>
      <c r="D640" s="1" t="s">
        <v>42</v>
      </c>
      <c r="E640" s="1" t="s">
        <v>748</v>
      </c>
      <c r="F640" s="1" t="n">
        <v>3</v>
      </c>
      <c r="G640" s="1" t="n">
        <v>1</v>
      </c>
      <c r="H640" s="1" t="n">
        <v>19</v>
      </c>
      <c r="I640" s="8" t="n">
        <v>1393518</v>
      </c>
      <c r="J640" s="1" t="n">
        <v>3</v>
      </c>
      <c r="K640" s="1" t="s">
        <v>46</v>
      </c>
      <c r="L640" s="1" t="n">
        <v>4</v>
      </c>
      <c r="M640" s="1" t="n">
        <v>2</v>
      </c>
      <c r="P640" s="1" t="n">
        <f aca="false">SUM(M640:O640)</f>
        <v>2</v>
      </c>
      <c r="W640" s="1" t="n">
        <f aca="false">SUM(Q640:V640)</f>
        <v>0</v>
      </c>
      <c r="X640" s="1" t="n">
        <v>1</v>
      </c>
      <c r="AD640" s="9"/>
      <c r="AF640" s="9" t="n">
        <f aca="false">SUM(Z640:AE640)</f>
        <v>0</v>
      </c>
      <c r="AG640" s="10"/>
      <c r="AH640" s="11"/>
      <c r="AI640" s="11"/>
      <c r="AJ640" s="11"/>
      <c r="AK640" s="11"/>
      <c r="AL640" s="11"/>
      <c r="AM640" s="11"/>
      <c r="AN640" s="11" t="n">
        <f aca="false">SUM(AH640:AM640)</f>
        <v>0</v>
      </c>
      <c r="AO640" s="1"/>
      <c r="AP640" s="1"/>
      <c r="AQ640" s="1"/>
      <c r="AR640" s="1"/>
    </row>
    <row r="641" customFormat="false" ht="13.8" hidden="false" customHeight="false" outlineLevel="0" collapsed="false">
      <c r="A641" s="1" t="s">
        <v>815</v>
      </c>
      <c r="B641" s="1" t="n">
        <v>404</v>
      </c>
      <c r="C641" s="1" t="s">
        <v>747</v>
      </c>
      <c r="D641" s="1" t="s">
        <v>42</v>
      </c>
      <c r="E641" s="1" t="s">
        <v>748</v>
      </c>
      <c r="F641" s="1" t="n">
        <v>1</v>
      </c>
      <c r="G641" s="1" t="n">
        <v>1</v>
      </c>
      <c r="H641" s="1" t="n">
        <v>18</v>
      </c>
      <c r="I641" s="8" t="n">
        <v>447566</v>
      </c>
      <c r="J641" s="1" t="n">
        <v>1</v>
      </c>
      <c r="K641" s="1" t="s">
        <v>51</v>
      </c>
      <c r="L641" s="1" t="n">
        <v>1</v>
      </c>
      <c r="P641" s="1" t="n">
        <f aca="false">SUM(M641:O641)</f>
        <v>0</v>
      </c>
      <c r="W641" s="1" t="n">
        <f aca="false">SUM(Q641:V641)</f>
        <v>0</v>
      </c>
      <c r="AF641" s="9" t="n">
        <f aca="false">SUM(Z641:AE641)</f>
        <v>0</v>
      </c>
      <c r="AG641" s="10"/>
      <c r="AH641" s="11"/>
      <c r="AI641" s="11"/>
      <c r="AJ641" s="11"/>
      <c r="AK641" s="11"/>
      <c r="AL641" s="11"/>
      <c r="AM641" s="11"/>
      <c r="AN641" s="11" t="n">
        <f aca="false">SUM(AH641:AM641)</f>
        <v>0</v>
      </c>
      <c r="AO641" s="1"/>
      <c r="AP641" s="1"/>
      <c r="AQ641" s="1"/>
      <c r="AR641" s="1"/>
    </row>
    <row r="642" customFormat="false" ht="13.8" hidden="false" customHeight="false" outlineLevel="0" collapsed="false">
      <c r="A642" s="1" t="s">
        <v>816</v>
      </c>
      <c r="B642" s="1" t="n">
        <v>195</v>
      </c>
      <c r="C642" s="1" t="s">
        <v>747</v>
      </c>
      <c r="D642" s="1" t="s">
        <v>42</v>
      </c>
      <c r="E642" s="1" t="s">
        <v>748</v>
      </c>
      <c r="F642" s="1" t="n">
        <v>30</v>
      </c>
      <c r="G642" s="1" t="n">
        <v>1</v>
      </c>
      <c r="H642" s="1" t="n">
        <v>5</v>
      </c>
      <c r="I642" s="8" t="n">
        <v>3754736</v>
      </c>
      <c r="J642" s="1" t="n">
        <v>4</v>
      </c>
      <c r="K642" s="1" t="s">
        <v>109</v>
      </c>
      <c r="L642" s="1" t="n">
        <v>10</v>
      </c>
      <c r="M642" s="1" t="n">
        <v>6</v>
      </c>
      <c r="N642" s="1" t="n">
        <v>3</v>
      </c>
      <c r="O642" s="1" t="n">
        <v>1</v>
      </c>
      <c r="P642" s="1" t="n">
        <f aca="false">SUM(M642:O642)</f>
        <v>10</v>
      </c>
      <c r="W642" s="1" t="n">
        <f aca="false">SUM(Q642:V642)</f>
        <v>0</v>
      </c>
      <c r="X642" s="1" t="n">
        <v>10</v>
      </c>
      <c r="Y642" s="1" t="n">
        <v>10</v>
      </c>
      <c r="AF642" s="9" t="n">
        <f aca="false">SUM(Z642:AE642)</f>
        <v>0</v>
      </c>
      <c r="AG642" s="10"/>
      <c r="AH642" s="11"/>
      <c r="AI642" s="11"/>
      <c r="AJ642" s="11"/>
      <c r="AK642" s="11"/>
      <c r="AL642" s="11"/>
      <c r="AM642" s="11"/>
      <c r="AN642" s="11" t="n">
        <f aca="false">SUM(AH642:AM642)</f>
        <v>0</v>
      </c>
      <c r="AO642" s="1"/>
      <c r="AP642" s="1"/>
      <c r="AQ642" s="1"/>
      <c r="AR642" s="1"/>
    </row>
    <row r="643" customFormat="false" ht="13.8" hidden="false" customHeight="false" outlineLevel="0" collapsed="false">
      <c r="A643" s="1" t="s">
        <v>817</v>
      </c>
      <c r="B643" s="1" t="n">
        <v>258</v>
      </c>
      <c r="C643" s="1" t="s">
        <v>747</v>
      </c>
      <c r="D643" s="1" t="s">
        <v>42</v>
      </c>
      <c r="E643" s="1" t="s">
        <v>748</v>
      </c>
      <c r="F643" s="1" t="n">
        <v>1</v>
      </c>
      <c r="G643" s="1" t="n">
        <v>1</v>
      </c>
      <c r="H643" s="1" t="n">
        <v>12</v>
      </c>
      <c r="I643" s="8" t="n">
        <v>1283661</v>
      </c>
      <c r="J643" s="1" t="n">
        <v>3</v>
      </c>
      <c r="K643" s="1" t="s">
        <v>46</v>
      </c>
      <c r="L643" s="1" t="n">
        <v>4</v>
      </c>
      <c r="P643" s="1" t="n">
        <f aca="false">SUM(M643:O643)</f>
        <v>0</v>
      </c>
      <c r="W643" s="1" t="n">
        <f aca="false">SUM(Q643:V643)</f>
        <v>0</v>
      </c>
      <c r="AF643" s="9" t="n">
        <f aca="false">SUM(Z643:AE643)</f>
        <v>0</v>
      </c>
      <c r="AG643" s="10"/>
      <c r="AH643" s="11"/>
      <c r="AI643" s="11"/>
      <c r="AJ643" s="11"/>
      <c r="AK643" s="11"/>
      <c r="AL643" s="11"/>
      <c r="AM643" s="11"/>
      <c r="AN643" s="11" t="n">
        <f aca="false">SUM(AH643:AM643)</f>
        <v>0</v>
      </c>
      <c r="AO643" s="1"/>
      <c r="AP643" s="1"/>
      <c r="AQ643" s="1"/>
      <c r="AR643" s="1"/>
    </row>
    <row r="644" customFormat="false" ht="13.8" hidden="false" customHeight="false" outlineLevel="0" collapsed="false">
      <c r="A644" s="1" t="s">
        <v>818</v>
      </c>
      <c r="B644" s="1" t="n">
        <v>208</v>
      </c>
      <c r="C644" s="1" t="s">
        <v>747</v>
      </c>
      <c r="D644" s="1" t="s">
        <v>42</v>
      </c>
      <c r="E644" s="1" t="s">
        <v>748</v>
      </c>
      <c r="F644" s="1" t="n">
        <v>1</v>
      </c>
      <c r="G644" s="1" t="n">
        <v>1</v>
      </c>
      <c r="H644" s="1" t="n">
        <v>12</v>
      </c>
      <c r="I644" s="8" t="n">
        <v>342236</v>
      </c>
      <c r="J644" s="1" t="n">
        <v>3</v>
      </c>
      <c r="K644" s="1" t="s">
        <v>44</v>
      </c>
      <c r="L644" s="1" t="n">
        <v>2</v>
      </c>
      <c r="P644" s="1" t="n">
        <f aca="false">SUM(M644:O644)</f>
        <v>0</v>
      </c>
      <c r="W644" s="1" t="n">
        <f aca="false">SUM(Q644:V644)</f>
        <v>0</v>
      </c>
      <c r="X644" s="1" t="n">
        <v>3</v>
      </c>
      <c r="AF644" s="9" t="n">
        <f aca="false">SUM(Z644:AE644)</f>
        <v>0</v>
      </c>
      <c r="AG644" s="10"/>
      <c r="AH644" s="11"/>
      <c r="AI644" s="11"/>
      <c r="AJ644" s="11"/>
      <c r="AK644" s="11"/>
      <c r="AL644" s="11"/>
      <c r="AM644" s="11"/>
      <c r="AN644" s="11" t="n">
        <f aca="false">SUM(AH644:AM644)</f>
        <v>0</v>
      </c>
      <c r="AO644" s="1"/>
      <c r="AP644" s="1"/>
      <c r="AQ644" s="1"/>
      <c r="AR644" s="1"/>
    </row>
    <row r="645" customFormat="false" ht="13.8" hidden="false" customHeight="false" outlineLevel="0" collapsed="false">
      <c r="A645" s="1" t="s">
        <v>819</v>
      </c>
      <c r="B645" s="1" t="n">
        <v>874</v>
      </c>
      <c r="C645" s="1" t="s">
        <v>747</v>
      </c>
      <c r="D645" s="1" t="s">
        <v>42</v>
      </c>
      <c r="E645" s="1" t="s">
        <v>748</v>
      </c>
      <c r="F645" s="1" t="n">
        <v>1</v>
      </c>
      <c r="G645" s="1" t="n">
        <v>1</v>
      </c>
      <c r="H645" s="1" t="n">
        <v>3</v>
      </c>
      <c r="I645" s="8" t="n">
        <v>63558</v>
      </c>
      <c r="J645" s="1" t="n">
        <v>1</v>
      </c>
      <c r="K645" s="1" t="s">
        <v>51</v>
      </c>
      <c r="L645" s="1" t="n">
        <v>1</v>
      </c>
      <c r="P645" s="1" t="n">
        <f aca="false">SUM(M645:O645)</f>
        <v>0</v>
      </c>
      <c r="W645" s="1" t="n">
        <f aca="false">SUM(Q645:V645)</f>
        <v>0</v>
      </c>
      <c r="AF645" s="9" t="n">
        <f aca="false">SUM(Z645:AE645)</f>
        <v>0</v>
      </c>
      <c r="AG645" s="10"/>
      <c r="AH645" s="11"/>
      <c r="AI645" s="11"/>
      <c r="AJ645" s="11"/>
      <c r="AK645" s="11"/>
      <c r="AL645" s="11"/>
      <c r="AM645" s="11"/>
      <c r="AN645" s="11" t="n">
        <f aca="false">SUM(AH645:AM645)</f>
        <v>0</v>
      </c>
      <c r="AO645" s="1"/>
      <c r="AP645" s="1"/>
      <c r="AQ645" s="1"/>
      <c r="AR645" s="1"/>
    </row>
    <row r="646" customFormat="false" ht="13.8" hidden="false" customHeight="false" outlineLevel="0" collapsed="false">
      <c r="A646" s="1" t="s">
        <v>820</v>
      </c>
      <c r="B646" s="1" t="n">
        <v>582</v>
      </c>
      <c r="C646" s="1" t="s">
        <v>747</v>
      </c>
      <c r="D646" s="1" t="s">
        <v>42</v>
      </c>
      <c r="E646" s="1" t="s">
        <v>748</v>
      </c>
      <c r="F646" s="1" t="n">
        <v>3</v>
      </c>
      <c r="G646" s="1" t="n">
        <v>1</v>
      </c>
      <c r="H646" s="1" t="n">
        <v>17</v>
      </c>
      <c r="I646" s="8" t="n">
        <v>1046267</v>
      </c>
      <c r="J646" s="1" t="n">
        <v>3</v>
      </c>
      <c r="K646" s="1" t="s">
        <v>44</v>
      </c>
      <c r="L646" s="1" t="n">
        <v>2</v>
      </c>
      <c r="P646" s="1" t="n">
        <f aca="false">SUM(M646:O646)</f>
        <v>0</v>
      </c>
      <c r="Q646" s="1" t="n">
        <v>6</v>
      </c>
      <c r="U646" s="1" t="n">
        <v>40</v>
      </c>
      <c r="W646" s="1" t="n">
        <f aca="false">SUM(Q646:V646)</f>
        <v>46</v>
      </c>
      <c r="Z646" s="9" t="n">
        <f aca="false">(Q646)*(1+(J646)*0.2)</f>
        <v>9.6</v>
      </c>
      <c r="AD646" s="9" t="n">
        <f aca="false">(U646)*(1+(J646)*0.2)</f>
        <v>64</v>
      </c>
      <c r="AF646" s="9" t="n">
        <f aca="false">SUM(Z646:AE646)</f>
        <v>73.6</v>
      </c>
      <c r="AG646" s="10" t="s">
        <v>53</v>
      </c>
      <c r="AH646" s="11" t="n">
        <f aca="false">IF(AG646="yes",Z646*1.2,Z646)</f>
        <v>9.6</v>
      </c>
      <c r="AI646" s="11"/>
      <c r="AJ646" s="11"/>
      <c r="AK646" s="11"/>
      <c r="AL646" s="11" t="n">
        <f aca="false">IF(AG646="yes",AD646*1.2,AD646)</f>
        <v>64</v>
      </c>
      <c r="AM646" s="11"/>
      <c r="AN646" s="11" t="n">
        <f aca="false">SUM(AH646:AM646)</f>
        <v>73.6</v>
      </c>
      <c r="AO646" s="1"/>
      <c r="AP646" s="1"/>
      <c r="AQ646" s="1"/>
      <c r="AR646" s="1"/>
    </row>
    <row r="647" customFormat="false" ht="13.8" hidden="false" customHeight="false" outlineLevel="0" collapsed="false">
      <c r="A647" s="1" t="s">
        <v>821</v>
      </c>
      <c r="B647" s="1" t="n">
        <v>833</v>
      </c>
      <c r="C647" s="1" t="s">
        <v>747</v>
      </c>
      <c r="D647" s="1" t="s">
        <v>42</v>
      </c>
      <c r="E647" s="1" t="s">
        <v>748</v>
      </c>
      <c r="F647" s="1" t="n">
        <v>1</v>
      </c>
      <c r="G647" s="1" t="n">
        <v>1</v>
      </c>
      <c r="H647" s="1" t="n">
        <v>17</v>
      </c>
      <c r="I647" s="8" t="n">
        <v>786990</v>
      </c>
      <c r="J647" s="1" t="n">
        <v>2</v>
      </c>
      <c r="K647" s="1" t="s">
        <v>46</v>
      </c>
      <c r="L647" s="1" t="n">
        <v>4</v>
      </c>
      <c r="P647" s="1" t="n">
        <f aca="false">SUM(M647:O647)</f>
        <v>0</v>
      </c>
      <c r="W647" s="1" t="n">
        <f aca="false">SUM(Q647:V647)</f>
        <v>0</v>
      </c>
      <c r="AF647" s="9" t="n">
        <f aca="false">SUM(Z647:AE647)</f>
        <v>0</v>
      </c>
      <c r="AG647" s="10"/>
      <c r="AH647" s="11"/>
      <c r="AI647" s="11"/>
      <c r="AJ647" s="11"/>
      <c r="AK647" s="11"/>
      <c r="AL647" s="11"/>
      <c r="AM647" s="11"/>
      <c r="AN647" s="11" t="n">
        <f aca="false">SUM(AH647:AM647)</f>
        <v>0</v>
      </c>
      <c r="AO647" s="1"/>
      <c r="AP647" s="1"/>
      <c r="AQ647" s="1"/>
      <c r="AR647" s="1"/>
    </row>
    <row r="648" customFormat="false" ht="13.8" hidden="false" customHeight="false" outlineLevel="0" collapsed="false">
      <c r="A648" s="1" t="s">
        <v>822</v>
      </c>
      <c r="B648" s="1" t="n">
        <v>265</v>
      </c>
      <c r="C648" s="1" t="s">
        <v>747</v>
      </c>
      <c r="D648" s="1" t="s">
        <v>42</v>
      </c>
      <c r="E648" s="1" t="s">
        <v>748</v>
      </c>
      <c r="F648" s="1" t="n">
        <v>1</v>
      </c>
      <c r="G648" s="1" t="n">
        <v>1</v>
      </c>
      <c r="H648" s="1" t="n">
        <v>20</v>
      </c>
      <c r="I648" s="8" t="n">
        <v>469353</v>
      </c>
      <c r="J648" s="1" t="n">
        <v>3</v>
      </c>
      <c r="K648" s="1" t="s">
        <v>44</v>
      </c>
      <c r="L648" s="1" t="n">
        <v>2</v>
      </c>
      <c r="P648" s="1" t="n">
        <f aca="false">SUM(M648:O648)</f>
        <v>0</v>
      </c>
      <c r="W648" s="1" t="n">
        <f aca="false">SUM(Q648:V648)</f>
        <v>0</v>
      </c>
      <c r="AF648" s="9" t="n">
        <f aca="false">SUM(Z648:AE648)</f>
        <v>0</v>
      </c>
      <c r="AG648" s="10"/>
      <c r="AH648" s="11"/>
      <c r="AI648" s="11"/>
      <c r="AJ648" s="11"/>
      <c r="AK648" s="11"/>
      <c r="AL648" s="11"/>
      <c r="AM648" s="11"/>
      <c r="AN648" s="11" t="n">
        <f aca="false">SUM(AH648:AM648)</f>
        <v>0</v>
      </c>
      <c r="AO648" s="1"/>
      <c r="AP648" s="1"/>
      <c r="AQ648" s="1"/>
      <c r="AR648" s="1"/>
    </row>
    <row r="649" customFormat="false" ht="13.8" hidden="false" customHeight="false" outlineLevel="0" collapsed="false">
      <c r="A649" s="1" t="s">
        <v>823</v>
      </c>
      <c r="B649" s="1" t="n">
        <v>245</v>
      </c>
      <c r="C649" s="1" t="s">
        <v>747</v>
      </c>
      <c r="D649" s="1" t="s">
        <v>42</v>
      </c>
      <c r="E649" s="1" t="s">
        <v>748</v>
      </c>
      <c r="F649" s="1" t="n">
        <v>1</v>
      </c>
      <c r="G649" s="1" t="n">
        <v>1</v>
      </c>
      <c r="H649" s="1" t="n">
        <v>19</v>
      </c>
      <c r="I649" s="8" t="n">
        <v>762699</v>
      </c>
      <c r="J649" s="1" t="n">
        <v>3</v>
      </c>
      <c r="K649" s="1" t="s">
        <v>44</v>
      </c>
      <c r="L649" s="1" t="n">
        <v>2</v>
      </c>
      <c r="P649" s="1" t="n">
        <f aca="false">SUM(M649:O649)</f>
        <v>0</v>
      </c>
      <c r="W649" s="1" t="n">
        <f aca="false">SUM(Q649:V649)</f>
        <v>0</v>
      </c>
      <c r="AF649" s="9" t="n">
        <f aca="false">SUM(Z649:AE649)</f>
        <v>0</v>
      </c>
      <c r="AG649" s="10"/>
      <c r="AH649" s="11"/>
      <c r="AI649" s="11"/>
      <c r="AJ649" s="11"/>
      <c r="AK649" s="11"/>
      <c r="AL649" s="11"/>
      <c r="AM649" s="11"/>
      <c r="AN649" s="11" t="n">
        <f aca="false">SUM(AH649:AM649)</f>
        <v>0</v>
      </c>
      <c r="AO649" s="1"/>
      <c r="AP649" s="1"/>
      <c r="AQ649" s="1"/>
      <c r="AR649" s="1"/>
    </row>
    <row r="650" customFormat="false" ht="13.8" hidden="false" customHeight="false" outlineLevel="0" collapsed="false">
      <c r="A650" s="1" t="s">
        <v>824</v>
      </c>
      <c r="B650" s="1" t="n">
        <v>206</v>
      </c>
      <c r="C650" s="1" t="s">
        <v>747</v>
      </c>
      <c r="D650" s="1" t="s">
        <v>42</v>
      </c>
      <c r="E650" s="1" t="s">
        <v>748</v>
      </c>
      <c r="F650" s="1" t="n">
        <v>25</v>
      </c>
      <c r="G650" s="1" t="n">
        <v>1</v>
      </c>
      <c r="H650" s="1" t="n">
        <v>10</v>
      </c>
      <c r="I650" s="8" t="n">
        <v>1164583</v>
      </c>
      <c r="J650" s="1" t="n">
        <v>3</v>
      </c>
      <c r="K650" s="1" t="s">
        <v>96</v>
      </c>
      <c r="L650" s="1" t="n">
        <v>6</v>
      </c>
      <c r="O650" s="1" t="n">
        <v>2</v>
      </c>
      <c r="P650" s="1" t="n">
        <f aca="false">SUM(M650:O650)</f>
        <v>2</v>
      </c>
      <c r="W650" s="1" t="n">
        <f aca="false">SUM(Q650:V650)</f>
        <v>0</v>
      </c>
      <c r="X650" s="1" t="n">
        <v>8</v>
      </c>
      <c r="AF650" s="9" t="n">
        <f aca="false">SUM(Z650:AE650)</f>
        <v>0</v>
      </c>
      <c r="AG650" s="10"/>
      <c r="AH650" s="11"/>
      <c r="AI650" s="11"/>
      <c r="AJ650" s="11"/>
      <c r="AK650" s="11"/>
      <c r="AL650" s="11"/>
      <c r="AM650" s="11"/>
      <c r="AN650" s="11" t="n">
        <f aca="false">SUM(AH650:AM650)</f>
        <v>0</v>
      </c>
      <c r="AO650" s="1"/>
      <c r="AP650" s="1"/>
      <c r="AQ650" s="1"/>
      <c r="AR650" s="1"/>
    </row>
    <row r="651" customFormat="false" ht="13.8" hidden="false" customHeight="false" outlineLevel="0" collapsed="false">
      <c r="A651" s="1" t="s">
        <v>825</v>
      </c>
      <c r="B651" s="1" t="n">
        <v>219</v>
      </c>
      <c r="C651" s="1" t="s">
        <v>747</v>
      </c>
      <c r="D651" s="1" t="s">
        <v>42</v>
      </c>
      <c r="E651" s="1" t="s">
        <v>748</v>
      </c>
      <c r="F651" s="1" t="n">
        <v>50</v>
      </c>
      <c r="G651" s="1" t="n">
        <v>1</v>
      </c>
      <c r="H651" s="1" t="n">
        <v>25</v>
      </c>
      <c r="I651" s="8" t="n">
        <v>8346168</v>
      </c>
      <c r="J651" s="1" t="n">
        <v>4</v>
      </c>
      <c r="K651" s="1" t="s">
        <v>381</v>
      </c>
      <c r="L651" s="1" t="n">
        <v>12</v>
      </c>
      <c r="M651" s="1" t="n">
        <v>7</v>
      </c>
      <c r="O651" s="1" t="n">
        <v>3</v>
      </c>
      <c r="P651" s="1" t="n">
        <f aca="false">SUM(M651:O651)</f>
        <v>10</v>
      </c>
      <c r="U651" s="1" t="n">
        <v>16</v>
      </c>
      <c r="W651" s="1" t="n">
        <f aca="false">SUM(Q651:V651)</f>
        <v>16</v>
      </c>
      <c r="X651" s="1" t="n">
        <v>10</v>
      </c>
      <c r="AD651" s="9" t="n">
        <f aca="false">(U651)*(1+(J651)*0.2)</f>
        <v>28.8</v>
      </c>
      <c r="AF651" s="9" t="n">
        <f aca="false">SUM(Z651:AE651)</f>
        <v>28.8</v>
      </c>
      <c r="AG651" s="10" t="s">
        <v>47</v>
      </c>
      <c r="AH651" s="11"/>
      <c r="AI651" s="11"/>
      <c r="AJ651" s="11"/>
      <c r="AK651" s="11"/>
      <c r="AL651" s="11" t="n">
        <f aca="false">IF(AG651="yes",AD651*1.2,AD651)</f>
        <v>34.56</v>
      </c>
      <c r="AM651" s="11"/>
      <c r="AN651" s="11" t="n">
        <f aca="false">SUM(AH651:AM651)</f>
        <v>34.56</v>
      </c>
      <c r="AO651" s="1"/>
      <c r="AP651" s="1"/>
      <c r="AQ651" s="1"/>
      <c r="AR651" s="1"/>
    </row>
    <row r="652" customFormat="false" ht="13.8" hidden="false" customHeight="false" outlineLevel="0" collapsed="false">
      <c r="A652" s="1" t="s">
        <v>826</v>
      </c>
      <c r="B652" s="1" t="n">
        <v>194</v>
      </c>
      <c r="C652" s="1" t="s">
        <v>747</v>
      </c>
      <c r="D652" s="1" t="s">
        <v>42</v>
      </c>
      <c r="E652" s="1" t="s">
        <v>748</v>
      </c>
      <c r="F652" s="1" t="n">
        <v>1</v>
      </c>
      <c r="G652" s="1" t="n">
        <v>1</v>
      </c>
      <c r="H652" s="1" t="n">
        <v>10</v>
      </c>
      <c r="I652" s="8" t="n">
        <v>935773</v>
      </c>
      <c r="J652" s="1" t="n">
        <v>2</v>
      </c>
      <c r="K652" s="1" t="s">
        <v>44</v>
      </c>
      <c r="L652" s="1" t="n">
        <v>2</v>
      </c>
      <c r="P652" s="1" t="n">
        <f aca="false">SUM(M652:O652)</f>
        <v>0</v>
      </c>
      <c r="W652" s="1" t="n">
        <f aca="false">SUM(Q652:V652)</f>
        <v>0</v>
      </c>
      <c r="X652" s="1" t="n">
        <v>3</v>
      </c>
      <c r="AF652" s="9" t="n">
        <f aca="false">SUM(Z652:AE652)</f>
        <v>0</v>
      </c>
      <c r="AG652" s="10"/>
      <c r="AH652" s="11"/>
      <c r="AI652" s="11"/>
      <c r="AJ652" s="11"/>
      <c r="AK652" s="11"/>
      <c r="AL652" s="11"/>
      <c r="AM652" s="11"/>
      <c r="AN652" s="11" t="n">
        <f aca="false">SUM(AH652:AM652)</f>
        <v>0</v>
      </c>
      <c r="AO652" s="1"/>
      <c r="AP652" s="1"/>
      <c r="AQ652" s="1"/>
      <c r="AR652" s="1"/>
    </row>
    <row r="653" customFormat="false" ht="13.8" hidden="false" customHeight="false" outlineLevel="0" collapsed="false">
      <c r="A653" s="1" t="s">
        <v>827</v>
      </c>
      <c r="B653" s="1" t="n">
        <v>213</v>
      </c>
      <c r="C653" s="1" t="s">
        <v>747</v>
      </c>
      <c r="D653" s="1" t="s">
        <v>42</v>
      </c>
      <c r="E653" s="1" t="s">
        <v>748</v>
      </c>
      <c r="F653" s="1" t="n">
        <v>6</v>
      </c>
      <c r="G653" s="1" t="n">
        <v>1</v>
      </c>
      <c r="H653" s="1" t="n">
        <v>33</v>
      </c>
      <c r="I653" s="8" t="n">
        <v>276088</v>
      </c>
      <c r="J653" s="1" t="n">
        <v>1</v>
      </c>
      <c r="K653" s="1" t="s">
        <v>44</v>
      </c>
      <c r="L653" s="1" t="n">
        <v>2</v>
      </c>
      <c r="P653" s="1" t="n">
        <f aca="false">SUM(M653:O653)</f>
        <v>0</v>
      </c>
      <c r="U653" s="1" t="n">
        <v>14</v>
      </c>
      <c r="V653" s="1" t="n">
        <v>12</v>
      </c>
      <c r="W653" s="1" t="n">
        <f aca="false">SUM(Q653:V653)</f>
        <v>26</v>
      </c>
      <c r="X653" s="1" t="n">
        <v>2</v>
      </c>
      <c r="Y653" s="1" t="n">
        <v>4</v>
      </c>
      <c r="AA653" s="9"/>
      <c r="AD653" s="9" t="n">
        <f aca="false">(U653)*(1+(J653)*0.2)</f>
        <v>16.8</v>
      </c>
      <c r="AE653" s="9" t="n">
        <f aca="false">(V653)*(1+(J653)*0.2)</f>
        <v>14.4</v>
      </c>
      <c r="AF653" s="9" t="n">
        <f aca="false">SUM(Z653:AE653)</f>
        <v>31.2</v>
      </c>
      <c r="AG653" s="10" t="s">
        <v>47</v>
      </c>
      <c r="AH653" s="11"/>
      <c r="AI653" s="11"/>
      <c r="AJ653" s="11"/>
      <c r="AK653" s="11"/>
      <c r="AL653" s="11" t="n">
        <f aca="false">IF(AG653="yes",AD653*1.2,AD653)</f>
        <v>20.16</v>
      </c>
      <c r="AM653" s="11" t="n">
        <f aca="false">IF(AG653="yes",AE653*1.2,AE653)</f>
        <v>17.28</v>
      </c>
      <c r="AN653" s="11" t="n">
        <f aca="false">SUM(AH653:AM653)</f>
        <v>37.44</v>
      </c>
      <c r="AO653" s="1"/>
      <c r="AP653" s="1"/>
      <c r="AQ653" s="1"/>
      <c r="AR653" s="1"/>
    </row>
    <row r="654" customFormat="false" ht="13.8" hidden="false" customHeight="false" outlineLevel="0" collapsed="false">
      <c r="A654" s="1" t="s">
        <v>828</v>
      </c>
      <c r="B654" s="1" t="n">
        <v>197</v>
      </c>
      <c r="C654" s="1" t="s">
        <v>747</v>
      </c>
      <c r="D654" s="1" t="s">
        <v>42</v>
      </c>
      <c r="E654" s="1" t="s">
        <v>748</v>
      </c>
      <c r="F654" s="1" t="n">
        <v>3</v>
      </c>
      <c r="G654" s="1" t="n">
        <v>1</v>
      </c>
      <c r="H654" s="1" t="n">
        <v>8</v>
      </c>
      <c r="I654" s="8" t="n">
        <v>897405</v>
      </c>
      <c r="J654" s="1" t="n">
        <v>3</v>
      </c>
      <c r="K654" s="1" t="s">
        <v>44</v>
      </c>
      <c r="L654" s="1" t="n">
        <v>2</v>
      </c>
      <c r="N654" s="1" t="n">
        <v>1</v>
      </c>
      <c r="P654" s="1" t="n">
        <f aca="false">SUM(M654:O654)</f>
        <v>1</v>
      </c>
      <c r="W654" s="1" t="n">
        <f aca="false">SUM(Q654:V654)</f>
        <v>0</v>
      </c>
      <c r="AF654" s="9" t="n">
        <f aca="false">SUM(Z654:AE654)</f>
        <v>0</v>
      </c>
      <c r="AG654" s="10"/>
      <c r="AH654" s="11"/>
      <c r="AI654" s="11"/>
      <c r="AJ654" s="11"/>
      <c r="AK654" s="11"/>
      <c r="AL654" s="11"/>
      <c r="AM654" s="11"/>
      <c r="AN654" s="11" t="n">
        <f aca="false">SUM(AH654:AM654)</f>
        <v>0</v>
      </c>
      <c r="AO654" s="1"/>
      <c r="AP654" s="1"/>
      <c r="AQ654" s="1"/>
      <c r="AR654" s="1"/>
    </row>
    <row r="655" customFormat="false" ht="13.8" hidden="false" customHeight="false" outlineLevel="0" collapsed="false">
      <c r="A655" s="1" t="s">
        <v>829</v>
      </c>
      <c r="B655" s="1" t="n">
        <v>585</v>
      </c>
      <c r="C655" s="1" t="s">
        <v>747</v>
      </c>
      <c r="D655" s="1" t="s">
        <v>42</v>
      </c>
      <c r="E655" s="1" t="s">
        <v>748</v>
      </c>
      <c r="F655" s="1" t="n">
        <v>1</v>
      </c>
      <c r="G655" s="1" t="n">
        <v>1</v>
      </c>
      <c r="H655" s="1" t="n">
        <v>6</v>
      </c>
      <c r="I655" s="8" t="n">
        <v>465742</v>
      </c>
      <c r="J655" s="1" t="n">
        <v>2</v>
      </c>
      <c r="K655" s="1" t="s">
        <v>44</v>
      </c>
      <c r="L655" s="1" t="n">
        <v>2</v>
      </c>
      <c r="P655" s="1" t="n">
        <f aca="false">SUM(M655:O655)</f>
        <v>0</v>
      </c>
      <c r="W655" s="1" t="n">
        <f aca="false">SUM(Q655:V655)</f>
        <v>0</v>
      </c>
      <c r="AF655" s="9" t="n">
        <f aca="false">SUM(Z655:AE655)</f>
        <v>0</v>
      </c>
      <c r="AG655" s="10"/>
      <c r="AH655" s="11"/>
      <c r="AI655" s="11"/>
      <c r="AJ655" s="11"/>
      <c r="AK655" s="11"/>
      <c r="AL655" s="11"/>
      <c r="AM655" s="11"/>
      <c r="AN655" s="11" t="n">
        <f aca="false">SUM(AH655:AM655)</f>
        <v>0</v>
      </c>
      <c r="AO655" s="1"/>
      <c r="AP655" s="1"/>
      <c r="AQ655" s="1"/>
      <c r="AR655" s="1"/>
    </row>
    <row r="656" customFormat="false" ht="13.8" hidden="false" customHeight="false" outlineLevel="0" collapsed="false">
      <c r="A656" s="1" t="s">
        <v>830</v>
      </c>
      <c r="B656" s="1" t="n">
        <v>825</v>
      </c>
      <c r="C656" s="1" t="s">
        <v>747</v>
      </c>
      <c r="D656" s="1" t="s">
        <v>42</v>
      </c>
      <c r="E656" s="1" t="s">
        <v>748</v>
      </c>
      <c r="F656" s="1" t="n">
        <v>1</v>
      </c>
      <c r="G656" s="1" t="n">
        <v>1</v>
      </c>
      <c r="H656" s="1" t="n">
        <v>10</v>
      </c>
      <c r="I656" s="8" t="n">
        <v>21822</v>
      </c>
      <c r="J656" s="1" t="n">
        <v>1</v>
      </c>
      <c r="K656" s="1" t="s">
        <v>44</v>
      </c>
      <c r="L656" s="1" t="n">
        <v>2</v>
      </c>
      <c r="P656" s="1" t="n">
        <f aca="false">SUM(M656:O656)</f>
        <v>0</v>
      </c>
      <c r="Q656" s="1" t="n">
        <v>7</v>
      </c>
      <c r="W656" s="1" t="n">
        <f aca="false">SUM(Q656:V656)</f>
        <v>7</v>
      </c>
      <c r="Y656" s="1" t="n">
        <v>1</v>
      </c>
      <c r="Z656" s="9" t="n">
        <f aca="false">(Q656)*(1+(J656)*0.2)</f>
        <v>8.4</v>
      </c>
      <c r="AC656" s="9"/>
      <c r="AD656" s="9"/>
      <c r="AF656" s="9" t="n">
        <f aca="false">SUM(Z656:AE656)</f>
        <v>8.4</v>
      </c>
      <c r="AG656" s="10" t="s">
        <v>47</v>
      </c>
      <c r="AH656" s="11" t="n">
        <f aca="false">IF(AG656="yes",Z656*1.2,Z656)</f>
        <v>10.08</v>
      </c>
      <c r="AI656" s="11"/>
      <c r="AJ656" s="11"/>
      <c r="AK656" s="11"/>
      <c r="AL656" s="11"/>
      <c r="AM656" s="11"/>
      <c r="AN656" s="11" t="n">
        <f aca="false">SUM(AH656:AM656)</f>
        <v>10.08</v>
      </c>
      <c r="AO656" s="1"/>
      <c r="AP656" s="1"/>
      <c r="AQ656" s="1"/>
      <c r="AR656" s="1"/>
    </row>
    <row r="657" customFormat="false" ht="13.8" hidden="false" customHeight="false" outlineLevel="0" collapsed="false">
      <c r="A657" s="1" t="s">
        <v>831</v>
      </c>
      <c r="B657" s="1" t="n">
        <v>210</v>
      </c>
      <c r="C657" s="1" t="s">
        <v>747</v>
      </c>
      <c r="D657" s="1" t="s">
        <v>42</v>
      </c>
      <c r="E657" s="1" t="s">
        <v>748</v>
      </c>
      <c r="F657" s="1" t="n">
        <v>1</v>
      </c>
      <c r="G657" s="1" t="n">
        <v>1</v>
      </c>
      <c r="H657" s="1" t="n">
        <v>13</v>
      </c>
      <c r="I657" s="8" t="n">
        <v>831146</v>
      </c>
      <c r="J657" s="1" t="n">
        <v>3</v>
      </c>
      <c r="K657" s="1" t="s">
        <v>44</v>
      </c>
      <c r="L657" s="1" t="n">
        <v>2</v>
      </c>
      <c r="P657" s="1" t="n">
        <f aca="false">SUM(M657:O657)</f>
        <v>0</v>
      </c>
      <c r="W657" s="1" t="n">
        <f aca="false">SUM(Q657:V657)</f>
        <v>0</v>
      </c>
      <c r="AB657" s="9"/>
      <c r="AF657" s="9" t="n">
        <f aca="false">SUM(Z657:AE657)</f>
        <v>0</v>
      </c>
      <c r="AG657" s="10"/>
      <c r="AH657" s="11"/>
      <c r="AI657" s="11"/>
      <c r="AJ657" s="11"/>
      <c r="AK657" s="11"/>
      <c r="AL657" s="11"/>
      <c r="AM657" s="11"/>
      <c r="AN657" s="11" t="n">
        <f aca="false">SUM(AH657:AM657)</f>
        <v>0</v>
      </c>
      <c r="AO657" s="1"/>
      <c r="AP657" s="1"/>
      <c r="AQ657" s="1"/>
      <c r="AR657" s="1"/>
    </row>
    <row r="658" customFormat="false" ht="13.8" hidden="false" customHeight="false" outlineLevel="0" collapsed="false">
      <c r="A658" s="1" t="s">
        <v>832</v>
      </c>
      <c r="B658" s="1" t="n">
        <v>560</v>
      </c>
      <c r="C658" s="1" t="s">
        <v>747</v>
      </c>
      <c r="D658" s="1" t="s">
        <v>42</v>
      </c>
      <c r="E658" s="1" t="s">
        <v>748</v>
      </c>
      <c r="G658" s="1" t="n">
        <v>1</v>
      </c>
      <c r="H658" s="1" t="n">
        <v>16</v>
      </c>
      <c r="I658" s="8" t="n">
        <v>97782</v>
      </c>
      <c r="J658" s="1" t="n">
        <v>2</v>
      </c>
      <c r="K658" s="1" t="s">
        <v>44</v>
      </c>
      <c r="L658" s="1" t="n">
        <v>2</v>
      </c>
      <c r="P658" s="1" t="n">
        <f aca="false">SUM(M658:O658)</f>
        <v>0</v>
      </c>
      <c r="U658" s="1" t="n">
        <v>18</v>
      </c>
      <c r="W658" s="1" t="n">
        <f aca="false">SUM(Q658:V658)</f>
        <v>18</v>
      </c>
      <c r="AD658" s="9" t="n">
        <f aca="false">(U658)*(1+(J658)*0.2)</f>
        <v>25.2</v>
      </c>
      <c r="AF658" s="9" t="n">
        <f aca="false">SUM(Z658:AE658)</f>
        <v>25.2</v>
      </c>
      <c r="AG658" s="10" t="s">
        <v>53</v>
      </c>
      <c r="AH658" s="11"/>
      <c r="AI658" s="11"/>
      <c r="AJ658" s="11"/>
      <c r="AK658" s="11"/>
      <c r="AL658" s="11" t="n">
        <f aca="false">IF(AG658="yes",AD658*1.2,AD658)</f>
        <v>25.2</v>
      </c>
      <c r="AM658" s="11"/>
      <c r="AN658" s="11" t="n">
        <f aca="false">SUM(AH658:AM658)</f>
        <v>25.2</v>
      </c>
      <c r="AO658" s="1"/>
      <c r="AP658" s="1"/>
      <c r="AQ658" s="1"/>
      <c r="AR658" s="1"/>
    </row>
    <row r="659" customFormat="false" ht="13.8" hidden="false" customHeight="false" outlineLevel="0" collapsed="false">
      <c r="A659" s="1" t="s">
        <v>833</v>
      </c>
      <c r="B659" s="1" t="n">
        <v>828</v>
      </c>
      <c r="C659" s="1" t="s">
        <v>747</v>
      </c>
      <c r="D659" s="1" t="s">
        <v>42</v>
      </c>
      <c r="E659" s="1" t="s">
        <v>748</v>
      </c>
      <c r="F659" s="1" t="n">
        <v>3</v>
      </c>
      <c r="G659" s="1" t="n">
        <v>1</v>
      </c>
      <c r="H659" s="1" t="n">
        <v>3</v>
      </c>
      <c r="I659" s="8" t="n">
        <v>388464</v>
      </c>
      <c r="J659" s="1" t="n">
        <v>2</v>
      </c>
      <c r="K659" s="1" t="s">
        <v>44</v>
      </c>
      <c r="L659" s="1" t="n">
        <v>2</v>
      </c>
      <c r="P659" s="1" t="n">
        <f aca="false">SUM(M659:O659)</f>
        <v>0</v>
      </c>
      <c r="V659" s="1" t="n">
        <v>8</v>
      </c>
      <c r="W659" s="1" t="n">
        <f aca="false">SUM(Q659:V659)</f>
        <v>8</v>
      </c>
      <c r="AE659" s="9" t="n">
        <f aca="false">(V659)*(1+(J659)*0.2)</f>
        <v>11.2</v>
      </c>
      <c r="AF659" s="9" t="n">
        <f aca="false">SUM(Z659:AE659)</f>
        <v>11.2</v>
      </c>
      <c r="AG659" s="10" t="s">
        <v>53</v>
      </c>
      <c r="AH659" s="11"/>
      <c r="AI659" s="11"/>
      <c r="AJ659" s="11"/>
      <c r="AK659" s="11"/>
      <c r="AL659" s="11"/>
      <c r="AM659" s="11" t="n">
        <f aca="false">IF(AG659="yes",AE659*1.2,AE659)</f>
        <v>11.2</v>
      </c>
      <c r="AN659" s="11" t="n">
        <f aca="false">SUM(AH659:AM659)</f>
        <v>11.2</v>
      </c>
      <c r="AO659" s="1"/>
      <c r="AP659" s="1"/>
      <c r="AQ659" s="1"/>
      <c r="AR659" s="1"/>
    </row>
    <row r="660" customFormat="false" ht="13.8" hidden="false" customHeight="false" outlineLevel="0" collapsed="false">
      <c r="A660" s="1" t="s">
        <v>834</v>
      </c>
      <c r="B660" s="1" t="n">
        <v>655</v>
      </c>
      <c r="C660" s="1" t="s">
        <v>747</v>
      </c>
      <c r="D660" s="1" t="s">
        <v>42</v>
      </c>
      <c r="E660" s="1" t="s">
        <v>748</v>
      </c>
      <c r="G660" s="1" t="n">
        <v>1</v>
      </c>
      <c r="H660" s="1" t="n">
        <v>3</v>
      </c>
      <c r="I660" s="8" t="n">
        <v>94875</v>
      </c>
      <c r="J660" s="1" t="n">
        <v>2</v>
      </c>
      <c r="K660" s="1" t="s">
        <v>51</v>
      </c>
      <c r="L660" s="1" t="n">
        <v>1</v>
      </c>
      <c r="P660" s="1" t="n">
        <f aca="false">SUM(M660:O660)</f>
        <v>0</v>
      </c>
      <c r="W660" s="1" t="n">
        <f aca="false">SUM(Q660:V660)</f>
        <v>0</v>
      </c>
      <c r="X660" s="1" t="n">
        <v>1</v>
      </c>
      <c r="AF660" s="9" t="n">
        <f aca="false">SUM(Z660:AE660)</f>
        <v>0</v>
      </c>
      <c r="AG660" s="10"/>
      <c r="AH660" s="11"/>
      <c r="AI660" s="11"/>
      <c r="AJ660" s="11"/>
      <c r="AK660" s="11"/>
      <c r="AL660" s="11"/>
      <c r="AM660" s="11"/>
      <c r="AN660" s="11" t="n">
        <f aca="false">SUM(AH660:AM660)</f>
        <v>0</v>
      </c>
      <c r="AO660" s="1"/>
      <c r="AP660" s="1"/>
      <c r="AQ660" s="1"/>
      <c r="AR660" s="1"/>
    </row>
    <row r="661" customFormat="false" ht="13.8" hidden="false" customHeight="false" outlineLevel="0" collapsed="false">
      <c r="A661" s="1" t="s">
        <v>835</v>
      </c>
      <c r="B661" s="1" t="n">
        <v>581</v>
      </c>
      <c r="C661" s="1" t="s">
        <v>747</v>
      </c>
      <c r="D661" s="1" t="s">
        <v>42</v>
      </c>
      <c r="E661" s="1" t="s">
        <v>748</v>
      </c>
      <c r="G661" s="1" t="n">
        <v>1</v>
      </c>
      <c r="H661" s="1" t="n">
        <v>5</v>
      </c>
      <c r="I661" s="8" t="n">
        <v>48891</v>
      </c>
      <c r="J661" s="1" t="n">
        <v>1</v>
      </c>
      <c r="K661" s="1" t="s">
        <v>51</v>
      </c>
      <c r="L661" s="1" t="n">
        <v>1</v>
      </c>
      <c r="P661" s="1" t="n">
        <f aca="false">SUM(M661:O661)</f>
        <v>0</v>
      </c>
      <c r="R661" s="1" t="n">
        <v>27</v>
      </c>
      <c r="V661" s="1" t="n">
        <v>40</v>
      </c>
      <c r="W661" s="1" t="n">
        <f aca="false">SUM(Q661:V661)</f>
        <v>67</v>
      </c>
      <c r="AA661" s="9" t="n">
        <f aca="false">(R661)*(1+(J661)*0.2)</f>
        <v>32.4</v>
      </c>
      <c r="AE661" s="9" t="n">
        <f aca="false">(V661)*(1+(J661)*0.2)</f>
        <v>48</v>
      </c>
      <c r="AF661" s="9" t="n">
        <f aca="false">SUM(Z661:AE661)</f>
        <v>80.4</v>
      </c>
      <c r="AG661" s="10" t="s">
        <v>53</v>
      </c>
      <c r="AH661" s="11"/>
      <c r="AI661" s="11" t="n">
        <f aca="false">IF(AG661="yes",AA661*1.2,AA661)</f>
        <v>32.4</v>
      </c>
      <c r="AJ661" s="11"/>
      <c r="AK661" s="11"/>
      <c r="AL661" s="11"/>
      <c r="AM661" s="11" t="n">
        <f aca="false">IF(AG661="yes",AE661*1.2,AE661)</f>
        <v>48</v>
      </c>
      <c r="AN661" s="11" t="n">
        <f aca="false">SUM(AH661:AM661)</f>
        <v>80.4</v>
      </c>
      <c r="AO661" s="1"/>
      <c r="AP661" s="1"/>
      <c r="AQ661" s="1"/>
      <c r="AR661" s="1"/>
    </row>
    <row r="662" customFormat="false" ht="13.8" hidden="false" customHeight="false" outlineLevel="0" collapsed="false">
      <c r="A662" s="1" t="s">
        <v>836</v>
      </c>
      <c r="B662" s="1" t="n">
        <v>263</v>
      </c>
      <c r="C662" s="1" t="s">
        <v>747</v>
      </c>
      <c r="D662" s="1" t="s">
        <v>42</v>
      </c>
      <c r="E662" s="1" t="s">
        <v>748</v>
      </c>
      <c r="F662" s="1" t="n">
        <v>5</v>
      </c>
      <c r="G662" s="1" t="n">
        <v>1</v>
      </c>
      <c r="H662" s="1" t="n">
        <v>14</v>
      </c>
      <c r="I662" s="8" t="n">
        <v>1093911</v>
      </c>
      <c r="J662" s="1" t="n">
        <v>3</v>
      </c>
      <c r="K662" s="1" t="s">
        <v>46</v>
      </c>
      <c r="L662" s="1" t="n">
        <v>4</v>
      </c>
      <c r="P662" s="1" t="n">
        <f aca="false">SUM(M662:O662)</f>
        <v>0</v>
      </c>
      <c r="W662" s="1" t="n">
        <f aca="false">SUM(Q662:V662)</f>
        <v>0</v>
      </c>
      <c r="X662" s="1" t="n">
        <v>2</v>
      </c>
      <c r="AF662" s="9" t="n">
        <f aca="false">SUM(Z662:AE662)</f>
        <v>0</v>
      </c>
      <c r="AG662" s="10"/>
      <c r="AH662" s="11"/>
      <c r="AI662" s="11"/>
      <c r="AJ662" s="11"/>
      <c r="AK662" s="11"/>
      <c r="AL662" s="11"/>
      <c r="AM662" s="11"/>
      <c r="AN662" s="11" t="n">
        <f aca="false">SUM(AH662:AM662)</f>
        <v>0</v>
      </c>
      <c r="AO662" s="1"/>
      <c r="AP662" s="1"/>
      <c r="AQ662" s="1"/>
      <c r="AR662" s="1"/>
    </row>
    <row r="663" customFormat="false" ht="13.8" hidden="false" customHeight="false" outlineLevel="0" collapsed="false">
      <c r="A663" s="1" t="s">
        <v>837</v>
      </c>
      <c r="B663" s="1" t="n">
        <v>570</v>
      </c>
      <c r="C663" s="1" t="s">
        <v>747</v>
      </c>
      <c r="D663" s="1" t="s">
        <v>42</v>
      </c>
      <c r="E663" s="1" t="s">
        <v>748</v>
      </c>
      <c r="F663" s="1" t="n">
        <v>3</v>
      </c>
      <c r="G663" s="1" t="n">
        <v>1</v>
      </c>
      <c r="H663" s="1" t="n">
        <v>16</v>
      </c>
      <c r="I663" s="8" t="n">
        <v>1767524</v>
      </c>
      <c r="J663" s="1" t="n">
        <v>2</v>
      </c>
      <c r="K663" s="1" t="s">
        <v>46</v>
      </c>
      <c r="L663" s="1" t="n">
        <v>4</v>
      </c>
      <c r="O663" s="1" t="n">
        <v>2</v>
      </c>
      <c r="P663" s="1" t="n">
        <f aca="false">SUM(M663:O663)</f>
        <v>2</v>
      </c>
      <c r="W663" s="1" t="n">
        <f aca="false">SUM(Q663:V663)</f>
        <v>0</v>
      </c>
      <c r="X663" s="1" t="n">
        <v>1</v>
      </c>
      <c r="AF663" s="9" t="n">
        <f aca="false">SUM(Z663:AE663)</f>
        <v>0</v>
      </c>
      <c r="AG663" s="10"/>
      <c r="AH663" s="11"/>
      <c r="AI663" s="11"/>
      <c r="AJ663" s="11"/>
      <c r="AK663" s="11"/>
      <c r="AL663" s="11"/>
      <c r="AM663" s="11"/>
      <c r="AN663" s="11" t="n">
        <f aca="false">SUM(AH663:AM663)</f>
        <v>0</v>
      </c>
      <c r="AO663" s="1"/>
      <c r="AP663" s="1"/>
      <c r="AQ663" s="1"/>
      <c r="AR663" s="1"/>
    </row>
    <row r="664" customFormat="false" ht="13.8" hidden="false" customHeight="false" outlineLevel="0" collapsed="false">
      <c r="A664" s="1" t="s">
        <v>838</v>
      </c>
      <c r="B664" s="1" t="n">
        <v>192</v>
      </c>
      <c r="C664" s="1" t="s">
        <v>747</v>
      </c>
      <c r="D664" s="1" t="s">
        <v>42</v>
      </c>
      <c r="E664" s="1" t="s">
        <v>748</v>
      </c>
      <c r="F664" s="1" t="n">
        <v>10</v>
      </c>
      <c r="G664" s="1" t="n">
        <v>1</v>
      </c>
      <c r="H664" s="1" t="n">
        <v>6</v>
      </c>
      <c r="I664" s="8" t="n">
        <v>1287808</v>
      </c>
      <c r="J664" s="1" t="n">
        <v>3</v>
      </c>
      <c r="K664" s="1" t="s">
        <v>96</v>
      </c>
      <c r="L664" s="1" t="n">
        <v>6</v>
      </c>
      <c r="O664" s="1" t="n">
        <v>1</v>
      </c>
      <c r="P664" s="1" t="n">
        <f aca="false">SUM(M664:O664)</f>
        <v>1</v>
      </c>
      <c r="W664" s="1" t="n">
        <f aca="false">SUM(Q664:V664)</f>
        <v>0</v>
      </c>
      <c r="X664" s="1" t="n">
        <v>6</v>
      </c>
      <c r="Y664" s="1" t="n">
        <v>3</v>
      </c>
      <c r="AF664" s="9" t="n">
        <f aca="false">SUM(Z664:AE664)</f>
        <v>0</v>
      </c>
      <c r="AG664" s="10"/>
      <c r="AH664" s="11"/>
      <c r="AI664" s="11"/>
      <c r="AJ664" s="11"/>
      <c r="AK664" s="11"/>
      <c r="AL664" s="11"/>
      <c r="AM664" s="11"/>
      <c r="AN664" s="11" t="n">
        <f aca="false">SUM(AH664:AM664)</f>
        <v>0</v>
      </c>
      <c r="AO664" s="1"/>
      <c r="AP664" s="1"/>
      <c r="AQ664" s="1"/>
      <c r="AR664" s="1"/>
    </row>
    <row r="665" customFormat="false" ht="13.8" hidden="false" customHeight="false" outlineLevel="0" collapsed="false">
      <c r="A665" s="1" t="s">
        <v>839</v>
      </c>
      <c r="B665" s="1" t="n">
        <v>562</v>
      </c>
      <c r="C665" s="1" t="s">
        <v>747</v>
      </c>
      <c r="D665" s="1" t="s">
        <v>42</v>
      </c>
      <c r="E665" s="1" t="s">
        <v>748</v>
      </c>
      <c r="G665" s="1" t="n">
        <v>1</v>
      </c>
      <c r="H665" s="1" t="n">
        <v>11</v>
      </c>
      <c r="I665" s="8" t="n">
        <v>63557</v>
      </c>
      <c r="J665" s="1" t="n">
        <v>1</v>
      </c>
      <c r="K665" s="1" t="s">
        <v>51</v>
      </c>
      <c r="L665" s="1" t="n">
        <v>1</v>
      </c>
      <c r="P665" s="1" t="n">
        <f aca="false">SUM(M665:O665)</f>
        <v>0</v>
      </c>
      <c r="W665" s="1" t="n">
        <f aca="false">SUM(Q665:V665)</f>
        <v>0</v>
      </c>
      <c r="AF665" s="9" t="n">
        <f aca="false">SUM(Z665:AE665)</f>
        <v>0</v>
      </c>
      <c r="AG665" s="10"/>
      <c r="AH665" s="11"/>
      <c r="AI665" s="11"/>
      <c r="AJ665" s="11"/>
      <c r="AK665" s="11"/>
      <c r="AL665" s="11"/>
      <c r="AM665" s="11"/>
      <c r="AN665" s="11" t="n">
        <f aca="false">SUM(AH665:AM665)</f>
        <v>0</v>
      </c>
      <c r="AO665" s="1"/>
      <c r="AP665" s="1"/>
      <c r="AQ665" s="1"/>
      <c r="AR665" s="1"/>
    </row>
    <row r="666" customFormat="false" ht="13.8" hidden="false" customHeight="false" outlineLevel="0" collapsed="false">
      <c r="A666" s="1" t="s">
        <v>840</v>
      </c>
      <c r="B666" s="1" t="n">
        <v>216</v>
      </c>
      <c r="C666" s="1" t="s">
        <v>747</v>
      </c>
      <c r="D666" s="1" t="s">
        <v>42</v>
      </c>
      <c r="E666" s="1" t="s">
        <v>748</v>
      </c>
      <c r="F666" s="1" t="n">
        <v>1</v>
      </c>
      <c r="G666" s="1" t="n">
        <v>1</v>
      </c>
      <c r="H666" s="1" t="n">
        <v>22</v>
      </c>
      <c r="I666" s="8" t="n">
        <v>229844</v>
      </c>
      <c r="J666" s="1" t="n">
        <v>2</v>
      </c>
      <c r="K666" s="1" t="s">
        <v>44</v>
      </c>
      <c r="L666" s="1" t="n">
        <v>2</v>
      </c>
      <c r="P666" s="1" t="n">
        <f aca="false">SUM(M666:O666)</f>
        <v>0</v>
      </c>
      <c r="W666" s="1" t="n">
        <f aca="false">SUM(Q666:V666)</f>
        <v>0</v>
      </c>
      <c r="X666" s="1" t="n">
        <v>3</v>
      </c>
      <c r="AF666" s="9" t="n">
        <f aca="false">SUM(Z666:AE666)</f>
        <v>0</v>
      </c>
      <c r="AG666" s="10"/>
      <c r="AH666" s="11"/>
      <c r="AI666" s="11"/>
      <c r="AJ666" s="11"/>
      <c r="AK666" s="11"/>
      <c r="AL666" s="11"/>
      <c r="AM666" s="11"/>
      <c r="AN666" s="11" t="n">
        <f aca="false">SUM(AH666:AM666)</f>
        <v>0</v>
      </c>
      <c r="AO666" s="1"/>
      <c r="AP666" s="1"/>
      <c r="AQ666" s="1"/>
      <c r="AR666" s="1"/>
    </row>
    <row r="667" customFormat="false" ht="13.8" hidden="false" customHeight="false" outlineLevel="0" collapsed="false">
      <c r="A667" s="1" t="s">
        <v>841</v>
      </c>
      <c r="B667" s="1" t="n">
        <v>571</v>
      </c>
      <c r="C667" s="1" t="s">
        <v>747</v>
      </c>
      <c r="D667" s="1" t="s">
        <v>42</v>
      </c>
      <c r="E667" s="1" t="s">
        <v>748</v>
      </c>
      <c r="F667" s="1" t="n">
        <v>3</v>
      </c>
      <c r="G667" s="1" t="n">
        <v>1</v>
      </c>
      <c r="H667" s="1" t="n">
        <v>11</v>
      </c>
      <c r="I667" s="8" t="n">
        <v>1318765</v>
      </c>
      <c r="J667" s="1" t="n">
        <v>2</v>
      </c>
      <c r="K667" s="1" t="s">
        <v>46</v>
      </c>
      <c r="L667" s="1" t="n">
        <v>4</v>
      </c>
      <c r="M667" s="1" t="n">
        <v>1</v>
      </c>
      <c r="P667" s="1" t="n">
        <f aca="false">SUM(M667:O667)</f>
        <v>1</v>
      </c>
      <c r="W667" s="1" t="n">
        <f aca="false">SUM(Q667:V667)</f>
        <v>0</v>
      </c>
      <c r="AF667" s="9" t="n">
        <f aca="false">SUM(Z667:AE667)</f>
        <v>0</v>
      </c>
      <c r="AG667" s="10"/>
      <c r="AH667" s="11"/>
      <c r="AI667" s="11"/>
      <c r="AJ667" s="11"/>
      <c r="AK667" s="11"/>
      <c r="AL667" s="11"/>
      <c r="AM667" s="11"/>
      <c r="AN667" s="11" t="n">
        <f aca="false">SUM(AH667:AM667)</f>
        <v>0</v>
      </c>
      <c r="AO667" s="1"/>
      <c r="AP667" s="1"/>
      <c r="AQ667" s="1"/>
      <c r="AR667" s="1"/>
    </row>
    <row r="668" customFormat="false" ht="13.8" hidden="false" customHeight="false" outlineLevel="0" collapsed="false">
      <c r="A668" s="1" t="s">
        <v>842</v>
      </c>
      <c r="B668" s="1" t="n">
        <v>215</v>
      </c>
      <c r="C668" s="1" t="s">
        <v>747</v>
      </c>
      <c r="D668" s="1" t="s">
        <v>42</v>
      </c>
      <c r="E668" s="1" t="s">
        <v>748</v>
      </c>
      <c r="G668" s="1" t="n">
        <v>1</v>
      </c>
      <c r="H668" s="1" t="n">
        <v>37</v>
      </c>
      <c r="I668" s="8" t="n">
        <v>215120</v>
      </c>
      <c r="J668" s="1" t="n">
        <v>2</v>
      </c>
      <c r="K668" s="1" t="s">
        <v>44</v>
      </c>
      <c r="L668" s="1" t="n">
        <v>2</v>
      </c>
      <c r="P668" s="1" t="n">
        <f aca="false">SUM(M668:O668)</f>
        <v>0</v>
      </c>
      <c r="U668" s="1" t="n">
        <v>30</v>
      </c>
      <c r="W668" s="1" t="n">
        <f aca="false">SUM(Q668:V668)</f>
        <v>30</v>
      </c>
      <c r="AD668" s="9" t="n">
        <f aca="false">(U668)*(1+(J668)*0.2)</f>
        <v>42</v>
      </c>
      <c r="AF668" s="9" t="n">
        <f aca="false">SUM(Z668:AE668)</f>
        <v>42</v>
      </c>
      <c r="AG668" s="10" t="s">
        <v>47</v>
      </c>
      <c r="AH668" s="11"/>
      <c r="AI668" s="11"/>
      <c r="AJ668" s="11"/>
      <c r="AK668" s="11"/>
      <c r="AL668" s="11" t="n">
        <f aca="false">IF(AG668="yes",AD668*1.2,AD668)</f>
        <v>50.4</v>
      </c>
      <c r="AM668" s="11"/>
      <c r="AN668" s="11" t="n">
        <f aca="false">SUM(AH668:AM668)</f>
        <v>50.4</v>
      </c>
      <c r="AO668" s="1"/>
      <c r="AP668" s="1"/>
      <c r="AQ668" s="1"/>
      <c r="AR668" s="1"/>
    </row>
    <row r="669" customFormat="false" ht="13.8" hidden="false" customHeight="false" outlineLevel="0" collapsed="false">
      <c r="A669" s="1" t="s">
        <v>843</v>
      </c>
      <c r="B669" s="1" t="n">
        <v>222</v>
      </c>
      <c r="C669" s="1" t="s">
        <v>747</v>
      </c>
      <c r="D669" s="1" t="s">
        <v>42</v>
      </c>
      <c r="E669" s="1" t="s">
        <v>748</v>
      </c>
      <c r="F669" s="1" t="n">
        <v>10</v>
      </c>
      <c r="G669" s="1" t="n">
        <v>1</v>
      </c>
      <c r="H669" s="1" t="n">
        <v>13</v>
      </c>
      <c r="I669" s="8" t="n">
        <v>1220095</v>
      </c>
      <c r="J669" s="1" t="n">
        <v>3</v>
      </c>
      <c r="K669" s="1" t="s">
        <v>44</v>
      </c>
      <c r="L669" s="1" t="n">
        <v>2</v>
      </c>
      <c r="O669" s="1" t="n">
        <v>1</v>
      </c>
      <c r="P669" s="1" t="n">
        <f aca="false">SUM(M669:O669)</f>
        <v>1</v>
      </c>
      <c r="U669" s="1" t="n">
        <v>40</v>
      </c>
      <c r="V669" s="1" t="n">
        <v>8</v>
      </c>
      <c r="W669" s="1" t="n">
        <f aca="false">SUM(Q669:V669)</f>
        <v>48</v>
      </c>
      <c r="X669" s="1" t="n">
        <v>4</v>
      </c>
      <c r="AD669" s="9" t="n">
        <f aca="false">(U669)*(1+(J669)*0.2)</f>
        <v>64</v>
      </c>
      <c r="AE669" s="9" t="n">
        <f aca="false">(V669)*(1+(J669)*0.2)</f>
        <v>12.8</v>
      </c>
      <c r="AF669" s="9" t="n">
        <f aca="false">SUM(Z669:AE669)</f>
        <v>76.8</v>
      </c>
      <c r="AG669" s="10" t="s">
        <v>47</v>
      </c>
      <c r="AH669" s="11"/>
      <c r="AI669" s="11"/>
      <c r="AJ669" s="11"/>
      <c r="AK669" s="11"/>
      <c r="AL669" s="11" t="n">
        <f aca="false">IF(AG669="yes",AD669*1.2,AD669)</f>
        <v>76.8</v>
      </c>
      <c r="AM669" s="11" t="n">
        <f aca="false">IF(AG669="yes",AE669*1.2,AE669)</f>
        <v>15.36</v>
      </c>
      <c r="AN669" s="11" t="n">
        <f aca="false">SUM(AH669:AM669)</f>
        <v>92.16</v>
      </c>
      <c r="AO669" s="1"/>
      <c r="AP669" s="1"/>
      <c r="AQ669" s="1"/>
      <c r="AR669" s="1"/>
    </row>
    <row r="670" customFormat="false" ht="13.8" hidden="false" customHeight="false" outlineLevel="0" collapsed="false">
      <c r="A670" s="1" t="s">
        <v>844</v>
      </c>
      <c r="B670" s="1" t="n">
        <v>652</v>
      </c>
      <c r="C670" s="1" t="s">
        <v>747</v>
      </c>
      <c r="D670" s="1" t="s">
        <v>42</v>
      </c>
      <c r="E670" s="1" t="s">
        <v>748</v>
      </c>
      <c r="G670" s="1" t="n">
        <v>1</v>
      </c>
      <c r="H670" s="1" t="n">
        <v>25</v>
      </c>
      <c r="I670" s="8" t="n">
        <v>1227366</v>
      </c>
      <c r="J670" s="1" t="n">
        <v>2</v>
      </c>
      <c r="K670" s="1" t="s">
        <v>96</v>
      </c>
      <c r="L670" s="1" t="n">
        <v>6</v>
      </c>
      <c r="P670" s="1" t="n">
        <f aca="false">SUM(M670:O670)</f>
        <v>0</v>
      </c>
      <c r="U670" s="1" t="n">
        <v>20</v>
      </c>
      <c r="W670" s="1" t="n">
        <f aca="false">SUM(Q670:V670)</f>
        <v>20</v>
      </c>
      <c r="AD670" s="9" t="n">
        <f aca="false">(U670)*(1+(J670)*0.2)</f>
        <v>28</v>
      </c>
      <c r="AF670" s="9" t="n">
        <f aca="false">SUM(Z670:AE670)</f>
        <v>28</v>
      </c>
      <c r="AG670" s="10" t="s">
        <v>47</v>
      </c>
      <c r="AH670" s="11"/>
      <c r="AI670" s="11"/>
      <c r="AJ670" s="11"/>
      <c r="AK670" s="11"/>
      <c r="AL670" s="11" t="n">
        <f aca="false">IF(AG670="yes",AD670*1.2,AD670)</f>
        <v>33.6</v>
      </c>
      <c r="AM670" s="11"/>
      <c r="AN670" s="11" t="n">
        <f aca="false">SUM(AH670:AM670)</f>
        <v>33.6</v>
      </c>
      <c r="AO670" s="1"/>
      <c r="AP670" s="1"/>
      <c r="AQ670" s="1"/>
      <c r="AR670" s="1"/>
    </row>
    <row r="671" customFormat="false" ht="13.8" hidden="false" customHeight="false" outlineLevel="0" collapsed="false">
      <c r="A671" s="1" t="s">
        <v>845</v>
      </c>
      <c r="B671" s="1" t="n">
        <v>654</v>
      </c>
      <c r="C671" s="1" t="s">
        <v>747</v>
      </c>
      <c r="D671" s="1" t="s">
        <v>42</v>
      </c>
      <c r="E671" s="1" t="s">
        <v>748</v>
      </c>
      <c r="F671" s="1" t="n">
        <v>1</v>
      </c>
      <c r="G671" s="1" t="n">
        <v>1</v>
      </c>
      <c r="H671" s="1" t="n">
        <v>5</v>
      </c>
      <c r="I671" s="8" t="n">
        <v>153697</v>
      </c>
      <c r="J671" s="1" t="n">
        <v>1</v>
      </c>
      <c r="K671" s="1" t="s">
        <v>76</v>
      </c>
      <c r="L671" s="1" t="n">
        <v>0</v>
      </c>
      <c r="P671" s="1" t="n">
        <f aca="false">SUM(M671:O671)</f>
        <v>0</v>
      </c>
      <c r="W671" s="1" t="n">
        <f aca="false">SUM(Q671:V671)</f>
        <v>0</v>
      </c>
      <c r="AF671" s="9" t="n">
        <f aca="false">SUM(Z671:AE671)</f>
        <v>0</v>
      </c>
      <c r="AG671" s="10"/>
      <c r="AH671" s="11"/>
      <c r="AI671" s="11"/>
      <c r="AJ671" s="11"/>
      <c r="AK671" s="11"/>
      <c r="AL671" s="11"/>
      <c r="AM671" s="11"/>
      <c r="AN671" s="11" t="n">
        <f aca="false">SUM(AH671:AM671)</f>
        <v>0</v>
      </c>
      <c r="AO671" s="1"/>
      <c r="AP671" s="1"/>
      <c r="AQ671" s="1"/>
      <c r="AR671" s="1"/>
    </row>
    <row r="672" customFormat="false" ht="13.8" hidden="false" customHeight="false" outlineLevel="0" collapsed="false">
      <c r="A672" s="1" t="s">
        <v>846</v>
      </c>
      <c r="B672" s="1" t="n">
        <v>732</v>
      </c>
      <c r="C672" s="1" t="s">
        <v>747</v>
      </c>
      <c r="D672" s="1" t="s">
        <v>42</v>
      </c>
      <c r="E672" s="1" t="s">
        <v>748</v>
      </c>
      <c r="F672" s="1" t="n">
        <v>1</v>
      </c>
      <c r="G672" s="1" t="n">
        <v>1</v>
      </c>
      <c r="H672" s="1" t="n">
        <v>19</v>
      </c>
      <c r="I672" s="8" t="n">
        <v>230281</v>
      </c>
      <c r="J672" s="1" t="n">
        <v>1</v>
      </c>
      <c r="K672" s="1" t="s">
        <v>76</v>
      </c>
      <c r="L672" s="1" t="n">
        <v>0</v>
      </c>
      <c r="P672" s="1" t="n">
        <f aca="false">SUM(M672:O672)</f>
        <v>0</v>
      </c>
      <c r="W672" s="1" t="n">
        <f aca="false">SUM(Q672:V672)</f>
        <v>0</v>
      </c>
      <c r="AF672" s="9" t="n">
        <f aca="false">SUM(Z672:AE672)</f>
        <v>0</v>
      </c>
      <c r="AG672" s="10"/>
      <c r="AH672" s="11"/>
      <c r="AI672" s="11"/>
      <c r="AJ672" s="11"/>
      <c r="AK672" s="11"/>
      <c r="AL672" s="11"/>
      <c r="AM672" s="11"/>
      <c r="AN672" s="11" t="n">
        <f aca="false">SUM(AH672:AM672)</f>
        <v>0</v>
      </c>
      <c r="AO672" s="1"/>
      <c r="AP672" s="1"/>
      <c r="AQ672" s="1"/>
      <c r="AR672" s="1"/>
    </row>
    <row r="673" customFormat="false" ht="13.8" hidden="false" customHeight="false" outlineLevel="0" collapsed="false">
      <c r="A673" s="1" t="s">
        <v>847</v>
      </c>
      <c r="B673" s="1" t="n">
        <v>882</v>
      </c>
      <c r="C673" s="1" t="s">
        <v>747</v>
      </c>
      <c r="D673" s="1" t="s">
        <v>42</v>
      </c>
      <c r="E673" s="1" t="s">
        <v>748</v>
      </c>
      <c r="F673" s="1" t="n">
        <v>1</v>
      </c>
      <c r="G673" s="1" t="n">
        <v>1</v>
      </c>
      <c r="H673" s="1" t="n">
        <v>9</v>
      </c>
      <c r="I673" s="8" t="n">
        <v>230491</v>
      </c>
      <c r="J673" s="1" t="n">
        <v>2</v>
      </c>
      <c r="K673" s="1" t="s">
        <v>44</v>
      </c>
      <c r="L673" s="1" t="n">
        <v>2</v>
      </c>
      <c r="P673" s="1" t="n">
        <f aca="false">SUM(M673:O673)</f>
        <v>0</v>
      </c>
      <c r="V673" s="1" t="n">
        <v>6</v>
      </c>
      <c r="W673" s="1" t="n">
        <f aca="false">SUM(Q673:V673)</f>
        <v>6</v>
      </c>
      <c r="AE673" s="9" t="n">
        <f aca="false">(V673)*(1+(J673)*0.2)</f>
        <v>8.4</v>
      </c>
      <c r="AF673" s="9" t="n">
        <f aca="false">SUM(Z673:AE673)</f>
        <v>8.4</v>
      </c>
      <c r="AG673" s="10" t="s">
        <v>53</v>
      </c>
      <c r="AH673" s="11"/>
      <c r="AI673" s="11"/>
      <c r="AJ673" s="11"/>
      <c r="AK673" s="11"/>
      <c r="AL673" s="11"/>
      <c r="AM673" s="11" t="n">
        <f aca="false">IF(AG673="yes",AE673*1.2,AE673)</f>
        <v>8.4</v>
      </c>
      <c r="AN673" s="11" t="n">
        <f aca="false">SUM(AH673:AM673)</f>
        <v>8.4</v>
      </c>
      <c r="AO673" s="1"/>
      <c r="AP673" s="1"/>
      <c r="AQ673" s="1"/>
      <c r="AR673" s="1"/>
    </row>
    <row r="674" customFormat="false" ht="13.8" hidden="false" customHeight="false" outlineLevel="0" collapsed="false">
      <c r="A674" s="1" t="s">
        <v>848</v>
      </c>
      <c r="B674" s="1" t="n">
        <v>262</v>
      </c>
      <c r="C674" s="1" t="s">
        <v>747</v>
      </c>
      <c r="D674" s="1" t="s">
        <v>42</v>
      </c>
      <c r="E674" s="1" t="s">
        <v>748</v>
      </c>
      <c r="G674" s="1" t="n">
        <v>1</v>
      </c>
      <c r="H674" s="1" t="n">
        <v>9</v>
      </c>
      <c r="I674" s="8" t="n">
        <v>21822</v>
      </c>
      <c r="J674" s="1" t="n">
        <v>1</v>
      </c>
      <c r="K674" s="1" t="s">
        <v>44</v>
      </c>
      <c r="L674" s="1" t="n">
        <v>2</v>
      </c>
      <c r="P674" s="1" t="n">
        <f aca="false">SUM(M674:O674)</f>
        <v>0</v>
      </c>
      <c r="Q674" s="1" t="n">
        <v>7</v>
      </c>
      <c r="W674" s="1" t="n">
        <f aca="false">SUM(Q674:V674)</f>
        <v>7</v>
      </c>
      <c r="Z674" s="9" t="n">
        <f aca="false">(Q674)*(1+(J674)*0.2)</f>
        <v>8.4</v>
      </c>
      <c r="AC674" s="9"/>
      <c r="AF674" s="9" t="n">
        <f aca="false">SUM(Z674:AE674)</f>
        <v>8.4</v>
      </c>
      <c r="AG674" s="10" t="s">
        <v>53</v>
      </c>
      <c r="AH674" s="11" t="n">
        <f aca="false">IF(AG674="yes",Z674*1.2,Z674)</f>
        <v>8.4</v>
      </c>
      <c r="AI674" s="11"/>
      <c r="AJ674" s="11"/>
      <c r="AK674" s="11"/>
      <c r="AL674" s="11"/>
      <c r="AM674" s="11"/>
      <c r="AN674" s="11" t="n">
        <f aca="false">SUM(AH674:AM674)</f>
        <v>8.4</v>
      </c>
      <c r="AO674" s="1"/>
      <c r="AP674" s="1"/>
      <c r="AQ674" s="1"/>
      <c r="AR674" s="1"/>
    </row>
    <row r="675" customFormat="false" ht="13.8" hidden="false" customHeight="false" outlineLevel="0" collapsed="false">
      <c r="A675" s="1" t="s">
        <v>849</v>
      </c>
      <c r="B675" s="1" t="n">
        <v>255</v>
      </c>
      <c r="C675" s="1" t="s">
        <v>747</v>
      </c>
      <c r="D675" s="1" t="s">
        <v>42</v>
      </c>
      <c r="E675" s="1" t="s">
        <v>748</v>
      </c>
      <c r="F675" s="1" t="n">
        <v>3</v>
      </c>
      <c r="G675" s="1" t="n">
        <v>1</v>
      </c>
      <c r="H675" s="1" t="n">
        <v>32</v>
      </c>
      <c r="I675" s="8" t="n">
        <v>2345797</v>
      </c>
      <c r="J675" s="1" t="n">
        <v>2</v>
      </c>
      <c r="K675" s="1" t="s">
        <v>46</v>
      </c>
      <c r="L675" s="1" t="n">
        <v>4</v>
      </c>
      <c r="P675" s="1" t="n">
        <f aca="false">SUM(M675:O675)</f>
        <v>0</v>
      </c>
      <c r="W675" s="1" t="n">
        <f aca="false">SUM(Q675:V675)</f>
        <v>0</v>
      </c>
      <c r="AF675" s="9" t="n">
        <f aca="false">SUM(Z675:AE675)</f>
        <v>0</v>
      </c>
      <c r="AG675" s="10"/>
      <c r="AH675" s="11"/>
      <c r="AI675" s="11"/>
      <c r="AJ675" s="11"/>
      <c r="AK675" s="11"/>
      <c r="AL675" s="11"/>
      <c r="AM675" s="11"/>
      <c r="AN675" s="11" t="n">
        <f aca="false">SUM(AH675:AM675)</f>
        <v>0</v>
      </c>
      <c r="AO675" s="1"/>
      <c r="AP675" s="1"/>
      <c r="AQ675" s="1"/>
      <c r="AR675" s="1"/>
    </row>
    <row r="676" customFormat="false" ht="13.8" hidden="false" customHeight="false" outlineLevel="0" collapsed="false">
      <c r="A676" s="1" t="s">
        <v>850</v>
      </c>
      <c r="B676" s="1" t="n">
        <v>398</v>
      </c>
      <c r="C676" s="1" t="s">
        <v>747</v>
      </c>
      <c r="D676" s="1" t="s">
        <v>42</v>
      </c>
      <c r="E676" s="1" t="s">
        <v>748</v>
      </c>
      <c r="F676" s="1" t="n">
        <v>1</v>
      </c>
      <c r="G676" s="1" t="n">
        <v>1</v>
      </c>
      <c r="H676" s="1" t="n">
        <v>33</v>
      </c>
      <c r="I676" s="8" t="n">
        <v>2138486</v>
      </c>
      <c r="J676" s="1" t="n">
        <v>3</v>
      </c>
      <c r="K676" s="1" t="s">
        <v>44</v>
      </c>
      <c r="L676" s="1" t="n">
        <v>2</v>
      </c>
      <c r="M676" s="1" t="n">
        <v>1</v>
      </c>
      <c r="P676" s="1" t="n">
        <f aca="false">SUM(M676:O676)</f>
        <v>1</v>
      </c>
      <c r="R676" s="1" t="n">
        <v>6</v>
      </c>
      <c r="W676" s="1" t="n">
        <f aca="false">SUM(Q676:V676)</f>
        <v>6</v>
      </c>
      <c r="AA676" s="9" t="n">
        <f aca="false">(R676)*(1+(J676)*0.2)</f>
        <v>9.6</v>
      </c>
      <c r="AF676" s="9" t="n">
        <f aca="false">SUM(Z676:AE676)</f>
        <v>9.6</v>
      </c>
      <c r="AG676" s="10" t="s">
        <v>47</v>
      </c>
      <c r="AH676" s="11"/>
      <c r="AI676" s="11" t="n">
        <f aca="false">IF(AG676="yes",AA676*1.2,AA676)</f>
        <v>11.52</v>
      </c>
      <c r="AJ676" s="11"/>
      <c r="AK676" s="11"/>
      <c r="AL676" s="11"/>
      <c r="AM676" s="11"/>
      <c r="AN676" s="11" t="n">
        <f aca="false">SUM(AH676:AM676)</f>
        <v>11.52</v>
      </c>
      <c r="AO676" s="1"/>
      <c r="AP676" s="1"/>
      <c r="AQ676" s="1"/>
      <c r="AR676" s="1"/>
    </row>
    <row r="677" customFormat="false" ht="13.8" hidden="false" customHeight="false" outlineLevel="0" collapsed="false">
      <c r="A677" s="1" t="s">
        <v>851</v>
      </c>
      <c r="B677" s="1" t="n">
        <v>259</v>
      </c>
      <c r="C677" s="1" t="s">
        <v>747</v>
      </c>
      <c r="D677" s="1" t="s">
        <v>42</v>
      </c>
      <c r="E677" s="1" t="s">
        <v>748</v>
      </c>
      <c r="F677" s="1" t="n">
        <v>3</v>
      </c>
      <c r="G677" s="1" t="n">
        <v>1</v>
      </c>
      <c r="H677" s="1" t="n">
        <v>10</v>
      </c>
      <c r="I677" s="8" t="n">
        <v>1444345</v>
      </c>
      <c r="J677" s="1" t="n">
        <v>3</v>
      </c>
      <c r="K677" s="1" t="s">
        <v>44</v>
      </c>
      <c r="L677" s="1" t="n">
        <v>2</v>
      </c>
      <c r="P677" s="1" t="n">
        <f aca="false">SUM(M677:O677)</f>
        <v>0</v>
      </c>
      <c r="W677" s="1" t="n">
        <f aca="false">SUM(Q677:V677)</f>
        <v>0</v>
      </c>
      <c r="AF677" s="9" t="n">
        <f aca="false">SUM(Z677:AE677)</f>
        <v>0</v>
      </c>
      <c r="AG677" s="10"/>
      <c r="AH677" s="11"/>
      <c r="AI677" s="11"/>
      <c r="AJ677" s="11"/>
      <c r="AK677" s="11"/>
      <c r="AL677" s="11"/>
      <c r="AM677" s="11"/>
      <c r="AN677" s="11" t="n">
        <f aca="false">SUM(AH677:AM677)</f>
        <v>0</v>
      </c>
      <c r="AO677" s="1"/>
      <c r="AP677" s="1"/>
      <c r="AQ677" s="1"/>
      <c r="AR677" s="1"/>
    </row>
    <row r="678" customFormat="false" ht="13.8" hidden="false" customHeight="false" outlineLevel="0" collapsed="false">
      <c r="A678" s="1" t="s">
        <v>852</v>
      </c>
      <c r="B678" s="1" t="n">
        <v>209</v>
      </c>
      <c r="C678" s="1" t="s">
        <v>747</v>
      </c>
      <c r="D678" s="1" t="s">
        <v>42</v>
      </c>
      <c r="E678" s="1" t="s">
        <v>748</v>
      </c>
      <c r="F678" s="1" t="n">
        <v>3</v>
      </c>
      <c r="G678" s="1" t="n">
        <v>1</v>
      </c>
      <c r="H678" s="1" t="n">
        <v>12</v>
      </c>
      <c r="I678" s="8" t="n">
        <v>640368</v>
      </c>
      <c r="J678" s="1" t="n">
        <v>3</v>
      </c>
      <c r="K678" s="1" t="s">
        <v>46</v>
      </c>
      <c r="L678" s="1" t="n">
        <v>4</v>
      </c>
      <c r="P678" s="1" t="n">
        <f aca="false">SUM(M678:O678)</f>
        <v>0</v>
      </c>
      <c r="W678" s="1" t="n">
        <f aca="false">SUM(Q678:V678)</f>
        <v>0</v>
      </c>
      <c r="X678" s="1" t="n">
        <v>4</v>
      </c>
      <c r="AF678" s="9" t="n">
        <f aca="false">SUM(Z678:AE678)</f>
        <v>0</v>
      </c>
      <c r="AG678" s="10"/>
      <c r="AH678" s="11"/>
      <c r="AI678" s="11"/>
      <c r="AJ678" s="11"/>
      <c r="AK678" s="11"/>
      <c r="AL678" s="11"/>
      <c r="AM678" s="11"/>
      <c r="AN678" s="11" t="n">
        <f aca="false">SUM(AH678:AM678)</f>
        <v>0</v>
      </c>
      <c r="AO678" s="1"/>
      <c r="AP678" s="1"/>
      <c r="AQ678" s="1"/>
      <c r="AR678" s="1"/>
    </row>
    <row r="679" customFormat="false" ht="13.8" hidden="false" customHeight="false" outlineLevel="0" collapsed="false">
      <c r="A679" s="1" t="s">
        <v>853</v>
      </c>
      <c r="B679" s="1" t="n">
        <v>243</v>
      </c>
      <c r="C679" s="1" t="s">
        <v>747</v>
      </c>
      <c r="D679" s="1" t="s">
        <v>42</v>
      </c>
      <c r="E679" s="1" t="s">
        <v>748</v>
      </c>
      <c r="F679" s="1" t="n">
        <v>1</v>
      </c>
      <c r="G679" s="1" t="n">
        <v>1</v>
      </c>
      <c r="H679" s="1" t="n">
        <v>9</v>
      </c>
      <c r="I679" s="8" t="n">
        <v>576913</v>
      </c>
      <c r="J679" s="1" t="n">
        <v>3</v>
      </c>
      <c r="K679" s="1" t="s">
        <v>44</v>
      </c>
      <c r="L679" s="1" t="n">
        <v>2</v>
      </c>
      <c r="P679" s="1" t="n">
        <f aca="false">SUM(M679:O679)</f>
        <v>0</v>
      </c>
      <c r="W679" s="1" t="n">
        <f aca="false">SUM(Q679:V679)</f>
        <v>0</v>
      </c>
      <c r="X679" s="1" t="n">
        <v>2</v>
      </c>
      <c r="AF679" s="9" t="n">
        <f aca="false">SUM(Z679:AE679)</f>
        <v>0</v>
      </c>
      <c r="AG679" s="10"/>
      <c r="AH679" s="11"/>
      <c r="AI679" s="11"/>
      <c r="AJ679" s="11"/>
      <c r="AK679" s="11"/>
      <c r="AL679" s="11"/>
      <c r="AM679" s="11"/>
      <c r="AN679" s="11" t="n">
        <f aca="false">SUM(AH679:AM679)</f>
        <v>0</v>
      </c>
      <c r="AO679" s="1"/>
      <c r="AP679" s="1"/>
      <c r="AQ679" s="1"/>
      <c r="AR679" s="1"/>
    </row>
    <row r="680" customFormat="false" ht="13.8" hidden="false" customHeight="false" outlineLevel="0" collapsed="false">
      <c r="A680" s="1" t="s">
        <v>854</v>
      </c>
      <c r="B680" s="1" t="n">
        <v>218</v>
      </c>
      <c r="C680" s="1" t="s">
        <v>747</v>
      </c>
      <c r="D680" s="1" t="s">
        <v>42</v>
      </c>
      <c r="E680" s="1" t="s">
        <v>748</v>
      </c>
      <c r="F680" s="1" t="n">
        <v>15</v>
      </c>
      <c r="G680" s="1" t="n">
        <v>1</v>
      </c>
      <c r="H680" s="1" t="n">
        <v>8</v>
      </c>
      <c r="I680" s="8" t="n">
        <v>1502908</v>
      </c>
      <c r="J680" s="1" t="n">
        <v>3</v>
      </c>
      <c r="K680" s="1" t="s">
        <v>96</v>
      </c>
      <c r="L680" s="1" t="n">
        <v>6</v>
      </c>
      <c r="M680" s="1" t="n">
        <v>1</v>
      </c>
      <c r="O680" s="1" t="n">
        <v>1</v>
      </c>
      <c r="P680" s="1" t="n">
        <f aca="false">SUM(M680:O680)</f>
        <v>2</v>
      </c>
      <c r="W680" s="1" t="n">
        <f aca="false">SUM(Q680:V680)</f>
        <v>0</v>
      </c>
      <c r="X680" s="1" t="n">
        <v>3</v>
      </c>
      <c r="Y680" s="1" t="n">
        <v>5</v>
      </c>
      <c r="AF680" s="9" t="n">
        <f aca="false">SUM(Z680:AE680)</f>
        <v>0</v>
      </c>
      <c r="AG680" s="10"/>
      <c r="AH680" s="11"/>
      <c r="AI680" s="11"/>
      <c r="AJ680" s="11"/>
      <c r="AK680" s="11"/>
      <c r="AL680" s="11"/>
      <c r="AM680" s="11"/>
      <c r="AN680" s="11" t="n">
        <f aca="false">SUM(AH680:AM680)</f>
        <v>0</v>
      </c>
      <c r="AO680" s="1"/>
      <c r="AP680" s="1"/>
      <c r="AQ680" s="1"/>
      <c r="AR680" s="1"/>
    </row>
    <row r="681" customFormat="false" ht="13.8" hidden="false" customHeight="false" outlineLevel="0" collapsed="false">
      <c r="A681" s="1" t="s">
        <v>855</v>
      </c>
      <c r="B681" s="1" t="n">
        <v>254</v>
      </c>
      <c r="C681" s="1" t="s">
        <v>747</v>
      </c>
      <c r="D681" s="1" t="s">
        <v>42</v>
      </c>
      <c r="E681" s="1" t="s">
        <v>748</v>
      </c>
      <c r="F681" s="1" t="n">
        <v>1</v>
      </c>
      <c r="G681" s="1" t="n">
        <v>1</v>
      </c>
      <c r="H681" s="1" t="n">
        <v>24</v>
      </c>
      <c r="I681" s="8" t="n">
        <v>1826347</v>
      </c>
      <c r="J681" s="1" t="n">
        <v>3</v>
      </c>
      <c r="K681" s="1" t="s">
        <v>46</v>
      </c>
      <c r="L681" s="1" t="n">
        <v>4</v>
      </c>
      <c r="P681" s="1" t="n">
        <f aca="false">SUM(M681:O681)</f>
        <v>0</v>
      </c>
      <c r="W681" s="1" t="n">
        <f aca="false">SUM(Q681:V681)</f>
        <v>0</v>
      </c>
      <c r="AF681" s="9" t="n">
        <f aca="false">SUM(Z681:AE681)</f>
        <v>0</v>
      </c>
      <c r="AG681" s="10"/>
      <c r="AH681" s="11"/>
      <c r="AI681" s="11"/>
      <c r="AJ681" s="11"/>
      <c r="AK681" s="11"/>
      <c r="AL681" s="11"/>
      <c r="AM681" s="11"/>
      <c r="AN681" s="11" t="n">
        <f aca="false">SUM(AH681:AM681)</f>
        <v>0</v>
      </c>
      <c r="AO681" s="1"/>
      <c r="AP681" s="1"/>
      <c r="AQ681" s="1"/>
      <c r="AR681" s="1"/>
    </row>
    <row r="682" customFormat="false" ht="13.8" hidden="false" customHeight="false" outlineLevel="0" collapsed="false">
      <c r="A682" s="1" t="s">
        <v>856</v>
      </c>
      <c r="B682" s="1" t="n">
        <v>246</v>
      </c>
      <c r="C682" s="1" t="s">
        <v>747</v>
      </c>
      <c r="D682" s="1" t="s">
        <v>42</v>
      </c>
      <c r="E682" s="1" t="s">
        <v>748</v>
      </c>
      <c r="F682" s="1" t="n">
        <v>1</v>
      </c>
      <c r="G682" s="1" t="n">
        <v>1</v>
      </c>
      <c r="H682" s="1" t="n">
        <v>24</v>
      </c>
      <c r="I682" s="8" t="n">
        <v>1026710</v>
      </c>
      <c r="J682" s="1" t="n">
        <v>3</v>
      </c>
      <c r="K682" s="1" t="s">
        <v>44</v>
      </c>
      <c r="L682" s="1" t="n">
        <v>2</v>
      </c>
      <c r="P682" s="1" t="n">
        <f aca="false">SUM(M682:O682)</f>
        <v>0</v>
      </c>
      <c r="U682" s="1" t="n">
        <v>16</v>
      </c>
      <c r="W682" s="1" t="n">
        <f aca="false">SUM(Q682:V682)</f>
        <v>16</v>
      </c>
      <c r="AD682" s="9" t="n">
        <f aca="false">(U682)*(1+(J682)*0.2)</f>
        <v>25.6</v>
      </c>
      <c r="AF682" s="9" t="n">
        <f aca="false">SUM(Z682:AE682)</f>
        <v>25.6</v>
      </c>
      <c r="AG682" s="10" t="s">
        <v>47</v>
      </c>
      <c r="AH682" s="11"/>
      <c r="AI682" s="11"/>
      <c r="AJ682" s="11"/>
      <c r="AK682" s="11"/>
      <c r="AL682" s="11" t="n">
        <f aca="false">IF(AG682="yes",AD682*1.2,AD682)</f>
        <v>30.72</v>
      </c>
      <c r="AM682" s="11"/>
      <c r="AN682" s="11" t="n">
        <f aca="false">SUM(AH682:AM682)</f>
        <v>30.72</v>
      </c>
      <c r="AO682" s="1"/>
      <c r="AP682" s="1"/>
      <c r="AQ682" s="1"/>
      <c r="AR682" s="1"/>
    </row>
    <row r="683" customFormat="false" ht="13.8" hidden="false" customHeight="false" outlineLevel="0" collapsed="false">
      <c r="A683" s="1" t="s">
        <v>857</v>
      </c>
      <c r="B683" s="1" t="n">
        <v>579</v>
      </c>
      <c r="C683" s="1" t="s">
        <v>747</v>
      </c>
      <c r="D683" s="1" t="s">
        <v>42</v>
      </c>
      <c r="E683" s="1" t="s">
        <v>748</v>
      </c>
      <c r="F683" s="1" t="n">
        <v>1</v>
      </c>
      <c r="G683" s="1" t="n">
        <v>1</v>
      </c>
      <c r="H683" s="1" t="n">
        <v>9</v>
      </c>
      <c r="I683" s="8" t="n">
        <v>45540</v>
      </c>
      <c r="J683" s="1" t="n">
        <v>1</v>
      </c>
      <c r="K683" s="1" t="s">
        <v>51</v>
      </c>
      <c r="L683" s="1" t="n">
        <v>1</v>
      </c>
      <c r="P683" s="1" t="n">
        <f aca="false">SUM(M683:O683)</f>
        <v>0</v>
      </c>
      <c r="W683" s="1" t="n">
        <f aca="false">SUM(Q683:V683)</f>
        <v>0</v>
      </c>
      <c r="AF683" s="9" t="n">
        <f aca="false">SUM(Z683:AE683)</f>
        <v>0</v>
      </c>
      <c r="AG683" s="10"/>
      <c r="AH683" s="11"/>
      <c r="AI683" s="11"/>
      <c r="AJ683" s="11"/>
      <c r="AK683" s="11"/>
      <c r="AL683" s="11"/>
      <c r="AM683" s="11"/>
      <c r="AN683" s="11" t="n">
        <f aca="false">SUM(AH683:AM683)</f>
        <v>0</v>
      </c>
      <c r="AO683" s="1"/>
      <c r="AP683" s="1"/>
      <c r="AQ683" s="1"/>
      <c r="AR683" s="1"/>
    </row>
    <row r="684" customFormat="false" ht="13.8" hidden="false" customHeight="false" outlineLevel="0" collapsed="false">
      <c r="A684" s="1" t="s">
        <v>858</v>
      </c>
      <c r="B684" s="1" t="n">
        <v>239</v>
      </c>
      <c r="C684" s="1" t="s">
        <v>747</v>
      </c>
      <c r="D684" s="1" t="s">
        <v>42</v>
      </c>
      <c r="E684" s="1" t="s">
        <v>748</v>
      </c>
      <c r="F684" s="1" t="n">
        <v>5</v>
      </c>
      <c r="G684" s="1" t="n">
        <v>1</v>
      </c>
      <c r="H684" s="1" t="n">
        <v>24</v>
      </c>
      <c r="I684" s="8" t="n">
        <v>1227585</v>
      </c>
      <c r="J684" s="1" t="n">
        <v>3</v>
      </c>
      <c r="K684" s="1" t="s">
        <v>46</v>
      </c>
      <c r="L684" s="1" t="n">
        <v>4</v>
      </c>
      <c r="O684" s="1" t="n">
        <v>1</v>
      </c>
      <c r="P684" s="1" t="n">
        <f aca="false">SUM(M684:O684)</f>
        <v>1</v>
      </c>
      <c r="W684" s="1" t="n">
        <f aca="false">SUM(Q684:V684)</f>
        <v>0</v>
      </c>
      <c r="AF684" s="9" t="n">
        <f aca="false">SUM(Z684:AE684)</f>
        <v>0</v>
      </c>
      <c r="AG684" s="10"/>
      <c r="AH684" s="11"/>
      <c r="AI684" s="11"/>
      <c r="AJ684" s="11"/>
      <c r="AK684" s="11"/>
      <c r="AL684" s="11"/>
      <c r="AM684" s="11"/>
      <c r="AN684" s="11" t="n">
        <f aca="false">SUM(AH684:AM684)</f>
        <v>0</v>
      </c>
      <c r="AO684" s="1"/>
      <c r="AP684" s="1"/>
      <c r="AQ684" s="1"/>
      <c r="AR684" s="1"/>
    </row>
    <row r="685" customFormat="false" ht="13.8" hidden="false" customHeight="false" outlineLevel="0" collapsed="false">
      <c r="A685" s="1" t="s">
        <v>859</v>
      </c>
      <c r="B685" s="1" t="n">
        <v>588</v>
      </c>
      <c r="C685" s="1" t="s">
        <v>747</v>
      </c>
      <c r="D685" s="1" t="s">
        <v>42</v>
      </c>
      <c r="E685" s="1" t="s">
        <v>748</v>
      </c>
      <c r="F685" s="1" t="n">
        <v>1</v>
      </c>
      <c r="G685" s="1" t="n">
        <v>1</v>
      </c>
      <c r="H685" s="1" t="n">
        <v>20</v>
      </c>
      <c r="I685" s="8" t="n">
        <v>429737</v>
      </c>
      <c r="J685" s="1" t="n">
        <v>2</v>
      </c>
      <c r="K685" s="1" t="s">
        <v>44</v>
      </c>
      <c r="L685" s="1" t="n">
        <v>2</v>
      </c>
      <c r="P685" s="1" t="n">
        <f aca="false">SUM(M685:O685)</f>
        <v>0</v>
      </c>
      <c r="V685" s="1" t="n">
        <v>10</v>
      </c>
      <c r="W685" s="1" t="n">
        <f aca="false">SUM(Q685:V685)</f>
        <v>10</v>
      </c>
      <c r="AE685" s="9" t="n">
        <f aca="false">(V685)*(1+(J685)*0.2)</f>
        <v>14</v>
      </c>
      <c r="AF685" s="9" t="n">
        <f aca="false">SUM(Z685:AE685)</f>
        <v>14</v>
      </c>
      <c r="AG685" s="10" t="s">
        <v>53</v>
      </c>
      <c r="AH685" s="11"/>
      <c r="AI685" s="11"/>
      <c r="AJ685" s="11"/>
      <c r="AK685" s="11"/>
      <c r="AL685" s="11"/>
      <c r="AM685" s="11" t="n">
        <f aca="false">IF(AG685="yes",AE685*1.2,AE685)</f>
        <v>14</v>
      </c>
      <c r="AN685" s="11" t="n">
        <f aca="false">SUM(AH685:AM685)</f>
        <v>14</v>
      </c>
      <c r="AO685" s="1"/>
      <c r="AP685" s="1"/>
      <c r="AQ685" s="1"/>
      <c r="AR685" s="1"/>
    </row>
    <row r="686" customFormat="false" ht="13.8" hidden="false" customHeight="false" outlineLevel="0" collapsed="false">
      <c r="A686" s="1" t="s">
        <v>860</v>
      </c>
      <c r="B686" s="1" t="n">
        <v>242</v>
      </c>
      <c r="C686" s="1" t="s">
        <v>747</v>
      </c>
      <c r="D686" s="1" t="s">
        <v>42</v>
      </c>
      <c r="E686" s="1" t="s">
        <v>748</v>
      </c>
      <c r="F686" s="1" t="n">
        <v>15</v>
      </c>
      <c r="G686" s="1" t="n">
        <v>1</v>
      </c>
      <c r="H686" s="1" t="n">
        <v>16</v>
      </c>
      <c r="I686" s="8" t="n">
        <v>1301615</v>
      </c>
      <c r="J686" s="1" t="n">
        <v>3</v>
      </c>
      <c r="K686" s="1" t="s">
        <v>120</v>
      </c>
      <c r="L686" s="1" t="n">
        <v>5</v>
      </c>
      <c r="O686" s="1" t="n">
        <v>1</v>
      </c>
      <c r="P686" s="1" t="n">
        <f aca="false">SUM(M686:O686)</f>
        <v>1</v>
      </c>
      <c r="W686" s="1" t="n">
        <f aca="false">SUM(Q686:V686)</f>
        <v>0</v>
      </c>
      <c r="X686" s="1" t="n">
        <v>5</v>
      </c>
      <c r="AD686" s="9"/>
      <c r="AF686" s="9" t="n">
        <f aca="false">SUM(Z686:AE686)</f>
        <v>0</v>
      </c>
      <c r="AG686" s="10"/>
      <c r="AH686" s="11"/>
      <c r="AI686" s="11"/>
      <c r="AJ686" s="11"/>
      <c r="AK686" s="11"/>
      <c r="AL686" s="11"/>
      <c r="AM686" s="11"/>
      <c r="AN686" s="11" t="n">
        <f aca="false">SUM(AH686:AM686)</f>
        <v>0</v>
      </c>
      <c r="AO686" s="1"/>
      <c r="AP686" s="1"/>
      <c r="AQ686" s="1"/>
      <c r="AR686" s="1"/>
    </row>
    <row r="687" customFormat="false" ht="13.8" hidden="false" customHeight="false" outlineLevel="0" collapsed="false">
      <c r="A687" s="1" t="s">
        <v>861</v>
      </c>
      <c r="B687" s="1" t="n">
        <v>233</v>
      </c>
      <c r="C687" s="1" t="s">
        <v>747</v>
      </c>
      <c r="D687" s="1" t="s">
        <v>42</v>
      </c>
      <c r="E687" s="1" t="s">
        <v>748</v>
      </c>
      <c r="F687" s="1" t="n">
        <v>1</v>
      </c>
      <c r="G687" s="1" t="n">
        <v>1</v>
      </c>
      <c r="H687" s="1" t="n">
        <v>7</v>
      </c>
      <c r="I687" s="8" t="n">
        <v>388464</v>
      </c>
      <c r="J687" s="1" t="n">
        <v>2</v>
      </c>
      <c r="K687" s="1" t="s">
        <v>44</v>
      </c>
      <c r="L687" s="1" t="n">
        <v>2</v>
      </c>
      <c r="P687" s="1" t="n">
        <f aca="false">SUM(M687:O687)</f>
        <v>0</v>
      </c>
      <c r="V687" s="1" t="n">
        <v>18</v>
      </c>
      <c r="W687" s="1" t="n">
        <f aca="false">SUM(Q687:V687)</f>
        <v>18</v>
      </c>
      <c r="AE687" s="9" t="n">
        <f aca="false">(V687)*(1+(J687)*0.2)</f>
        <v>25.2</v>
      </c>
      <c r="AF687" s="9" t="n">
        <f aca="false">SUM(Z687:AE687)</f>
        <v>25.2</v>
      </c>
      <c r="AG687" s="10" t="s">
        <v>53</v>
      </c>
      <c r="AH687" s="11"/>
      <c r="AI687" s="11"/>
      <c r="AJ687" s="11"/>
      <c r="AK687" s="11"/>
      <c r="AL687" s="11"/>
      <c r="AM687" s="11" t="n">
        <f aca="false">IF(AG687="yes",AE687*1.2,AE687)</f>
        <v>25.2</v>
      </c>
      <c r="AN687" s="11" t="n">
        <f aca="false">SUM(AH687:AM687)</f>
        <v>25.2</v>
      </c>
      <c r="AO687" s="1"/>
      <c r="AP687" s="1"/>
      <c r="AQ687" s="1"/>
      <c r="AR687" s="1"/>
    </row>
    <row r="688" customFormat="false" ht="13.8" hidden="false" customHeight="false" outlineLevel="0" collapsed="false">
      <c r="A688" s="1" t="s">
        <v>862</v>
      </c>
      <c r="B688" s="1" t="n">
        <v>742</v>
      </c>
      <c r="C688" s="1" t="s">
        <v>747</v>
      </c>
      <c r="D688" s="1" t="s">
        <v>42</v>
      </c>
      <c r="E688" s="1" t="s">
        <v>748</v>
      </c>
      <c r="F688" s="1" t="n">
        <v>1</v>
      </c>
      <c r="G688" s="1" t="n">
        <v>1</v>
      </c>
      <c r="H688" s="1" t="n">
        <v>12</v>
      </c>
      <c r="I688" s="8" t="n">
        <v>230281</v>
      </c>
      <c r="J688" s="1" t="n">
        <v>1</v>
      </c>
      <c r="K688" s="1" t="s">
        <v>76</v>
      </c>
      <c r="L688" s="1" t="n">
        <v>0</v>
      </c>
      <c r="P688" s="1" t="n">
        <f aca="false">SUM(M688:O688)</f>
        <v>0</v>
      </c>
      <c r="W688" s="1" t="n">
        <f aca="false">SUM(Q688:V688)</f>
        <v>0</v>
      </c>
      <c r="AF688" s="9" t="n">
        <f aca="false">SUM(Z688:AE688)</f>
        <v>0</v>
      </c>
      <c r="AG688" s="10"/>
      <c r="AH688" s="11"/>
      <c r="AI688" s="11"/>
      <c r="AJ688" s="11"/>
      <c r="AK688" s="11"/>
      <c r="AL688" s="11"/>
      <c r="AM688" s="11"/>
      <c r="AN688" s="11" t="n">
        <f aca="false">SUM(AH688:AM688)</f>
        <v>0</v>
      </c>
      <c r="AO688" s="1"/>
      <c r="AP688" s="1"/>
      <c r="AQ688" s="1"/>
      <c r="AR688" s="1"/>
    </row>
    <row r="689" customFormat="false" ht="13.8" hidden="false" customHeight="false" outlineLevel="0" collapsed="false">
      <c r="A689" s="1" t="s">
        <v>863</v>
      </c>
      <c r="B689" s="1" t="n">
        <v>217</v>
      </c>
      <c r="C689" s="1" t="s">
        <v>747</v>
      </c>
      <c r="D689" s="1" t="s">
        <v>42</v>
      </c>
      <c r="E689" s="1" t="s">
        <v>748</v>
      </c>
      <c r="F689" s="1" t="n">
        <v>30</v>
      </c>
      <c r="G689" s="1" t="n">
        <v>1</v>
      </c>
      <c r="H689" s="1" t="n">
        <v>15</v>
      </c>
      <c r="I689" s="8" t="n">
        <v>1136456</v>
      </c>
      <c r="J689" s="1" t="n">
        <v>4</v>
      </c>
      <c r="K689" s="1" t="s">
        <v>96</v>
      </c>
      <c r="L689" s="1" t="n">
        <v>6</v>
      </c>
      <c r="M689" s="1" t="n">
        <v>1</v>
      </c>
      <c r="O689" s="1" t="n">
        <v>1</v>
      </c>
      <c r="P689" s="1" t="n">
        <f aca="false">SUM(M689:O689)</f>
        <v>2</v>
      </c>
      <c r="W689" s="1" t="n">
        <f aca="false">SUM(Q689:V689)</f>
        <v>0</v>
      </c>
      <c r="X689" s="1" t="n">
        <v>1</v>
      </c>
      <c r="AF689" s="9" t="n">
        <f aca="false">SUM(Z689:AE689)</f>
        <v>0</v>
      </c>
      <c r="AG689" s="10"/>
      <c r="AH689" s="11"/>
      <c r="AI689" s="11"/>
      <c r="AJ689" s="11"/>
      <c r="AK689" s="11"/>
      <c r="AL689" s="11"/>
      <c r="AM689" s="11"/>
      <c r="AN689" s="11" t="n">
        <f aca="false">SUM(AH689:AM689)</f>
        <v>0</v>
      </c>
      <c r="AO689" s="1"/>
      <c r="AP689" s="1"/>
      <c r="AQ689" s="1"/>
      <c r="AR689" s="1"/>
    </row>
    <row r="690" customFormat="false" ht="13.8" hidden="false" customHeight="false" outlineLevel="0" collapsed="false">
      <c r="A690" s="1" t="s">
        <v>864</v>
      </c>
      <c r="B690" s="1" t="n">
        <v>227</v>
      </c>
      <c r="C690" s="1" t="s">
        <v>747</v>
      </c>
      <c r="D690" s="1" t="s">
        <v>42</v>
      </c>
      <c r="E690" s="1" t="s">
        <v>748</v>
      </c>
      <c r="F690" s="1" t="n">
        <v>10</v>
      </c>
      <c r="G690" s="1" t="n">
        <v>1</v>
      </c>
      <c r="H690" s="1" t="n">
        <v>10</v>
      </c>
      <c r="I690" s="8" t="n">
        <v>3771935</v>
      </c>
      <c r="J690" s="1" t="n">
        <v>3</v>
      </c>
      <c r="K690" s="1" t="s">
        <v>96</v>
      </c>
      <c r="L690" s="1" t="n">
        <v>6</v>
      </c>
      <c r="P690" s="1" t="n">
        <f aca="false">SUM(M690:O690)</f>
        <v>0</v>
      </c>
      <c r="W690" s="1" t="n">
        <f aca="false">SUM(Q690:V690)</f>
        <v>0</v>
      </c>
      <c r="AF690" s="9" t="n">
        <f aca="false">SUM(Z690:AE690)</f>
        <v>0</v>
      </c>
      <c r="AG690" s="10"/>
      <c r="AH690" s="11"/>
      <c r="AI690" s="11"/>
      <c r="AJ690" s="11"/>
      <c r="AK690" s="11"/>
      <c r="AL690" s="11"/>
      <c r="AM690" s="11"/>
      <c r="AN690" s="11" t="n">
        <f aca="false">SUM(AH690:AM690)</f>
        <v>0</v>
      </c>
      <c r="AO690" s="1"/>
      <c r="AP690" s="1"/>
      <c r="AQ690" s="1"/>
      <c r="AR690" s="1"/>
    </row>
    <row r="691" customFormat="false" ht="13.8" hidden="false" customHeight="false" outlineLevel="0" collapsed="false">
      <c r="A691" s="1" t="s">
        <v>865</v>
      </c>
      <c r="B691" s="1" t="n">
        <v>235</v>
      </c>
      <c r="C691" s="1" t="s">
        <v>747</v>
      </c>
      <c r="D691" s="1" t="s">
        <v>42</v>
      </c>
      <c r="E691" s="1" t="s">
        <v>748</v>
      </c>
      <c r="F691" s="1" t="n">
        <v>3</v>
      </c>
      <c r="G691" s="1" t="n">
        <v>1</v>
      </c>
      <c r="H691" s="1" t="n">
        <v>21</v>
      </c>
      <c r="I691" s="8" t="n">
        <v>1318123</v>
      </c>
      <c r="J691" s="1" t="n">
        <v>2</v>
      </c>
      <c r="K691" s="1" t="s">
        <v>44</v>
      </c>
      <c r="L691" s="1" t="n">
        <v>2</v>
      </c>
      <c r="P691" s="1" t="n">
        <f aca="false">SUM(M691:O691)</f>
        <v>0</v>
      </c>
      <c r="V691" s="1" t="n">
        <v>14</v>
      </c>
      <c r="W691" s="1" t="n">
        <f aca="false">SUM(Q691:V691)</f>
        <v>14</v>
      </c>
      <c r="X691" s="1" t="n">
        <v>2</v>
      </c>
      <c r="AD691" s="9"/>
      <c r="AE691" s="9" t="n">
        <f aca="false">(V691)*(1+(J691)*0.2)</f>
        <v>19.6</v>
      </c>
      <c r="AF691" s="9" t="n">
        <f aca="false">SUM(Z691:AE691)</f>
        <v>19.6</v>
      </c>
      <c r="AG691" s="10" t="s">
        <v>53</v>
      </c>
      <c r="AH691" s="11"/>
      <c r="AI691" s="11"/>
      <c r="AJ691" s="11"/>
      <c r="AK691" s="11"/>
      <c r="AL691" s="11"/>
      <c r="AM691" s="11" t="n">
        <f aca="false">IF(AG691="yes",AE691*1.2,AE691)</f>
        <v>19.6</v>
      </c>
      <c r="AN691" s="11" t="n">
        <f aca="false">SUM(AH691:AM691)</f>
        <v>19.6</v>
      </c>
      <c r="AO691" s="1"/>
      <c r="AP691" s="1"/>
      <c r="AQ691" s="1"/>
      <c r="AR691" s="1"/>
    </row>
    <row r="692" customFormat="false" ht="13.8" hidden="false" customHeight="false" outlineLevel="0" collapsed="false">
      <c r="A692" s="1" t="s">
        <v>866</v>
      </c>
      <c r="B692" s="1" t="n">
        <v>225</v>
      </c>
      <c r="C692" s="1" t="s">
        <v>747</v>
      </c>
      <c r="D692" s="1" t="s">
        <v>42</v>
      </c>
      <c r="E692" s="1" t="s">
        <v>748</v>
      </c>
      <c r="F692" s="1" t="n">
        <v>4</v>
      </c>
      <c r="G692" s="1" t="n">
        <v>1</v>
      </c>
      <c r="H692" s="1" t="n">
        <v>11</v>
      </c>
      <c r="I692" s="8" t="n">
        <v>1339914</v>
      </c>
      <c r="J692" s="1" t="n">
        <v>3</v>
      </c>
      <c r="K692" s="1" t="s">
        <v>46</v>
      </c>
      <c r="L692" s="1" t="n">
        <v>4</v>
      </c>
      <c r="P692" s="1" t="n">
        <f aca="false">SUM(M692:O692)</f>
        <v>0</v>
      </c>
      <c r="W692" s="1" t="n">
        <f aca="false">SUM(Q692:V692)</f>
        <v>0</v>
      </c>
      <c r="Z692" s="12"/>
      <c r="AF692" s="9" t="n">
        <f aca="false">SUM(Z692:AE692)</f>
        <v>0</v>
      </c>
      <c r="AG692" s="10"/>
      <c r="AH692" s="11"/>
      <c r="AI692" s="11"/>
      <c r="AJ692" s="11"/>
      <c r="AK692" s="11"/>
      <c r="AL692" s="11"/>
      <c r="AM692" s="11"/>
      <c r="AN692" s="11" t="n">
        <f aca="false">SUM(AH692:AM692)</f>
        <v>0</v>
      </c>
      <c r="AO692" s="1"/>
      <c r="AP692" s="1"/>
      <c r="AQ692" s="1"/>
      <c r="AR692" s="1"/>
    </row>
    <row r="693" customFormat="false" ht="13.8" hidden="false" customHeight="false" outlineLevel="0" collapsed="false">
      <c r="A693" s="1" t="s">
        <v>867</v>
      </c>
      <c r="B693" s="1" t="n">
        <v>577</v>
      </c>
      <c r="C693" s="1" t="s">
        <v>747</v>
      </c>
      <c r="D693" s="1" t="s">
        <v>42</v>
      </c>
      <c r="E693" s="1" t="s">
        <v>748</v>
      </c>
      <c r="G693" s="1" t="n">
        <v>1</v>
      </c>
      <c r="H693" s="1" t="n">
        <v>20</v>
      </c>
      <c r="I693" s="8" t="n">
        <v>29335</v>
      </c>
      <c r="J693" s="1" t="n">
        <v>1</v>
      </c>
      <c r="K693" s="1" t="s">
        <v>51</v>
      </c>
      <c r="L693" s="1" t="n">
        <v>1</v>
      </c>
      <c r="P693" s="1" t="n">
        <f aca="false">SUM(M693:O693)</f>
        <v>0</v>
      </c>
      <c r="Q693" s="1" t="n">
        <v>13</v>
      </c>
      <c r="W693" s="1" t="n">
        <f aca="false">SUM(Q693:V693)</f>
        <v>13</v>
      </c>
      <c r="Z693" s="9" t="n">
        <f aca="false">(Q693)*(1+(J693)*0.2)</f>
        <v>15.6</v>
      </c>
      <c r="AF693" s="9" t="n">
        <f aca="false">SUM(Z693:AE693)</f>
        <v>15.6</v>
      </c>
      <c r="AG693" s="10" t="s">
        <v>53</v>
      </c>
      <c r="AH693" s="11" t="n">
        <f aca="false">IF(AG693="yes",Z693*1.2,Z693)</f>
        <v>15.6</v>
      </c>
      <c r="AI693" s="11"/>
      <c r="AJ693" s="11"/>
      <c r="AK693" s="11"/>
      <c r="AL693" s="11"/>
      <c r="AM693" s="11"/>
      <c r="AN693" s="11" t="n">
        <f aca="false">SUM(AH693:AM693)</f>
        <v>15.6</v>
      </c>
      <c r="AO693" s="1"/>
      <c r="AP693" s="1"/>
      <c r="AQ693" s="1"/>
      <c r="AR693" s="1"/>
    </row>
    <row r="694" customFormat="false" ht="13.8" hidden="false" customHeight="false" outlineLevel="0" collapsed="false">
      <c r="A694" s="1" t="s">
        <v>868</v>
      </c>
      <c r="B694" s="1" t="n">
        <v>653</v>
      </c>
      <c r="C694" s="1" t="s">
        <v>747</v>
      </c>
      <c r="D694" s="1" t="s">
        <v>42</v>
      </c>
      <c r="E694" s="1" t="s">
        <v>748</v>
      </c>
      <c r="F694" s="1" t="n">
        <v>5</v>
      </c>
      <c r="G694" s="1" t="n">
        <v>1</v>
      </c>
      <c r="H694" s="1" t="n">
        <v>20</v>
      </c>
      <c r="I694" s="8" t="n">
        <v>2164289</v>
      </c>
      <c r="J694" s="1" t="n">
        <v>3</v>
      </c>
      <c r="K694" s="1" t="s">
        <v>96</v>
      </c>
      <c r="L694" s="1" t="n">
        <v>6</v>
      </c>
      <c r="M694" s="1" t="n">
        <v>2</v>
      </c>
      <c r="O694" s="1" t="n">
        <v>1</v>
      </c>
      <c r="P694" s="1" t="n">
        <f aca="false">SUM(M694:O694)</f>
        <v>3</v>
      </c>
      <c r="W694" s="1" t="n">
        <f aca="false">SUM(Q694:V694)</f>
        <v>0</v>
      </c>
      <c r="X694" s="1" t="n">
        <v>1</v>
      </c>
      <c r="AB694" s="9"/>
      <c r="AF694" s="9" t="n">
        <f aca="false">SUM(Z694:AE694)</f>
        <v>0</v>
      </c>
      <c r="AG694" s="10"/>
      <c r="AH694" s="11"/>
      <c r="AI694" s="11"/>
      <c r="AJ694" s="11"/>
      <c r="AK694" s="11"/>
      <c r="AL694" s="11"/>
      <c r="AM694" s="11"/>
      <c r="AN694" s="11" t="n">
        <f aca="false">SUM(AH694:AM694)</f>
        <v>0</v>
      </c>
      <c r="AO694" s="1"/>
      <c r="AP694" s="1"/>
      <c r="AQ694" s="1"/>
      <c r="AR694" s="1"/>
    </row>
    <row r="695" customFormat="false" ht="13.8" hidden="false" customHeight="false" outlineLevel="0" collapsed="false">
      <c r="A695" s="1" t="s">
        <v>869</v>
      </c>
      <c r="B695" s="1" t="n">
        <v>397</v>
      </c>
      <c r="C695" s="1" t="s">
        <v>747</v>
      </c>
      <c r="D695" s="1" t="s">
        <v>42</v>
      </c>
      <c r="E695" s="1" t="s">
        <v>748</v>
      </c>
      <c r="F695" s="1" t="n">
        <v>1</v>
      </c>
      <c r="G695" s="1" t="n">
        <v>1</v>
      </c>
      <c r="H695" s="1" t="n">
        <v>22</v>
      </c>
      <c r="I695" s="8" t="n">
        <v>137370</v>
      </c>
      <c r="J695" s="1" t="n">
        <v>1</v>
      </c>
      <c r="K695" s="1" t="s">
        <v>51</v>
      </c>
      <c r="L695" s="1" t="n">
        <v>1</v>
      </c>
      <c r="P695" s="1" t="n">
        <f aca="false">SUM(M695:O695)</f>
        <v>0</v>
      </c>
      <c r="W695" s="1" t="n">
        <f aca="false">SUM(Q695:V695)</f>
        <v>0</v>
      </c>
      <c r="AF695" s="9" t="n">
        <f aca="false">SUM(Z695:AE695)</f>
        <v>0</v>
      </c>
      <c r="AG695" s="10"/>
      <c r="AH695" s="11"/>
      <c r="AI695" s="11"/>
      <c r="AJ695" s="11"/>
      <c r="AK695" s="11"/>
      <c r="AL695" s="11"/>
      <c r="AM695" s="11"/>
      <c r="AN695" s="11" t="n">
        <f aca="false">SUM(AH695:AM695)</f>
        <v>0</v>
      </c>
      <c r="AO695" s="1"/>
      <c r="AP695" s="1"/>
      <c r="AQ695" s="1"/>
      <c r="AR695" s="1"/>
    </row>
    <row r="696" customFormat="false" ht="13.8" hidden="false" customHeight="false" outlineLevel="0" collapsed="false">
      <c r="A696" s="1" t="s">
        <v>870</v>
      </c>
      <c r="B696" s="1" t="n">
        <v>257</v>
      </c>
      <c r="C696" s="1" t="s">
        <v>747</v>
      </c>
      <c r="D696" s="1" t="s">
        <v>42</v>
      </c>
      <c r="E696" s="1" t="s">
        <v>748</v>
      </c>
      <c r="F696" s="1" t="n">
        <v>1</v>
      </c>
      <c r="G696" s="1" t="n">
        <v>1</v>
      </c>
      <c r="H696" s="1" t="n">
        <v>19</v>
      </c>
      <c r="I696" s="8" t="n">
        <v>1781755</v>
      </c>
      <c r="J696" s="1" t="n">
        <v>2</v>
      </c>
      <c r="K696" s="1" t="s">
        <v>44</v>
      </c>
      <c r="L696" s="1" t="n">
        <v>2</v>
      </c>
      <c r="P696" s="1" t="n">
        <f aca="false">SUM(M696:O696)</f>
        <v>0</v>
      </c>
      <c r="V696" s="1" t="n">
        <v>7</v>
      </c>
      <c r="W696" s="1" t="n">
        <f aca="false">SUM(Q696:V696)</f>
        <v>7</v>
      </c>
      <c r="AE696" s="9" t="n">
        <f aca="false">(V696)*(1+(J696)*0.2)</f>
        <v>9.8</v>
      </c>
      <c r="AF696" s="9" t="n">
        <f aca="false">SUM(Z696:AE696)</f>
        <v>9.8</v>
      </c>
      <c r="AG696" s="10" t="s">
        <v>47</v>
      </c>
      <c r="AH696" s="11"/>
      <c r="AI696" s="11"/>
      <c r="AJ696" s="11"/>
      <c r="AK696" s="11"/>
      <c r="AL696" s="11"/>
      <c r="AM696" s="11" t="n">
        <f aca="false">IF(AG696="yes",AE696*1.2,AE696)</f>
        <v>11.76</v>
      </c>
      <c r="AN696" s="11" t="n">
        <f aca="false">SUM(AH696:AM696)</f>
        <v>11.76</v>
      </c>
      <c r="AO696" s="1"/>
      <c r="AP696" s="1"/>
      <c r="AQ696" s="1"/>
      <c r="AR696" s="1"/>
    </row>
    <row r="697" customFormat="false" ht="13.8" hidden="false" customHeight="false" outlineLevel="0" collapsed="false">
      <c r="A697" s="1" t="s">
        <v>871</v>
      </c>
      <c r="B697" s="1" t="n">
        <v>832</v>
      </c>
      <c r="C697" s="1" t="s">
        <v>747</v>
      </c>
      <c r="D697" s="1" t="s">
        <v>42</v>
      </c>
      <c r="E697" s="1" t="s">
        <v>748</v>
      </c>
      <c r="F697" s="1" t="n">
        <v>1</v>
      </c>
      <c r="G697" s="1" t="n">
        <v>1</v>
      </c>
      <c r="H697" s="1" t="n">
        <v>4</v>
      </c>
      <c r="I697" s="8" t="n">
        <v>133227</v>
      </c>
      <c r="J697" s="1" t="n">
        <v>1</v>
      </c>
      <c r="K697" s="1" t="s">
        <v>51</v>
      </c>
      <c r="L697" s="1" t="n">
        <v>1</v>
      </c>
      <c r="O697" s="1" t="n">
        <v>1</v>
      </c>
      <c r="P697" s="1" t="n">
        <f aca="false">SUM(M697:O697)</f>
        <v>1</v>
      </c>
      <c r="W697" s="1" t="n">
        <f aca="false">SUM(Q697:V697)</f>
        <v>0</v>
      </c>
      <c r="AF697" s="9" t="n">
        <f aca="false">SUM(Z697:AE697)</f>
        <v>0</v>
      </c>
      <c r="AG697" s="10"/>
      <c r="AH697" s="11"/>
      <c r="AI697" s="11"/>
      <c r="AJ697" s="11"/>
      <c r="AK697" s="11"/>
      <c r="AL697" s="11"/>
      <c r="AM697" s="11"/>
      <c r="AN697" s="11" t="n">
        <f aca="false">SUM(AH697:AM697)</f>
        <v>0</v>
      </c>
      <c r="AO697" s="1"/>
      <c r="AP697" s="1"/>
      <c r="AQ697" s="1"/>
      <c r="AR697" s="1"/>
    </row>
    <row r="698" customFormat="false" ht="13.8" hidden="false" customHeight="false" outlineLevel="0" collapsed="false">
      <c r="A698" s="1" t="s">
        <v>872</v>
      </c>
      <c r="B698" s="1" t="n">
        <v>405</v>
      </c>
      <c r="C698" s="1" t="s">
        <v>747</v>
      </c>
      <c r="D698" s="1" t="s">
        <v>42</v>
      </c>
      <c r="E698" s="1" t="s">
        <v>748</v>
      </c>
      <c r="F698" s="1" t="n">
        <v>4</v>
      </c>
      <c r="G698" s="1" t="n">
        <v>1</v>
      </c>
      <c r="H698" s="1" t="n">
        <v>5</v>
      </c>
      <c r="I698" s="8" t="n">
        <v>4142961</v>
      </c>
      <c r="J698" s="1" t="n">
        <v>3</v>
      </c>
      <c r="K698" s="1" t="s">
        <v>96</v>
      </c>
      <c r="L698" s="1" t="n">
        <v>6</v>
      </c>
      <c r="O698" s="1" t="n">
        <v>2</v>
      </c>
      <c r="P698" s="1" t="n">
        <f aca="false">SUM(M698:O698)</f>
        <v>2</v>
      </c>
      <c r="W698" s="1" t="n">
        <f aca="false">SUM(Q698:V698)</f>
        <v>0</v>
      </c>
      <c r="X698" s="1" t="n">
        <v>1</v>
      </c>
      <c r="AD698" s="9"/>
      <c r="AE698" s="20"/>
      <c r="AF698" s="9" t="n">
        <f aca="false">SUM(Z698:AE698)</f>
        <v>0</v>
      </c>
      <c r="AG698" s="10"/>
      <c r="AH698" s="11"/>
      <c r="AI698" s="11"/>
      <c r="AJ698" s="11"/>
      <c r="AK698" s="11"/>
      <c r="AL698" s="11"/>
      <c r="AM698" s="11"/>
      <c r="AN698" s="11" t="n">
        <f aca="false">SUM(AH698:AM698)</f>
        <v>0</v>
      </c>
      <c r="AO698" s="1"/>
      <c r="AP698" s="1"/>
      <c r="AQ698" s="1"/>
      <c r="AR698" s="1"/>
    </row>
    <row r="699" customFormat="false" ht="13.8" hidden="false" customHeight="false" outlineLevel="0" collapsed="false">
      <c r="A699" s="1" t="s">
        <v>873</v>
      </c>
      <c r="B699" s="1" t="n">
        <v>264</v>
      </c>
      <c r="C699" s="1" t="s">
        <v>747</v>
      </c>
      <c r="D699" s="1" t="s">
        <v>42</v>
      </c>
      <c r="E699" s="1" t="s">
        <v>748</v>
      </c>
      <c r="F699" s="1" t="n">
        <v>1</v>
      </c>
      <c r="G699" s="1" t="n">
        <v>1</v>
      </c>
      <c r="H699" s="1" t="n">
        <v>28</v>
      </c>
      <c r="I699" s="8" t="n">
        <v>185786</v>
      </c>
      <c r="J699" s="1" t="n">
        <v>2</v>
      </c>
      <c r="K699" s="1" t="s">
        <v>44</v>
      </c>
      <c r="L699" s="1" t="n">
        <v>2</v>
      </c>
      <c r="P699" s="1" t="n">
        <f aca="false">SUM(M699:O699)</f>
        <v>0</v>
      </c>
      <c r="W699" s="1" t="n">
        <f aca="false">SUM(Q699:V699)</f>
        <v>0</v>
      </c>
      <c r="X699" s="1" t="n">
        <v>1</v>
      </c>
      <c r="AF699" s="9" t="n">
        <f aca="false">SUM(Z699:AE699)</f>
        <v>0</v>
      </c>
      <c r="AG699" s="10"/>
      <c r="AH699" s="11"/>
      <c r="AI699" s="11"/>
      <c r="AJ699" s="11"/>
      <c r="AK699" s="11"/>
      <c r="AL699" s="11"/>
      <c r="AM699" s="11"/>
      <c r="AN699" s="11" t="n">
        <f aca="false">SUM(AH699:AM699)</f>
        <v>0</v>
      </c>
      <c r="AO699" s="1"/>
      <c r="AP699" s="1"/>
      <c r="AQ699" s="1"/>
      <c r="AR699" s="1"/>
    </row>
    <row r="700" customFormat="false" ht="13.8" hidden="false" customHeight="false" outlineLevel="0" collapsed="false">
      <c r="A700" s="1" t="s">
        <v>874</v>
      </c>
      <c r="B700" s="1" t="n">
        <v>580</v>
      </c>
      <c r="C700" s="1" t="s">
        <v>747</v>
      </c>
      <c r="D700" s="1" t="s">
        <v>42</v>
      </c>
      <c r="E700" s="1" t="s">
        <v>748</v>
      </c>
      <c r="F700" s="1" t="n">
        <v>1</v>
      </c>
      <c r="G700" s="1" t="n">
        <v>1</v>
      </c>
      <c r="H700" s="1" t="n">
        <v>19</v>
      </c>
      <c r="I700" s="8" t="n">
        <v>88234</v>
      </c>
      <c r="J700" s="1" t="n">
        <v>1</v>
      </c>
      <c r="K700" s="1" t="s">
        <v>51</v>
      </c>
      <c r="L700" s="1" t="n">
        <v>1</v>
      </c>
      <c r="P700" s="1" t="n">
        <f aca="false">SUM(M700:O700)</f>
        <v>0</v>
      </c>
      <c r="W700" s="1" t="n">
        <f aca="false">SUM(Q700:V700)</f>
        <v>0</v>
      </c>
      <c r="AC700" s="9"/>
      <c r="AD700" s="9"/>
      <c r="AE700" s="20"/>
      <c r="AF700" s="9" t="n">
        <f aca="false">SUM(Z700:AE700)</f>
        <v>0</v>
      </c>
      <c r="AG700" s="10"/>
      <c r="AH700" s="11"/>
      <c r="AI700" s="11"/>
      <c r="AJ700" s="11"/>
      <c r="AK700" s="11"/>
      <c r="AL700" s="11"/>
      <c r="AM700" s="11"/>
      <c r="AN700" s="11" t="n">
        <f aca="false">SUM(AH700:AM700)</f>
        <v>0</v>
      </c>
      <c r="AO700" s="1"/>
      <c r="AP700" s="1"/>
      <c r="AQ700" s="1"/>
      <c r="AR700" s="1"/>
    </row>
    <row r="701" customFormat="false" ht="13.8" hidden="false" customHeight="false" outlineLevel="0" collapsed="false">
      <c r="A701" s="1" t="s">
        <v>875</v>
      </c>
      <c r="B701" s="1" t="n">
        <v>578</v>
      </c>
      <c r="C701" s="1" t="s">
        <v>747</v>
      </c>
      <c r="D701" s="1" t="s">
        <v>42</v>
      </c>
      <c r="E701" s="1" t="s">
        <v>748</v>
      </c>
      <c r="F701" s="1" t="n">
        <v>1</v>
      </c>
      <c r="G701" s="1" t="n">
        <v>1</v>
      </c>
      <c r="H701" s="1" t="n">
        <v>21</v>
      </c>
      <c r="I701" s="8" t="n">
        <v>610048</v>
      </c>
      <c r="J701" s="1" t="n">
        <v>2</v>
      </c>
      <c r="K701" s="1" t="s">
        <v>44</v>
      </c>
      <c r="L701" s="1" t="n">
        <v>2</v>
      </c>
      <c r="P701" s="1" t="n">
        <f aca="false">SUM(M701:O701)</f>
        <v>0</v>
      </c>
      <c r="W701" s="1" t="n">
        <f aca="false">SUM(Q701:V701)</f>
        <v>0</v>
      </c>
      <c r="AB701" s="9"/>
      <c r="AF701" s="9" t="n">
        <f aca="false">SUM(Z701:AE701)</f>
        <v>0</v>
      </c>
      <c r="AG701" s="10"/>
      <c r="AH701" s="11"/>
      <c r="AI701" s="11"/>
      <c r="AJ701" s="11"/>
      <c r="AK701" s="11"/>
      <c r="AL701" s="11"/>
      <c r="AM701" s="11"/>
      <c r="AN701" s="11" t="n">
        <f aca="false">SUM(AH701:AM701)</f>
        <v>0</v>
      </c>
      <c r="AO701" s="1"/>
      <c r="AP701" s="1"/>
      <c r="AQ701" s="1"/>
      <c r="AR701" s="1"/>
    </row>
    <row r="702" customFormat="false" ht="13.8" hidden="false" customHeight="false" outlineLevel="0" collapsed="false">
      <c r="A702" s="1" t="s">
        <v>876</v>
      </c>
      <c r="B702" s="1" t="n">
        <v>223</v>
      </c>
      <c r="C702" s="1" t="s">
        <v>747</v>
      </c>
      <c r="D702" s="1" t="s">
        <v>42</v>
      </c>
      <c r="E702" s="1" t="s">
        <v>748</v>
      </c>
      <c r="F702" s="1" t="n">
        <v>3</v>
      </c>
      <c r="G702" s="1" t="n">
        <v>1</v>
      </c>
      <c r="H702" s="1" t="n">
        <v>14</v>
      </c>
      <c r="I702" s="8" t="n">
        <v>1637546</v>
      </c>
      <c r="J702" s="1" t="n">
        <v>3</v>
      </c>
      <c r="K702" s="1" t="s">
        <v>46</v>
      </c>
      <c r="L702" s="1" t="n">
        <v>4</v>
      </c>
      <c r="M702" s="1" t="n">
        <v>2</v>
      </c>
      <c r="P702" s="1" t="n">
        <f aca="false">SUM(M702:O702)</f>
        <v>2</v>
      </c>
      <c r="W702" s="1" t="n">
        <f aca="false">SUM(Q702:V702)</f>
        <v>0</v>
      </c>
      <c r="X702" s="1" t="n">
        <v>1</v>
      </c>
      <c r="AF702" s="9" t="n">
        <f aca="false">SUM(Z702:AE702)</f>
        <v>0</v>
      </c>
      <c r="AG702" s="10"/>
      <c r="AH702" s="11"/>
      <c r="AI702" s="11"/>
      <c r="AJ702" s="11"/>
      <c r="AK702" s="11"/>
      <c r="AL702" s="11"/>
      <c r="AM702" s="11"/>
      <c r="AN702" s="11" t="n">
        <f aca="false">SUM(AH702:AM702)</f>
        <v>0</v>
      </c>
      <c r="AO702" s="1"/>
      <c r="AP702" s="1"/>
      <c r="AQ702" s="1"/>
      <c r="AR702" s="1"/>
    </row>
    <row r="703" customFormat="false" ht="13.8" hidden="false" customHeight="false" outlineLevel="0" collapsed="false">
      <c r="A703" s="1" t="s">
        <v>877</v>
      </c>
      <c r="B703" s="1" t="n">
        <v>403</v>
      </c>
      <c r="C703" s="1" t="s">
        <v>747</v>
      </c>
      <c r="D703" s="1" t="s">
        <v>42</v>
      </c>
      <c r="E703" s="1" t="s">
        <v>748</v>
      </c>
      <c r="F703" s="1" t="n">
        <v>1</v>
      </c>
      <c r="G703" s="1" t="n">
        <v>1</v>
      </c>
      <c r="H703" s="1" t="n">
        <v>19</v>
      </c>
      <c r="I703" s="8" t="n">
        <v>940213</v>
      </c>
      <c r="J703" s="1" t="n">
        <v>2</v>
      </c>
      <c r="K703" s="1" t="s">
        <v>44</v>
      </c>
      <c r="L703" s="1" t="n">
        <v>2</v>
      </c>
      <c r="P703" s="1" t="n">
        <f aca="false">SUM(M703:O703)</f>
        <v>0</v>
      </c>
      <c r="W703" s="1" t="n">
        <f aca="false">SUM(Q703:V703)</f>
        <v>0</v>
      </c>
      <c r="AF703" s="9" t="n">
        <f aca="false">SUM(Z703:AE703)</f>
        <v>0</v>
      </c>
      <c r="AG703" s="10"/>
      <c r="AH703" s="11"/>
      <c r="AI703" s="11"/>
      <c r="AJ703" s="11"/>
      <c r="AK703" s="11"/>
      <c r="AL703" s="11"/>
      <c r="AM703" s="11"/>
      <c r="AN703" s="11" t="n">
        <f aca="false">SUM(AH703:AM703)</f>
        <v>0</v>
      </c>
      <c r="AO703" s="1"/>
      <c r="AP703" s="1"/>
      <c r="AQ703" s="1"/>
      <c r="AR703" s="1"/>
    </row>
    <row r="704" customFormat="false" ht="13.8" hidden="false" customHeight="false" outlineLevel="0" collapsed="false">
      <c r="A704" s="1" t="s">
        <v>878</v>
      </c>
      <c r="B704" s="1" t="n">
        <v>876</v>
      </c>
      <c r="C704" s="1" t="s">
        <v>747</v>
      </c>
      <c r="D704" s="1" t="s">
        <v>42</v>
      </c>
      <c r="E704" s="1" t="s">
        <v>748</v>
      </c>
      <c r="G704" s="1" t="n">
        <v>1</v>
      </c>
      <c r="H704" s="1" t="n">
        <v>5</v>
      </c>
      <c r="I704" s="8" t="n">
        <v>12197</v>
      </c>
      <c r="J704" s="1" t="n">
        <v>1</v>
      </c>
      <c r="K704" s="1" t="s">
        <v>76</v>
      </c>
      <c r="L704" s="1" t="n">
        <v>0</v>
      </c>
      <c r="P704" s="1" t="n">
        <f aca="false">SUM(M704:O704)</f>
        <v>0</v>
      </c>
      <c r="W704" s="1" t="n">
        <f aca="false">SUM(Q704:V704)</f>
        <v>0</v>
      </c>
      <c r="AF704" s="9" t="n">
        <f aca="false">SUM(Z704:AE704)</f>
        <v>0</v>
      </c>
      <c r="AG704" s="10"/>
      <c r="AH704" s="11"/>
      <c r="AI704" s="11"/>
      <c r="AJ704" s="11"/>
      <c r="AK704" s="11"/>
      <c r="AL704" s="11"/>
      <c r="AM704" s="11"/>
      <c r="AN704" s="11" t="n">
        <f aca="false">SUM(AH704:AM704)</f>
        <v>0</v>
      </c>
      <c r="AO704" s="1"/>
      <c r="AP704" s="1"/>
      <c r="AQ704" s="1"/>
      <c r="AR704" s="1"/>
    </row>
    <row r="705" customFormat="false" ht="13.8" hidden="false" customHeight="false" outlineLevel="0" collapsed="false">
      <c r="A705" s="1" t="s">
        <v>879</v>
      </c>
      <c r="B705" s="1" t="n">
        <v>399</v>
      </c>
      <c r="C705" s="1" t="s">
        <v>747</v>
      </c>
      <c r="D705" s="1" t="s">
        <v>42</v>
      </c>
      <c r="E705" s="1" t="s">
        <v>748</v>
      </c>
      <c r="F705" s="1" t="n">
        <v>1</v>
      </c>
      <c r="G705" s="1" t="n">
        <v>1</v>
      </c>
      <c r="H705" s="1" t="n">
        <v>16</v>
      </c>
      <c r="I705" s="8" t="n">
        <v>1326552</v>
      </c>
      <c r="J705" s="1" t="n">
        <v>2</v>
      </c>
      <c r="K705" s="1" t="s">
        <v>44</v>
      </c>
      <c r="L705" s="1" t="n">
        <v>2</v>
      </c>
      <c r="P705" s="1" t="n">
        <f aca="false">SUM(M705:O705)</f>
        <v>0</v>
      </c>
      <c r="V705" s="1" t="n">
        <v>18</v>
      </c>
      <c r="W705" s="1" t="n">
        <f aca="false">SUM(Q705:V705)</f>
        <v>18</v>
      </c>
      <c r="AC705" s="9"/>
      <c r="AE705" s="9" t="n">
        <f aca="false">(V705)*(1+(J705)*0.2)</f>
        <v>25.2</v>
      </c>
      <c r="AF705" s="9" t="n">
        <f aca="false">SUM(Z705:AE705)</f>
        <v>25.2</v>
      </c>
      <c r="AG705" s="10" t="s">
        <v>47</v>
      </c>
      <c r="AH705" s="11"/>
      <c r="AI705" s="11"/>
      <c r="AJ705" s="11"/>
      <c r="AK705" s="11"/>
      <c r="AL705" s="11"/>
      <c r="AM705" s="11" t="n">
        <f aca="false">IF(AG705="yes",AE705*1.2,AE705)</f>
        <v>30.24</v>
      </c>
      <c r="AN705" s="11" t="n">
        <f aca="false">SUM(AH705:AM705)</f>
        <v>30.24</v>
      </c>
      <c r="AO705" s="1"/>
      <c r="AP705" s="1"/>
      <c r="AQ705" s="1"/>
      <c r="AR705" s="1"/>
    </row>
    <row r="706" customFormat="false" ht="13.8" hidden="false" customHeight="false" outlineLevel="0" collapsed="false">
      <c r="A706" s="1" t="s">
        <v>880</v>
      </c>
      <c r="B706" s="1" t="n">
        <v>651</v>
      </c>
      <c r="C706" s="1" t="s">
        <v>747</v>
      </c>
      <c r="D706" s="1" t="s">
        <v>42</v>
      </c>
      <c r="E706" s="1" t="s">
        <v>748</v>
      </c>
      <c r="F706" s="1" t="n">
        <v>6</v>
      </c>
      <c r="G706" s="1" t="n">
        <v>1</v>
      </c>
      <c r="H706" s="1" t="n">
        <v>21</v>
      </c>
      <c r="I706" s="8" t="n">
        <v>2555190</v>
      </c>
      <c r="J706" s="1" t="n">
        <v>3</v>
      </c>
      <c r="K706" s="1" t="s">
        <v>96</v>
      </c>
      <c r="L706" s="1" t="n">
        <v>6</v>
      </c>
      <c r="O706" s="1" t="n">
        <v>1</v>
      </c>
      <c r="P706" s="1" t="n">
        <f aca="false">SUM(M706:O706)</f>
        <v>1</v>
      </c>
      <c r="W706" s="1" t="n">
        <f aca="false">SUM(Q706:V706)</f>
        <v>0</v>
      </c>
      <c r="Z706" s="12"/>
      <c r="AA706" s="9"/>
      <c r="AB706" s="9"/>
      <c r="AF706" s="9" t="n">
        <f aca="false">SUM(Z706:AE706)</f>
        <v>0</v>
      </c>
      <c r="AG706" s="10"/>
      <c r="AH706" s="11"/>
      <c r="AI706" s="11"/>
      <c r="AJ706" s="11"/>
      <c r="AK706" s="11"/>
      <c r="AL706" s="11"/>
      <c r="AM706" s="11"/>
      <c r="AN706" s="11" t="n">
        <f aca="false">SUM(AH706:AM706)</f>
        <v>0</v>
      </c>
      <c r="AO706" s="1"/>
      <c r="AP706" s="1"/>
      <c r="AQ706" s="1"/>
      <c r="AR706" s="1"/>
    </row>
    <row r="707" customFormat="false" ht="13.8" hidden="false" customHeight="false" outlineLevel="0" collapsed="false">
      <c r="A707" s="1" t="s">
        <v>881</v>
      </c>
      <c r="B707" s="1" t="n">
        <v>250</v>
      </c>
      <c r="C707" s="1" t="s">
        <v>747</v>
      </c>
      <c r="D707" s="1" t="s">
        <v>42</v>
      </c>
      <c r="E707" s="1" t="s">
        <v>748</v>
      </c>
      <c r="F707" s="1" t="n">
        <v>1</v>
      </c>
      <c r="G707" s="1" t="n">
        <v>1</v>
      </c>
      <c r="H707" s="1" t="n">
        <v>20</v>
      </c>
      <c r="I707" s="8" t="n">
        <v>1632514</v>
      </c>
      <c r="J707" s="1" t="n">
        <v>2</v>
      </c>
      <c r="K707" s="1" t="s">
        <v>46</v>
      </c>
      <c r="L707" s="1" t="n">
        <v>4</v>
      </c>
      <c r="O707" s="1" t="n">
        <v>1</v>
      </c>
      <c r="P707" s="1" t="n">
        <f aca="false">SUM(M707:O707)</f>
        <v>1</v>
      </c>
      <c r="U707" s="1" t="n">
        <v>14</v>
      </c>
      <c r="W707" s="1" t="n">
        <f aca="false">SUM(Q707:V707)</f>
        <v>14</v>
      </c>
      <c r="AB707" s="9"/>
      <c r="AD707" s="9" t="n">
        <f aca="false">(U707)*(1+(J707)*0.2)</f>
        <v>19.6</v>
      </c>
      <c r="AF707" s="9" t="n">
        <f aca="false">SUM(Z707:AE707)</f>
        <v>19.6</v>
      </c>
      <c r="AG707" s="10" t="s">
        <v>53</v>
      </c>
      <c r="AH707" s="11"/>
      <c r="AI707" s="11"/>
      <c r="AJ707" s="11"/>
      <c r="AK707" s="11"/>
      <c r="AL707" s="11" t="n">
        <f aca="false">IF(AG707="yes",AD707*1.2,AD707)</f>
        <v>19.6</v>
      </c>
      <c r="AM707" s="11"/>
      <c r="AN707" s="11" t="n">
        <f aca="false">SUM(AH707:AM707)</f>
        <v>19.6</v>
      </c>
      <c r="AO707" s="1"/>
      <c r="AP707" s="1"/>
      <c r="AQ707" s="1"/>
      <c r="AR707" s="1"/>
    </row>
    <row r="708" customFormat="false" ht="13.8" hidden="false" customHeight="false" outlineLevel="0" collapsed="false">
      <c r="A708" s="1" t="s">
        <v>882</v>
      </c>
      <c r="B708" s="1" t="n">
        <v>407</v>
      </c>
      <c r="C708" s="1" t="s">
        <v>747</v>
      </c>
      <c r="D708" s="1" t="s">
        <v>42</v>
      </c>
      <c r="E708" s="1" t="s">
        <v>748</v>
      </c>
      <c r="F708" s="1" t="n">
        <v>1</v>
      </c>
      <c r="G708" s="1" t="n">
        <v>1</v>
      </c>
      <c r="H708" s="1" t="n">
        <v>39</v>
      </c>
      <c r="I708" s="8" t="n">
        <v>268900</v>
      </c>
      <c r="J708" s="1" t="n">
        <v>2</v>
      </c>
      <c r="K708" s="1" t="s">
        <v>44</v>
      </c>
      <c r="L708" s="1" t="n">
        <v>2</v>
      </c>
      <c r="P708" s="1" t="n">
        <f aca="false">SUM(M708:O708)</f>
        <v>0</v>
      </c>
      <c r="W708" s="1" t="n">
        <f aca="false">SUM(Q708:V708)</f>
        <v>0</v>
      </c>
      <c r="AF708" s="9" t="n">
        <f aca="false">SUM(Z708:AE708)</f>
        <v>0</v>
      </c>
      <c r="AG708" s="10"/>
      <c r="AH708" s="11"/>
      <c r="AI708" s="11"/>
      <c r="AJ708" s="11"/>
      <c r="AK708" s="11"/>
      <c r="AL708" s="11"/>
      <c r="AM708" s="11"/>
      <c r="AN708" s="11" t="n">
        <f aca="false">SUM(AH708:AM708)</f>
        <v>0</v>
      </c>
      <c r="AO708" s="1"/>
      <c r="AP708" s="1"/>
      <c r="AQ708" s="1"/>
      <c r="AR708" s="1"/>
    </row>
    <row r="709" customFormat="false" ht="13.8" hidden="false" customHeight="false" outlineLevel="0" collapsed="false">
      <c r="A709" s="1" t="s">
        <v>883</v>
      </c>
      <c r="B709" s="1" t="n">
        <v>587</v>
      </c>
      <c r="C709" s="1" t="s">
        <v>747</v>
      </c>
      <c r="D709" s="1" t="s">
        <v>42</v>
      </c>
      <c r="E709" s="1" t="s">
        <v>748</v>
      </c>
      <c r="F709" s="1" t="n">
        <v>1</v>
      </c>
      <c r="G709" s="1" t="n">
        <v>1</v>
      </c>
      <c r="H709" s="1" t="n">
        <v>12</v>
      </c>
      <c r="I709" s="8" t="n">
        <v>245432</v>
      </c>
      <c r="J709" s="1" t="n">
        <v>1</v>
      </c>
      <c r="K709" s="1" t="s">
        <v>44</v>
      </c>
      <c r="L709" s="1" t="n">
        <v>2</v>
      </c>
      <c r="P709" s="1" t="n">
        <f aca="false">SUM(M709:O709)</f>
        <v>0</v>
      </c>
      <c r="W709" s="1" t="n">
        <f aca="false">SUM(Q709:V709)</f>
        <v>0</v>
      </c>
      <c r="AF709" s="9" t="n">
        <f aca="false">SUM(Z709:AE709)</f>
        <v>0</v>
      </c>
      <c r="AG709" s="10"/>
      <c r="AH709" s="11"/>
      <c r="AI709" s="11"/>
      <c r="AJ709" s="11"/>
      <c r="AK709" s="11"/>
      <c r="AL709" s="11"/>
      <c r="AM709" s="11"/>
      <c r="AN709" s="11" t="n">
        <f aca="false">SUM(AH709:AM709)</f>
        <v>0</v>
      </c>
      <c r="AO709" s="1"/>
      <c r="AP709" s="1"/>
      <c r="AQ709" s="1"/>
      <c r="AR709" s="1"/>
    </row>
    <row r="710" customFormat="false" ht="13.8" hidden="false" customHeight="false" outlineLevel="0" collapsed="false">
      <c r="A710" s="1" t="s">
        <v>884</v>
      </c>
      <c r="B710" s="1" t="n">
        <v>877</v>
      </c>
      <c r="C710" s="1" t="s">
        <v>747</v>
      </c>
      <c r="D710" s="1" t="s">
        <v>42</v>
      </c>
      <c r="E710" s="1" t="s">
        <v>748</v>
      </c>
      <c r="F710" s="1" t="n">
        <v>1</v>
      </c>
      <c r="G710" s="1" t="n">
        <v>1</v>
      </c>
      <c r="H710" s="1" t="n">
        <v>6</v>
      </c>
      <c r="I710" s="8" t="n">
        <v>13071</v>
      </c>
      <c r="J710" s="1" t="n">
        <v>1</v>
      </c>
      <c r="K710" s="1" t="s">
        <v>76</v>
      </c>
      <c r="L710" s="1" t="n">
        <v>0</v>
      </c>
      <c r="P710" s="1" t="n">
        <f aca="false">SUM(M710:O710)</f>
        <v>0</v>
      </c>
      <c r="W710" s="1" t="n">
        <f aca="false">SUM(Q710:V710)</f>
        <v>0</v>
      </c>
      <c r="Z710" s="12"/>
      <c r="AF710" s="9" t="n">
        <f aca="false">SUM(Z710:AE710)</f>
        <v>0</v>
      </c>
      <c r="AG710" s="10"/>
      <c r="AH710" s="11"/>
      <c r="AI710" s="11"/>
      <c r="AJ710" s="11"/>
      <c r="AK710" s="11"/>
      <c r="AL710" s="11"/>
      <c r="AM710" s="11"/>
      <c r="AN710" s="11" t="n">
        <f aca="false">SUM(AH710:AM710)</f>
        <v>0</v>
      </c>
      <c r="AO710" s="1"/>
      <c r="AP710" s="1"/>
      <c r="AQ710" s="1"/>
      <c r="AR710" s="1"/>
    </row>
    <row r="711" customFormat="false" ht="13.8" hidden="false" customHeight="false" outlineLevel="0" collapsed="false">
      <c r="A711" s="1" t="s">
        <v>885</v>
      </c>
      <c r="B711" s="1" t="n">
        <v>198</v>
      </c>
      <c r="C711" s="1" t="s">
        <v>747</v>
      </c>
      <c r="D711" s="1" t="s">
        <v>42</v>
      </c>
      <c r="E711" s="1" t="s">
        <v>748</v>
      </c>
      <c r="F711" s="1" t="n">
        <v>3</v>
      </c>
      <c r="G711" s="1" t="n">
        <v>1</v>
      </c>
      <c r="H711" s="1" t="n">
        <v>6</v>
      </c>
      <c r="I711" s="8" t="n">
        <v>1895702</v>
      </c>
      <c r="J711" s="1" t="n">
        <v>3</v>
      </c>
      <c r="K711" s="1" t="s">
        <v>120</v>
      </c>
      <c r="L711" s="1" t="n">
        <v>5</v>
      </c>
      <c r="P711" s="1" t="n">
        <f aca="false">SUM(M711:O711)</f>
        <v>0</v>
      </c>
      <c r="W711" s="1" t="n">
        <f aca="false">SUM(Q711:V711)</f>
        <v>0</v>
      </c>
      <c r="X711" s="1" t="n">
        <v>3</v>
      </c>
      <c r="AF711" s="9" t="n">
        <f aca="false">SUM(Z711:AE711)</f>
        <v>0</v>
      </c>
      <c r="AG711" s="10"/>
      <c r="AH711" s="11"/>
      <c r="AI711" s="11"/>
      <c r="AJ711" s="11"/>
      <c r="AK711" s="11"/>
      <c r="AL711" s="11"/>
      <c r="AM711" s="11"/>
      <c r="AN711" s="11" t="n">
        <f aca="false">SUM(AH711:AM711)</f>
        <v>0</v>
      </c>
      <c r="AO711" s="1"/>
      <c r="AP711" s="1"/>
      <c r="AQ711" s="1"/>
      <c r="AR711" s="1"/>
    </row>
    <row r="712" customFormat="false" ht="13.8" hidden="false" customHeight="false" outlineLevel="0" collapsed="false">
      <c r="A712" s="1" t="s">
        <v>886</v>
      </c>
      <c r="B712" s="1" t="n">
        <v>207</v>
      </c>
      <c r="C712" s="1" t="s">
        <v>747</v>
      </c>
      <c r="D712" s="1" t="s">
        <v>42</v>
      </c>
      <c r="E712" s="1" t="s">
        <v>748</v>
      </c>
      <c r="F712" s="1" t="n">
        <v>5</v>
      </c>
      <c r="G712" s="1" t="n">
        <v>1</v>
      </c>
      <c r="H712" s="1" t="n">
        <v>11</v>
      </c>
      <c r="I712" s="8" t="n">
        <v>1219341</v>
      </c>
      <c r="J712" s="1" t="n">
        <v>3</v>
      </c>
      <c r="K712" s="1" t="s">
        <v>46</v>
      </c>
      <c r="L712" s="1" t="n">
        <v>4</v>
      </c>
      <c r="P712" s="1" t="n">
        <f aca="false">SUM(M712:O712)</f>
        <v>0</v>
      </c>
      <c r="W712" s="1" t="n">
        <f aca="false">SUM(Q712:V712)</f>
        <v>0</v>
      </c>
      <c r="X712" s="1" t="n">
        <v>5</v>
      </c>
      <c r="AF712" s="9" t="n">
        <f aca="false">SUM(Z712:AE712)</f>
        <v>0</v>
      </c>
      <c r="AG712" s="10"/>
      <c r="AH712" s="11"/>
      <c r="AI712" s="11"/>
      <c r="AJ712" s="11"/>
      <c r="AK712" s="11"/>
      <c r="AL712" s="11"/>
      <c r="AM712" s="11"/>
      <c r="AN712" s="11" t="n">
        <f aca="false">SUM(AH712:AM712)</f>
        <v>0</v>
      </c>
      <c r="AO712" s="1"/>
      <c r="AP712" s="1"/>
      <c r="AQ712" s="1"/>
      <c r="AR712" s="1"/>
    </row>
    <row r="713" customFormat="false" ht="13.8" hidden="false" customHeight="false" outlineLevel="0" collapsed="false">
      <c r="A713" s="1" t="s">
        <v>887</v>
      </c>
      <c r="B713" s="1" t="n">
        <v>408</v>
      </c>
      <c r="C713" s="1" t="s">
        <v>747</v>
      </c>
      <c r="D713" s="1" t="s">
        <v>42</v>
      </c>
      <c r="E713" s="1" t="s">
        <v>748</v>
      </c>
      <c r="F713" s="1" t="n">
        <v>15</v>
      </c>
      <c r="G713" s="1" t="n">
        <v>1</v>
      </c>
      <c r="H713" s="1" t="n">
        <v>33</v>
      </c>
      <c r="I713" s="8" t="n">
        <v>842492</v>
      </c>
      <c r="J713" s="1" t="n">
        <v>2</v>
      </c>
      <c r="K713" s="1" t="s">
        <v>46</v>
      </c>
      <c r="L713" s="1" t="n">
        <v>4</v>
      </c>
      <c r="N713" s="1" t="n">
        <v>1</v>
      </c>
      <c r="P713" s="1" t="n">
        <f aca="false">SUM(M713:O713)</f>
        <v>1</v>
      </c>
      <c r="V713" s="1" t="n">
        <v>20</v>
      </c>
      <c r="W713" s="1" t="n">
        <f aca="false">SUM(Q713:V713)</f>
        <v>20</v>
      </c>
      <c r="X713" s="1" t="n">
        <v>5</v>
      </c>
      <c r="Y713" s="1" t="n">
        <v>8</v>
      </c>
      <c r="AE713" s="9" t="n">
        <f aca="false">(V713)*(1+(J713)*0.2)</f>
        <v>28</v>
      </c>
      <c r="AF713" s="9" t="n">
        <f aca="false">SUM(Z713:AE713)</f>
        <v>28</v>
      </c>
      <c r="AG713" s="10" t="s">
        <v>47</v>
      </c>
      <c r="AH713" s="11"/>
      <c r="AI713" s="11"/>
      <c r="AJ713" s="11"/>
      <c r="AK713" s="11"/>
      <c r="AL713" s="11"/>
      <c r="AM713" s="11" t="n">
        <f aca="false">IF(AG713="yes",AE713*1.2,AE713)</f>
        <v>33.6</v>
      </c>
      <c r="AN713" s="11" t="n">
        <f aca="false">SUM(AH713:AM713)</f>
        <v>33.6</v>
      </c>
      <c r="AO713" s="1"/>
      <c r="AP713" s="1"/>
      <c r="AQ713" s="1"/>
      <c r="AR713" s="1"/>
    </row>
    <row r="714" customFormat="false" ht="13.8" hidden="false" customHeight="false" outlineLevel="0" collapsed="false">
      <c r="A714" s="1" t="s">
        <v>888</v>
      </c>
      <c r="B714" s="1" t="n">
        <v>238</v>
      </c>
      <c r="C714" s="1" t="s">
        <v>747</v>
      </c>
      <c r="D714" s="1" t="s">
        <v>42</v>
      </c>
      <c r="E714" s="1" t="s">
        <v>748</v>
      </c>
      <c r="F714" s="1" t="n">
        <v>1</v>
      </c>
      <c r="G714" s="1" t="n">
        <v>1</v>
      </c>
      <c r="H714" s="1" t="n">
        <v>17</v>
      </c>
      <c r="I714" s="8" t="n">
        <v>557357</v>
      </c>
      <c r="J714" s="1" t="n">
        <v>2</v>
      </c>
      <c r="K714" s="1" t="s">
        <v>44</v>
      </c>
      <c r="L714" s="1" t="n">
        <v>2</v>
      </c>
      <c r="P714" s="1" t="n">
        <f aca="false">SUM(M714:O714)</f>
        <v>0</v>
      </c>
      <c r="W714" s="1" t="n">
        <f aca="false">SUM(Q714:V714)</f>
        <v>0</v>
      </c>
      <c r="AF714" s="9" t="n">
        <f aca="false">SUM(Z714:AE714)</f>
        <v>0</v>
      </c>
      <c r="AG714" s="10"/>
      <c r="AH714" s="11"/>
      <c r="AI714" s="11"/>
      <c r="AJ714" s="11"/>
      <c r="AK714" s="11"/>
      <c r="AL714" s="11"/>
      <c r="AM714" s="11"/>
      <c r="AN714" s="11" t="n">
        <f aca="false">SUM(AH714:AM714)</f>
        <v>0</v>
      </c>
      <c r="AO714" s="1"/>
      <c r="AP714" s="1"/>
      <c r="AQ714" s="1"/>
      <c r="AR714" s="1"/>
    </row>
    <row r="715" customFormat="false" ht="13.8" hidden="false" customHeight="false" outlineLevel="0" collapsed="false">
      <c r="A715" s="1" t="s">
        <v>889</v>
      </c>
      <c r="B715" s="1" t="n">
        <v>244</v>
      </c>
      <c r="C715" s="1" t="s">
        <v>747</v>
      </c>
      <c r="D715" s="1" t="s">
        <v>42</v>
      </c>
      <c r="E715" s="1" t="s">
        <v>748</v>
      </c>
      <c r="F715" s="1" t="n">
        <v>1</v>
      </c>
      <c r="G715" s="1" t="n">
        <v>1</v>
      </c>
      <c r="H715" s="1" t="n">
        <v>8</v>
      </c>
      <c r="I715" s="8" t="n">
        <v>195563</v>
      </c>
      <c r="J715" s="1" t="n">
        <v>3</v>
      </c>
      <c r="K715" s="1" t="s">
        <v>44</v>
      </c>
      <c r="L715" s="1" t="n">
        <v>2</v>
      </c>
      <c r="P715" s="1" t="n">
        <f aca="false">SUM(M715:O715)</f>
        <v>0</v>
      </c>
      <c r="W715" s="1" t="n">
        <f aca="false">SUM(Q715:V715)</f>
        <v>0</v>
      </c>
      <c r="AF715" s="9" t="n">
        <f aca="false">SUM(Z715:AE715)</f>
        <v>0</v>
      </c>
      <c r="AG715" s="10"/>
      <c r="AH715" s="11"/>
      <c r="AI715" s="11"/>
      <c r="AJ715" s="11"/>
      <c r="AK715" s="11"/>
      <c r="AL715" s="11"/>
      <c r="AM715" s="11"/>
      <c r="AN715" s="11" t="n">
        <f aca="false">SUM(AH715:AM715)</f>
        <v>0</v>
      </c>
      <c r="AO715" s="1"/>
      <c r="AP715" s="1"/>
      <c r="AQ715" s="1"/>
      <c r="AR715" s="1"/>
    </row>
    <row r="716" customFormat="false" ht="13.8" hidden="false" customHeight="false" outlineLevel="0" collapsed="false">
      <c r="A716" s="1" t="s">
        <v>890</v>
      </c>
      <c r="B716" s="1" t="n">
        <v>351</v>
      </c>
      <c r="C716" s="1" t="s">
        <v>747</v>
      </c>
      <c r="D716" s="1" t="s">
        <v>42</v>
      </c>
      <c r="E716" s="1" t="s">
        <v>748</v>
      </c>
      <c r="F716" s="1" t="n">
        <v>3</v>
      </c>
      <c r="G716" s="1" t="n">
        <v>1</v>
      </c>
      <c r="H716" s="1" t="n">
        <v>70</v>
      </c>
      <c r="I716" s="8" t="n">
        <v>2354971</v>
      </c>
      <c r="J716" s="1" t="n">
        <v>2</v>
      </c>
      <c r="K716" s="1" t="s">
        <v>46</v>
      </c>
      <c r="L716" s="1" t="n">
        <v>4</v>
      </c>
      <c r="P716" s="1" t="n">
        <f aca="false">SUM(M716:O716)</f>
        <v>0</v>
      </c>
      <c r="W716" s="1" t="n">
        <f aca="false">SUM(Q716:V716)</f>
        <v>0</v>
      </c>
      <c r="AA716" s="9"/>
      <c r="AD716" s="9"/>
      <c r="AF716" s="9" t="n">
        <f aca="false">SUM(Z716:AE716)</f>
        <v>0</v>
      </c>
      <c r="AG716" s="10"/>
      <c r="AH716" s="11"/>
      <c r="AI716" s="11"/>
      <c r="AJ716" s="11"/>
      <c r="AK716" s="11"/>
      <c r="AL716" s="11"/>
      <c r="AM716" s="11"/>
      <c r="AN716" s="11" t="n">
        <f aca="false">SUM(AH716:AM716)</f>
        <v>0</v>
      </c>
      <c r="AO716" s="1"/>
      <c r="AP716" s="1"/>
      <c r="AQ716" s="1"/>
      <c r="AR716" s="1"/>
    </row>
    <row r="717" customFormat="false" ht="13.8" hidden="false" customHeight="false" outlineLevel="0" collapsed="false">
      <c r="A717" s="1" t="s">
        <v>891</v>
      </c>
      <c r="B717" s="1" t="n">
        <v>260</v>
      </c>
      <c r="C717" s="1" t="s">
        <v>747</v>
      </c>
      <c r="D717" s="1" t="s">
        <v>42</v>
      </c>
      <c r="E717" s="1" t="s">
        <v>748</v>
      </c>
      <c r="F717" s="1" t="n">
        <v>5</v>
      </c>
      <c r="G717" s="1" t="n">
        <v>1</v>
      </c>
      <c r="H717" s="1" t="n">
        <v>21</v>
      </c>
      <c r="I717" s="8" t="n">
        <v>2571118</v>
      </c>
      <c r="J717" s="1" t="n">
        <v>3</v>
      </c>
      <c r="K717" s="1" t="s">
        <v>46</v>
      </c>
      <c r="L717" s="1" t="n">
        <v>4</v>
      </c>
      <c r="M717" s="1" t="n">
        <v>1</v>
      </c>
      <c r="P717" s="1" t="n">
        <f aca="false">SUM(M717:O717)</f>
        <v>1</v>
      </c>
      <c r="W717" s="1" t="n">
        <f aca="false">SUM(Q717:V717)</f>
        <v>0</v>
      </c>
      <c r="AA717" s="9"/>
      <c r="AF717" s="9" t="n">
        <f aca="false">SUM(Z717:AE717)</f>
        <v>0</v>
      </c>
      <c r="AG717" s="10"/>
      <c r="AH717" s="11"/>
      <c r="AI717" s="11"/>
      <c r="AJ717" s="11"/>
      <c r="AK717" s="11"/>
      <c r="AL717" s="11"/>
      <c r="AM717" s="11"/>
      <c r="AN717" s="11" t="n">
        <f aca="false">SUM(AH717:AM717)</f>
        <v>0</v>
      </c>
      <c r="AO717" s="1"/>
      <c r="AP717" s="1"/>
      <c r="AQ717" s="1"/>
      <c r="AR717" s="1"/>
    </row>
    <row r="718" customFormat="false" ht="13.8" hidden="false" customHeight="false" outlineLevel="0" collapsed="false">
      <c r="A718" s="1" t="s">
        <v>892</v>
      </c>
      <c r="B718" s="1" t="n">
        <v>228</v>
      </c>
      <c r="C718" s="1" t="s">
        <v>747</v>
      </c>
      <c r="D718" s="1" t="s">
        <v>42</v>
      </c>
      <c r="E718" s="1" t="s">
        <v>748</v>
      </c>
      <c r="F718" s="1" t="n">
        <v>1</v>
      </c>
      <c r="G718" s="1" t="n">
        <v>1</v>
      </c>
      <c r="H718" s="1" t="n">
        <v>10</v>
      </c>
      <c r="I718" s="8" t="n">
        <v>2170057</v>
      </c>
      <c r="J718" s="1" t="n">
        <v>3</v>
      </c>
      <c r="K718" s="1" t="s">
        <v>46</v>
      </c>
      <c r="L718" s="1" t="n">
        <v>4</v>
      </c>
      <c r="P718" s="1" t="n">
        <f aca="false">SUM(M718:O718)</f>
        <v>0</v>
      </c>
      <c r="W718" s="1" t="n">
        <f aca="false">SUM(Q718:V718)</f>
        <v>0</v>
      </c>
      <c r="AF718" s="9" t="n">
        <f aca="false">SUM(Z718:AE718)</f>
        <v>0</v>
      </c>
      <c r="AG718" s="10"/>
      <c r="AH718" s="11"/>
      <c r="AI718" s="11"/>
      <c r="AJ718" s="11"/>
      <c r="AK718" s="11"/>
      <c r="AL718" s="11"/>
      <c r="AM718" s="11"/>
      <c r="AN718" s="11" t="n">
        <f aca="false">SUM(AH718:AM718)</f>
        <v>0</v>
      </c>
      <c r="AO718" s="1"/>
      <c r="AP718" s="1"/>
      <c r="AQ718" s="1"/>
      <c r="AR718" s="1"/>
    </row>
    <row r="719" customFormat="false" ht="13.8" hidden="false" customHeight="false" outlineLevel="0" collapsed="false">
      <c r="A719" s="1" t="s">
        <v>893</v>
      </c>
      <c r="B719" s="1" t="n">
        <v>574</v>
      </c>
      <c r="C719" s="1" t="s">
        <v>747</v>
      </c>
      <c r="D719" s="1" t="s">
        <v>42</v>
      </c>
      <c r="E719" s="1" t="s">
        <v>748</v>
      </c>
      <c r="F719" s="1" t="n">
        <v>1</v>
      </c>
      <c r="G719" s="1" t="n">
        <v>1</v>
      </c>
      <c r="H719" s="1" t="n">
        <v>24</v>
      </c>
      <c r="I719" s="8" t="n">
        <v>408364</v>
      </c>
      <c r="J719" s="1" t="n">
        <v>1</v>
      </c>
      <c r="K719" s="1" t="s">
        <v>51</v>
      </c>
      <c r="L719" s="1" t="n">
        <v>1</v>
      </c>
      <c r="P719" s="1" t="n">
        <f aca="false">SUM(M719:O719)</f>
        <v>0</v>
      </c>
      <c r="W719" s="1" t="n">
        <f aca="false">SUM(Q719:V719)</f>
        <v>0</v>
      </c>
      <c r="X719" s="1" t="n">
        <v>1</v>
      </c>
      <c r="AF719" s="9" t="n">
        <f aca="false">SUM(Z719:AE719)</f>
        <v>0</v>
      </c>
      <c r="AG719" s="10"/>
      <c r="AH719" s="11"/>
      <c r="AI719" s="11"/>
      <c r="AJ719" s="11"/>
      <c r="AK719" s="11"/>
      <c r="AL719" s="11"/>
      <c r="AM719" s="11"/>
      <c r="AN719" s="11" t="n">
        <f aca="false">SUM(AH719:AM719)</f>
        <v>0</v>
      </c>
      <c r="AO719" s="1"/>
      <c r="AP719" s="1"/>
      <c r="AQ719" s="1"/>
      <c r="AR719" s="1"/>
    </row>
    <row r="720" customFormat="false" ht="13.8" hidden="false" customHeight="false" outlineLevel="0" collapsed="false">
      <c r="A720" s="1" t="s">
        <v>894</v>
      </c>
      <c r="B720" s="1" t="n">
        <v>824</v>
      </c>
      <c r="C720" s="1" t="s">
        <v>747</v>
      </c>
      <c r="D720" s="1" t="s">
        <v>42</v>
      </c>
      <c r="E720" s="1" t="s">
        <v>748</v>
      </c>
      <c r="G720" s="1" t="n">
        <v>1</v>
      </c>
      <c r="H720" s="1" t="n">
        <v>10</v>
      </c>
      <c r="I720" s="8" t="n">
        <v>22001</v>
      </c>
      <c r="J720" s="1" t="n">
        <v>1</v>
      </c>
      <c r="K720" s="1" t="s">
        <v>51</v>
      </c>
      <c r="L720" s="1" t="n">
        <v>1</v>
      </c>
      <c r="P720" s="1" t="n">
        <f aca="false">SUM(M720:O720)</f>
        <v>0</v>
      </c>
      <c r="W720" s="1" t="n">
        <f aca="false">SUM(Q720:V720)</f>
        <v>0</v>
      </c>
      <c r="AF720" s="9" t="n">
        <f aca="false">SUM(Z720:AE720)</f>
        <v>0</v>
      </c>
      <c r="AG720" s="10"/>
      <c r="AH720" s="11"/>
      <c r="AI720" s="11"/>
      <c r="AJ720" s="11"/>
      <c r="AK720" s="11"/>
      <c r="AL720" s="11"/>
      <c r="AM720" s="11"/>
      <c r="AN720" s="11" t="n">
        <f aca="false">SUM(AH720:AM720)</f>
        <v>0</v>
      </c>
      <c r="AO720" s="1"/>
      <c r="AP720" s="1"/>
      <c r="AQ720" s="1"/>
      <c r="AR720" s="1"/>
    </row>
    <row r="721" customFormat="false" ht="13.8" hidden="false" customHeight="false" outlineLevel="0" collapsed="false">
      <c r="A721" s="1" t="s">
        <v>895</v>
      </c>
      <c r="B721" s="1" t="n">
        <v>248</v>
      </c>
      <c r="C721" s="1" t="s">
        <v>747</v>
      </c>
      <c r="D721" s="1" t="s">
        <v>42</v>
      </c>
      <c r="E721" s="1" t="s">
        <v>748</v>
      </c>
      <c r="F721" s="1" t="n">
        <v>5</v>
      </c>
      <c r="G721" s="1" t="n">
        <v>1</v>
      </c>
      <c r="H721" s="1" t="n">
        <v>24</v>
      </c>
      <c r="I721" s="8" t="n">
        <v>1666573</v>
      </c>
      <c r="J721" s="1" t="n">
        <v>3</v>
      </c>
      <c r="K721" s="1" t="s">
        <v>120</v>
      </c>
      <c r="L721" s="1" t="n">
        <v>5</v>
      </c>
      <c r="O721" s="1" t="n">
        <v>1</v>
      </c>
      <c r="P721" s="1" t="n">
        <f aca="false">SUM(M721:O721)</f>
        <v>1</v>
      </c>
      <c r="W721" s="1" t="n">
        <f aca="false">SUM(Q721:V721)</f>
        <v>0</v>
      </c>
      <c r="X721" s="1" t="n">
        <v>1</v>
      </c>
      <c r="AA721" s="9"/>
      <c r="AF721" s="9" t="n">
        <f aca="false">SUM(Z721:AE721)</f>
        <v>0</v>
      </c>
      <c r="AG721" s="10"/>
      <c r="AH721" s="11"/>
      <c r="AI721" s="11"/>
      <c r="AJ721" s="11"/>
      <c r="AK721" s="11"/>
      <c r="AL721" s="11"/>
      <c r="AM721" s="11"/>
      <c r="AN721" s="11" t="n">
        <f aca="false">SUM(AH721:AM721)</f>
        <v>0</v>
      </c>
      <c r="AO721" s="1"/>
      <c r="AP721" s="1"/>
      <c r="AQ721" s="1"/>
      <c r="AR721" s="1"/>
    </row>
    <row r="722" customFormat="false" ht="13.8" hidden="false" customHeight="false" outlineLevel="0" collapsed="false">
      <c r="A722" s="1" t="s">
        <v>896</v>
      </c>
      <c r="B722" s="1" t="n">
        <v>576</v>
      </c>
      <c r="C722" s="1" t="s">
        <v>747</v>
      </c>
      <c r="D722" s="1" t="s">
        <v>42</v>
      </c>
      <c r="E722" s="1" t="s">
        <v>748</v>
      </c>
      <c r="G722" s="1" t="n">
        <v>1</v>
      </c>
      <c r="H722" s="1" t="n">
        <v>25</v>
      </c>
      <c r="I722" s="8" t="n">
        <v>117338</v>
      </c>
      <c r="J722" s="1" t="n">
        <v>1</v>
      </c>
      <c r="K722" s="1" t="s">
        <v>76</v>
      </c>
      <c r="L722" s="1" t="n">
        <v>0</v>
      </c>
      <c r="P722" s="1" t="n">
        <f aca="false">SUM(M722:O722)</f>
        <v>0</v>
      </c>
      <c r="W722" s="1" t="n">
        <f aca="false">SUM(Q722:V722)</f>
        <v>0</v>
      </c>
      <c r="AC722" s="9"/>
      <c r="AD722" s="9"/>
      <c r="AF722" s="9" t="n">
        <f aca="false">SUM(Z722:AE722)</f>
        <v>0</v>
      </c>
      <c r="AG722" s="10"/>
      <c r="AH722" s="11"/>
      <c r="AI722" s="11"/>
      <c r="AJ722" s="11"/>
      <c r="AK722" s="11"/>
      <c r="AL722" s="11"/>
      <c r="AM722" s="11"/>
      <c r="AN722" s="11" t="n">
        <f aca="false">SUM(AH722:AM722)</f>
        <v>0</v>
      </c>
      <c r="AO722" s="1"/>
      <c r="AP722" s="1"/>
      <c r="AQ722" s="1"/>
      <c r="AR722" s="1"/>
    </row>
    <row r="723" customFormat="false" ht="13.8" hidden="false" customHeight="false" outlineLevel="0" collapsed="false">
      <c r="A723" s="1" t="s">
        <v>897</v>
      </c>
      <c r="B723" s="1" t="n">
        <v>200</v>
      </c>
      <c r="C723" s="1" t="s">
        <v>747</v>
      </c>
      <c r="D723" s="1" t="s">
        <v>42</v>
      </c>
      <c r="E723" s="1" t="s">
        <v>748</v>
      </c>
      <c r="F723" s="1" t="n">
        <v>1</v>
      </c>
      <c r="G723" s="1" t="n">
        <v>1</v>
      </c>
      <c r="H723" s="1" t="n">
        <v>9</v>
      </c>
      <c r="I723" s="8" t="n">
        <v>1295662</v>
      </c>
      <c r="J723" s="1" t="n">
        <v>3</v>
      </c>
      <c r="K723" s="1" t="s">
        <v>46</v>
      </c>
      <c r="L723" s="1" t="n">
        <v>4</v>
      </c>
      <c r="P723" s="1" t="n">
        <f aca="false">SUM(M723:O723)</f>
        <v>0</v>
      </c>
      <c r="W723" s="1" t="n">
        <f aca="false">SUM(Q723:V723)</f>
        <v>0</v>
      </c>
      <c r="X723" s="1" t="n">
        <v>3</v>
      </c>
      <c r="AF723" s="9" t="n">
        <f aca="false">SUM(Z723:AE723)</f>
        <v>0</v>
      </c>
      <c r="AG723" s="10"/>
      <c r="AH723" s="11"/>
      <c r="AI723" s="11"/>
      <c r="AJ723" s="11"/>
      <c r="AK723" s="11"/>
      <c r="AL723" s="11"/>
      <c r="AM723" s="11"/>
      <c r="AN723" s="11" t="n">
        <f aca="false">SUM(AH723:AM723)</f>
        <v>0</v>
      </c>
      <c r="AO723" s="1"/>
      <c r="AP723" s="1"/>
      <c r="AQ723" s="1"/>
      <c r="AR723" s="1"/>
    </row>
    <row r="724" customFormat="false" ht="13.8" hidden="false" customHeight="false" outlineLevel="0" collapsed="false">
      <c r="A724" s="1" t="s">
        <v>898</v>
      </c>
      <c r="B724" s="1" t="n">
        <v>201</v>
      </c>
      <c r="C724" s="1" t="s">
        <v>747</v>
      </c>
      <c r="D724" s="1" t="s">
        <v>42</v>
      </c>
      <c r="E724" s="1" t="s">
        <v>748</v>
      </c>
      <c r="F724" s="1" t="n">
        <v>3</v>
      </c>
      <c r="G724" s="1" t="n">
        <v>1</v>
      </c>
      <c r="H724" s="1" t="n">
        <v>12</v>
      </c>
      <c r="I724" s="8" t="n">
        <v>1419565</v>
      </c>
      <c r="J724" s="1" t="n">
        <v>3</v>
      </c>
      <c r="K724" s="1" t="s">
        <v>46</v>
      </c>
      <c r="L724" s="1" t="n">
        <v>4</v>
      </c>
      <c r="P724" s="1" t="n">
        <f aca="false">SUM(M724:O724)</f>
        <v>0</v>
      </c>
      <c r="W724" s="1" t="n">
        <f aca="false">SUM(Q724:V724)</f>
        <v>0</v>
      </c>
      <c r="X724" s="1" t="n">
        <v>3</v>
      </c>
      <c r="AF724" s="9" t="n">
        <f aca="false">SUM(Z724:AE724)</f>
        <v>0</v>
      </c>
      <c r="AG724" s="10"/>
      <c r="AH724" s="11"/>
      <c r="AI724" s="11"/>
      <c r="AJ724" s="11"/>
      <c r="AK724" s="11"/>
      <c r="AL724" s="11"/>
      <c r="AM724" s="11"/>
      <c r="AN724" s="11" t="n">
        <f aca="false">SUM(AH724:AM724)</f>
        <v>0</v>
      </c>
      <c r="AO724" s="1"/>
      <c r="AP724" s="1"/>
      <c r="AQ724" s="1"/>
      <c r="AR724" s="1"/>
    </row>
    <row r="725" customFormat="false" ht="13.8" hidden="false" customHeight="false" outlineLevel="0" collapsed="false">
      <c r="A725" s="1" t="s">
        <v>899</v>
      </c>
      <c r="B725" s="1" t="n">
        <v>573</v>
      </c>
      <c r="C725" s="1" t="s">
        <v>747</v>
      </c>
      <c r="D725" s="1" t="s">
        <v>42</v>
      </c>
      <c r="E725" s="1" t="s">
        <v>748</v>
      </c>
      <c r="F725" s="1" t="n">
        <v>1</v>
      </c>
      <c r="G725" s="1" t="n">
        <v>1</v>
      </c>
      <c r="H725" s="1" t="n">
        <v>10</v>
      </c>
      <c r="I725" s="8" t="n">
        <v>557357</v>
      </c>
      <c r="J725" s="1" t="n">
        <v>2</v>
      </c>
      <c r="K725" s="1" t="s">
        <v>51</v>
      </c>
      <c r="L725" s="1" t="n">
        <v>1</v>
      </c>
      <c r="P725" s="1" t="n">
        <f aca="false">SUM(M725:O725)</f>
        <v>0</v>
      </c>
      <c r="V725" s="1" t="n">
        <v>23</v>
      </c>
      <c r="W725" s="1" t="n">
        <f aca="false">SUM(Q725:V725)</f>
        <v>23</v>
      </c>
      <c r="Z725" s="12"/>
      <c r="AE725" s="9" t="n">
        <f aca="false">(V725)*(1+(J725)*0.2)</f>
        <v>32.2</v>
      </c>
      <c r="AF725" s="9" t="n">
        <f aca="false">SUM(Z725:AE725)</f>
        <v>32.2</v>
      </c>
      <c r="AG725" s="10" t="s">
        <v>53</v>
      </c>
      <c r="AH725" s="11"/>
      <c r="AI725" s="11"/>
      <c r="AJ725" s="11"/>
      <c r="AK725" s="11"/>
      <c r="AL725" s="11"/>
      <c r="AM725" s="11" t="n">
        <f aca="false">IF(AG725="yes",AE725*1.2,AE725)</f>
        <v>32.2</v>
      </c>
      <c r="AN725" s="11" t="n">
        <f aca="false">SUM(AH725:AM725)</f>
        <v>32.2</v>
      </c>
      <c r="AO725" s="1"/>
      <c r="AP725" s="1"/>
      <c r="AQ725" s="1"/>
      <c r="AR725" s="1"/>
    </row>
    <row r="726" customFormat="false" ht="13.8" hidden="false" customHeight="false" outlineLevel="0" collapsed="false">
      <c r="A726" s="1" t="s">
        <v>900</v>
      </c>
      <c r="B726" s="1" t="n">
        <v>790</v>
      </c>
      <c r="C726" s="1" t="s">
        <v>901</v>
      </c>
      <c r="D726" s="1" t="s">
        <v>42</v>
      </c>
      <c r="E726" s="1" t="s">
        <v>902</v>
      </c>
      <c r="F726" s="1" t="n">
        <v>3</v>
      </c>
      <c r="G726" s="1" t="n">
        <v>1</v>
      </c>
      <c r="H726" s="1" t="n">
        <v>9</v>
      </c>
      <c r="I726" s="8" t="n">
        <v>1198713</v>
      </c>
      <c r="J726" s="1" t="n">
        <v>3</v>
      </c>
      <c r="K726" s="1" t="s">
        <v>120</v>
      </c>
      <c r="L726" s="1" t="n">
        <v>5</v>
      </c>
      <c r="M726" s="1" t="n">
        <v>1</v>
      </c>
      <c r="O726" s="1" t="n">
        <v>1</v>
      </c>
      <c r="P726" s="1" t="n">
        <f aca="false">SUM(M726:O726)</f>
        <v>2</v>
      </c>
      <c r="W726" s="1" t="n">
        <f aca="false">SUM(Q726:V726)</f>
        <v>0</v>
      </c>
      <c r="Y726" s="1" t="n">
        <v>2</v>
      </c>
      <c r="AF726" s="9" t="n">
        <f aca="false">SUM(Z726:AE726)</f>
        <v>0</v>
      </c>
      <c r="AG726" s="10"/>
      <c r="AH726" s="11"/>
      <c r="AI726" s="11"/>
      <c r="AJ726" s="11"/>
      <c r="AK726" s="11"/>
      <c r="AL726" s="11"/>
      <c r="AM726" s="11"/>
      <c r="AN726" s="11" t="n">
        <f aca="false">SUM(AH726:AM726)</f>
        <v>0</v>
      </c>
      <c r="AO726" s="1"/>
      <c r="AP726" s="1"/>
      <c r="AQ726" s="1"/>
      <c r="AR726" s="1"/>
    </row>
    <row r="727" customFormat="false" ht="13.8" hidden="false" customHeight="false" outlineLevel="0" collapsed="false">
      <c r="A727" s="1" t="s">
        <v>903</v>
      </c>
      <c r="B727" s="1" t="n">
        <v>176</v>
      </c>
      <c r="C727" s="1" t="s">
        <v>901</v>
      </c>
      <c r="D727" s="1" t="s">
        <v>42</v>
      </c>
      <c r="E727" s="1" t="s">
        <v>902</v>
      </c>
      <c r="F727" s="1" t="n">
        <v>3</v>
      </c>
      <c r="G727" s="1" t="n">
        <v>1</v>
      </c>
      <c r="H727" s="1" t="n">
        <v>13</v>
      </c>
      <c r="I727" s="8" t="n">
        <v>740663</v>
      </c>
      <c r="J727" s="1" t="n">
        <v>3</v>
      </c>
      <c r="K727" s="1" t="s">
        <v>44</v>
      </c>
      <c r="L727" s="1" t="n">
        <v>2</v>
      </c>
      <c r="O727" s="1" t="n">
        <v>1</v>
      </c>
      <c r="P727" s="1" t="n">
        <f aca="false">SUM(M727:O727)</f>
        <v>1</v>
      </c>
      <c r="W727" s="1" t="n">
        <f aca="false">SUM(Q727:V727)</f>
        <v>0</v>
      </c>
      <c r="AF727" s="9" t="n">
        <f aca="false">SUM(Z727:AE727)</f>
        <v>0</v>
      </c>
      <c r="AG727" s="10"/>
      <c r="AH727" s="11"/>
      <c r="AI727" s="11"/>
      <c r="AJ727" s="11"/>
      <c r="AK727" s="11"/>
      <c r="AL727" s="11"/>
      <c r="AM727" s="11"/>
      <c r="AN727" s="11" t="n">
        <f aca="false">SUM(AH727:AM727)</f>
        <v>0</v>
      </c>
      <c r="AO727" s="1"/>
      <c r="AP727" s="1"/>
      <c r="AQ727" s="1"/>
      <c r="AR727" s="1"/>
    </row>
    <row r="728" customFormat="false" ht="13.8" hidden="false" customHeight="false" outlineLevel="0" collapsed="false">
      <c r="A728" s="1" t="s">
        <v>904</v>
      </c>
      <c r="B728" s="1" t="n">
        <v>165</v>
      </c>
      <c r="C728" s="1" t="s">
        <v>901</v>
      </c>
      <c r="D728" s="1" t="s">
        <v>42</v>
      </c>
      <c r="E728" s="1" t="s">
        <v>902</v>
      </c>
      <c r="F728" s="1" t="n">
        <v>32</v>
      </c>
      <c r="G728" s="1" t="n">
        <v>1</v>
      </c>
      <c r="H728" s="1" t="n">
        <v>14</v>
      </c>
      <c r="I728" s="8" t="n">
        <v>3040244</v>
      </c>
      <c r="J728" s="1" t="n">
        <v>4</v>
      </c>
      <c r="K728" s="1" t="s">
        <v>57</v>
      </c>
      <c r="L728" s="1" t="n">
        <v>8</v>
      </c>
      <c r="M728" s="1" t="n">
        <v>1</v>
      </c>
      <c r="O728" s="1" t="n">
        <v>1</v>
      </c>
      <c r="P728" s="1" t="n">
        <f aca="false">SUM(M728:O728)</f>
        <v>2</v>
      </c>
      <c r="W728" s="1" t="n">
        <f aca="false">SUM(Q728:V728)</f>
        <v>0</v>
      </c>
      <c r="X728" s="1" t="n">
        <v>2</v>
      </c>
      <c r="Y728" s="1" t="n">
        <v>4</v>
      </c>
      <c r="AF728" s="9" t="n">
        <f aca="false">SUM(Z728:AE728)</f>
        <v>0</v>
      </c>
      <c r="AG728" s="10"/>
      <c r="AH728" s="11"/>
      <c r="AI728" s="11"/>
      <c r="AJ728" s="11"/>
      <c r="AK728" s="11"/>
      <c r="AL728" s="11"/>
      <c r="AM728" s="11"/>
      <c r="AN728" s="11" t="n">
        <f aca="false">SUM(AH728:AM728)</f>
        <v>0</v>
      </c>
      <c r="AO728" s="1"/>
      <c r="AP728" s="1"/>
      <c r="AQ728" s="1"/>
      <c r="AR728" s="1"/>
    </row>
    <row r="729" customFormat="false" ht="13.8" hidden="false" customHeight="false" outlineLevel="0" collapsed="false">
      <c r="A729" s="1" t="s">
        <v>905</v>
      </c>
      <c r="B729" s="1" t="n">
        <v>175</v>
      </c>
      <c r="C729" s="1" t="s">
        <v>901</v>
      </c>
      <c r="D729" s="1" t="s">
        <v>42</v>
      </c>
      <c r="E729" s="1" t="s">
        <v>902</v>
      </c>
      <c r="F729" s="1" t="n">
        <v>1</v>
      </c>
      <c r="G729" s="1" t="n">
        <v>1</v>
      </c>
      <c r="H729" s="1" t="n">
        <v>10</v>
      </c>
      <c r="I729" s="8" t="n">
        <v>527546</v>
      </c>
      <c r="J729" s="1" t="n">
        <v>3</v>
      </c>
      <c r="K729" s="1" t="s">
        <v>44</v>
      </c>
      <c r="L729" s="1" t="n">
        <v>2</v>
      </c>
      <c r="O729" s="1" t="n">
        <v>1</v>
      </c>
      <c r="P729" s="1" t="n">
        <f aca="false">SUM(M729:O729)</f>
        <v>1</v>
      </c>
      <c r="W729" s="1" t="n">
        <f aca="false">SUM(Q729:V729)</f>
        <v>0</v>
      </c>
      <c r="Z729" s="12"/>
      <c r="AF729" s="9" t="n">
        <f aca="false">SUM(Z729:AE729)</f>
        <v>0</v>
      </c>
      <c r="AG729" s="10"/>
      <c r="AH729" s="11"/>
      <c r="AI729" s="11"/>
      <c r="AJ729" s="11"/>
      <c r="AK729" s="11"/>
      <c r="AL729" s="11"/>
      <c r="AM729" s="11"/>
      <c r="AN729" s="11" t="n">
        <f aca="false">SUM(AH729:AM729)</f>
        <v>0</v>
      </c>
      <c r="AO729" s="1"/>
      <c r="AP729" s="1"/>
      <c r="AQ729" s="1"/>
      <c r="AR729" s="1"/>
    </row>
    <row r="730" customFormat="false" ht="13.8" hidden="false" customHeight="false" outlineLevel="0" collapsed="false">
      <c r="A730" s="1" t="s">
        <v>906</v>
      </c>
      <c r="B730" s="1" t="n">
        <v>789</v>
      </c>
      <c r="C730" s="1" t="s">
        <v>901</v>
      </c>
      <c r="D730" s="1" t="s">
        <v>42</v>
      </c>
      <c r="E730" s="1" t="s">
        <v>902</v>
      </c>
      <c r="F730" s="1" t="n">
        <v>3</v>
      </c>
      <c r="G730" s="1" t="n">
        <v>1</v>
      </c>
      <c r="H730" s="1" t="n">
        <v>12</v>
      </c>
      <c r="I730" s="8" t="n">
        <v>1430257</v>
      </c>
      <c r="J730" s="1" t="n">
        <v>3</v>
      </c>
      <c r="K730" s="1" t="s">
        <v>46</v>
      </c>
      <c r="L730" s="1" t="n">
        <v>4</v>
      </c>
      <c r="O730" s="1" t="n">
        <v>1</v>
      </c>
      <c r="P730" s="1" t="n">
        <f aca="false">SUM(M730:O730)</f>
        <v>1</v>
      </c>
      <c r="W730" s="1" t="n">
        <f aca="false">SUM(Q730:V730)</f>
        <v>0</v>
      </c>
      <c r="AF730" s="9" t="n">
        <f aca="false">SUM(Z730:AE730)</f>
        <v>0</v>
      </c>
      <c r="AG730" s="10"/>
      <c r="AH730" s="11"/>
      <c r="AI730" s="11"/>
      <c r="AJ730" s="11"/>
      <c r="AK730" s="11"/>
      <c r="AL730" s="11"/>
      <c r="AM730" s="11"/>
      <c r="AN730" s="11" t="n">
        <f aca="false">SUM(AH730:AM730)</f>
        <v>0</v>
      </c>
      <c r="AO730" s="1"/>
      <c r="AP730" s="1"/>
      <c r="AQ730" s="1"/>
      <c r="AR730" s="1"/>
    </row>
    <row r="731" customFormat="false" ht="13.8" hidden="false" customHeight="false" outlineLevel="0" collapsed="false">
      <c r="A731" s="1" t="s">
        <v>907</v>
      </c>
      <c r="B731" s="1" t="n">
        <v>794</v>
      </c>
      <c r="C731" s="1" t="s">
        <v>901</v>
      </c>
      <c r="D731" s="1" t="s">
        <v>42</v>
      </c>
      <c r="E731" s="1" t="s">
        <v>902</v>
      </c>
      <c r="F731" s="1" t="n">
        <v>1</v>
      </c>
      <c r="G731" s="1" t="n">
        <v>1</v>
      </c>
      <c r="H731" s="1" t="n">
        <v>14</v>
      </c>
      <c r="I731" s="8" t="n">
        <v>387839</v>
      </c>
      <c r="J731" s="1" t="n">
        <v>3</v>
      </c>
      <c r="K731" s="1" t="s">
        <v>51</v>
      </c>
      <c r="L731" s="1" t="n">
        <v>1</v>
      </c>
      <c r="P731" s="1" t="n">
        <f aca="false">SUM(M731:O731)</f>
        <v>0</v>
      </c>
      <c r="W731" s="1" t="n">
        <f aca="false">SUM(Q731:V731)</f>
        <v>0</v>
      </c>
      <c r="AF731" s="9" t="n">
        <f aca="false">SUM(Z731:AE731)</f>
        <v>0</v>
      </c>
      <c r="AG731" s="10"/>
      <c r="AH731" s="11"/>
      <c r="AI731" s="11"/>
      <c r="AJ731" s="11"/>
      <c r="AK731" s="11"/>
      <c r="AL731" s="11"/>
      <c r="AM731" s="11"/>
      <c r="AN731" s="11" t="n">
        <f aca="false">SUM(AH731:AM731)</f>
        <v>0</v>
      </c>
      <c r="AO731" s="1"/>
      <c r="AP731" s="1"/>
      <c r="AQ731" s="1"/>
      <c r="AR731" s="1"/>
    </row>
    <row r="732" customFormat="false" ht="13.8" hidden="false" customHeight="false" outlineLevel="0" collapsed="false">
      <c r="A732" s="1" t="s">
        <v>908</v>
      </c>
      <c r="B732" s="1" t="n">
        <v>297</v>
      </c>
      <c r="C732" s="1" t="s">
        <v>901</v>
      </c>
      <c r="D732" s="1" t="s">
        <v>73</v>
      </c>
      <c r="E732" s="1" t="s">
        <v>902</v>
      </c>
      <c r="F732" s="1" t="n">
        <v>1</v>
      </c>
      <c r="G732" s="1" t="n">
        <v>1</v>
      </c>
      <c r="H732" s="1" t="n">
        <v>2</v>
      </c>
      <c r="I732" s="8" t="n">
        <v>185226</v>
      </c>
      <c r="J732" s="1" t="n">
        <v>1</v>
      </c>
      <c r="K732" s="1" t="s">
        <v>295</v>
      </c>
      <c r="L732" s="1" t="n">
        <v>0</v>
      </c>
      <c r="P732" s="1" t="n">
        <f aca="false">SUM(M732:O732)</f>
        <v>0</v>
      </c>
      <c r="W732" s="1" t="n">
        <f aca="false">SUM(Q732:V732)</f>
        <v>0</v>
      </c>
      <c r="Y732" s="1" t="n">
        <v>2</v>
      </c>
      <c r="AF732" s="9" t="n">
        <f aca="false">SUM(Z732:AE732)</f>
        <v>0</v>
      </c>
      <c r="AG732" s="10"/>
      <c r="AH732" s="11"/>
      <c r="AI732" s="11"/>
      <c r="AJ732" s="11"/>
      <c r="AK732" s="11"/>
      <c r="AL732" s="11"/>
      <c r="AM732" s="11"/>
      <c r="AN732" s="11" t="n">
        <f aca="false">SUM(AH732:AM732)</f>
        <v>0</v>
      </c>
      <c r="AO732" s="1"/>
      <c r="AP732" s="1"/>
      <c r="AQ732" s="1"/>
      <c r="AR732" s="1"/>
    </row>
    <row r="733" customFormat="false" ht="13.8" hidden="false" customHeight="false" outlineLevel="0" collapsed="false">
      <c r="A733" s="1" t="s">
        <v>909</v>
      </c>
      <c r="B733" s="1" t="n">
        <v>170</v>
      </c>
      <c r="C733" s="1" t="s">
        <v>901</v>
      </c>
      <c r="D733" s="1" t="s">
        <v>42</v>
      </c>
      <c r="E733" s="1" t="s">
        <v>902</v>
      </c>
      <c r="F733" s="1" t="n">
        <v>1</v>
      </c>
      <c r="G733" s="1" t="n">
        <v>1</v>
      </c>
      <c r="H733" s="1" t="n">
        <v>17</v>
      </c>
      <c r="I733" s="8" t="n">
        <v>1419383</v>
      </c>
      <c r="J733" s="1" t="n">
        <v>3</v>
      </c>
      <c r="K733" s="1" t="s">
        <v>46</v>
      </c>
      <c r="L733" s="1" t="n">
        <v>4</v>
      </c>
      <c r="O733" s="1" t="n">
        <v>1</v>
      </c>
      <c r="P733" s="1" t="n">
        <f aca="false">SUM(M733:O733)</f>
        <v>1</v>
      </c>
      <c r="T733" s="1" t="n">
        <v>4</v>
      </c>
      <c r="W733" s="1" t="n">
        <f aca="false">SUM(Q733:V733)</f>
        <v>4</v>
      </c>
      <c r="AC733" s="9" t="n">
        <f aca="false">(T733)*(1+(J733)*0.2)</f>
        <v>6.4</v>
      </c>
      <c r="AF733" s="9" t="n">
        <f aca="false">SUM(Z733:AE733)</f>
        <v>6.4</v>
      </c>
      <c r="AG733" s="10" t="s">
        <v>47</v>
      </c>
      <c r="AH733" s="11"/>
      <c r="AI733" s="11"/>
      <c r="AJ733" s="11"/>
      <c r="AK733" s="11" t="n">
        <f aca="false">IF(AG733="yes",AC733*1.2,AC733)</f>
        <v>7.68</v>
      </c>
      <c r="AL733" s="11"/>
      <c r="AM733" s="11"/>
      <c r="AN733" s="11" t="n">
        <f aca="false">SUM(AH733:AM733)</f>
        <v>7.68</v>
      </c>
      <c r="AO733" s="1"/>
      <c r="AP733" s="1"/>
      <c r="AQ733" s="1"/>
      <c r="AR733" s="1"/>
    </row>
    <row r="734" customFormat="false" ht="13.8" hidden="false" customHeight="false" outlineLevel="0" collapsed="false">
      <c r="A734" s="1" t="s">
        <v>910</v>
      </c>
      <c r="B734" s="1" t="n">
        <v>171</v>
      </c>
      <c r="C734" s="1" t="s">
        <v>901</v>
      </c>
      <c r="D734" s="1" t="s">
        <v>42</v>
      </c>
      <c r="E734" s="1" t="s">
        <v>902</v>
      </c>
      <c r="F734" s="1" t="n">
        <v>8</v>
      </c>
      <c r="G734" s="1" t="n">
        <v>1</v>
      </c>
      <c r="H734" s="1" t="n">
        <v>13</v>
      </c>
      <c r="I734" s="8" t="n">
        <v>2297887</v>
      </c>
      <c r="J734" s="1" t="n">
        <v>3</v>
      </c>
      <c r="K734" s="1" t="s">
        <v>96</v>
      </c>
      <c r="L734" s="1" t="n">
        <v>6</v>
      </c>
      <c r="M734" s="1" t="n">
        <v>1</v>
      </c>
      <c r="N734" s="1" t="n">
        <v>2</v>
      </c>
      <c r="P734" s="1" t="n">
        <f aca="false">SUM(M734:O734)</f>
        <v>3</v>
      </c>
      <c r="W734" s="1" t="n">
        <f aca="false">SUM(Q734:V734)</f>
        <v>0</v>
      </c>
      <c r="X734" s="1" t="n">
        <v>2</v>
      </c>
      <c r="Y734" s="1" t="n">
        <v>6</v>
      </c>
      <c r="AF734" s="9" t="n">
        <f aca="false">SUM(Z734:AE734)</f>
        <v>0</v>
      </c>
      <c r="AG734" s="10"/>
      <c r="AH734" s="11"/>
      <c r="AI734" s="11"/>
      <c r="AJ734" s="11"/>
      <c r="AK734" s="11"/>
      <c r="AL734" s="11"/>
      <c r="AM734" s="11"/>
      <c r="AN734" s="11" t="n">
        <f aca="false">SUM(AH734:AM734)</f>
        <v>0</v>
      </c>
      <c r="AO734" s="1"/>
      <c r="AP734" s="1"/>
      <c r="AQ734" s="1"/>
      <c r="AR734" s="1"/>
    </row>
    <row r="735" customFormat="false" ht="13.8" hidden="false" customHeight="false" outlineLevel="0" collapsed="false">
      <c r="A735" s="1" t="s">
        <v>911</v>
      </c>
      <c r="B735" s="1" t="n">
        <v>173</v>
      </c>
      <c r="C735" s="1" t="s">
        <v>901</v>
      </c>
      <c r="D735" s="1" t="s">
        <v>42</v>
      </c>
      <c r="E735" s="1" t="s">
        <v>902</v>
      </c>
      <c r="F735" s="1" t="n">
        <v>9</v>
      </c>
      <c r="G735" s="1" t="n">
        <v>1</v>
      </c>
      <c r="H735" s="1" t="n">
        <v>11</v>
      </c>
      <c r="I735" s="8" t="n">
        <v>1664321</v>
      </c>
      <c r="J735" s="1" t="n">
        <v>3</v>
      </c>
      <c r="K735" s="1" t="s">
        <v>96</v>
      </c>
      <c r="L735" s="1" t="n">
        <v>6</v>
      </c>
      <c r="O735" s="1" t="n">
        <v>2</v>
      </c>
      <c r="P735" s="1" t="n">
        <f aca="false">SUM(M735:O735)</f>
        <v>2</v>
      </c>
      <c r="U735" s="1" t="n">
        <v>8</v>
      </c>
      <c r="W735" s="1" t="n">
        <f aca="false">SUM(Q735:V735)</f>
        <v>8</v>
      </c>
      <c r="X735" s="1" t="n">
        <v>4</v>
      </c>
      <c r="Y735" s="1" t="n">
        <v>3</v>
      </c>
      <c r="AD735" s="9" t="n">
        <f aca="false">(U735)*(1+(J735)*0.2)</f>
        <v>12.8</v>
      </c>
      <c r="AF735" s="9" t="n">
        <f aca="false">SUM(Z735:AE735)</f>
        <v>12.8</v>
      </c>
      <c r="AG735" s="10" t="s">
        <v>47</v>
      </c>
      <c r="AH735" s="11"/>
      <c r="AI735" s="11"/>
      <c r="AJ735" s="11"/>
      <c r="AK735" s="11"/>
      <c r="AL735" s="11" t="n">
        <f aca="false">IF(AG735="yes",AD735*1.2,AD735)</f>
        <v>15.36</v>
      </c>
      <c r="AM735" s="11"/>
      <c r="AN735" s="11" t="n">
        <f aca="false">SUM(AH735:AM735)</f>
        <v>15.36</v>
      </c>
      <c r="AO735" s="1"/>
      <c r="AP735" s="1"/>
      <c r="AQ735" s="1"/>
      <c r="AR735" s="1"/>
    </row>
    <row r="736" customFormat="false" ht="13.8" hidden="false" customHeight="false" outlineLevel="0" collapsed="false">
      <c r="A736" s="1" t="s">
        <v>912</v>
      </c>
      <c r="B736" s="1" t="n">
        <v>793</v>
      </c>
      <c r="C736" s="1" t="s">
        <v>901</v>
      </c>
      <c r="D736" s="1" t="s">
        <v>42</v>
      </c>
      <c r="E736" s="1" t="s">
        <v>902</v>
      </c>
      <c r="F736" s="1" t="n">
        <v>1</v>
      </c>
      <c r="G736" s="1" t="n">
        <v>1</v>
      </c>
      <c r="H736" s="1" t="n">
        <v>14</v>
      </c>
      <c r="I736" s="8" t="n">
        <v>528341</v>
      </c>
      <c r="J736" s="1" t="n">
        <v>3</v>
      </c>
      <c r="K736" s="1" t="s">
        <v>44</v>
      </c>
      <c r="L736" s="1" t="n">
        <v>2</v>
      </c>
      <c r="O736" s="1" t="n">
        <v>1</v>
      </c>
      <c r="P736" s="1" t="n">
        <f aca="false">SUM(M736:O736)</f>
        <v>1</v>
      </c>
      <c r="W736" s="1" t="n">
        <f aca="false">SUM(Q736:V736)</f>
        <v>0</v>
      </c>
      <c r="AF736" s="9" t="n">
        <f aca="false">SUM(Z736:AE736)</f>
        <v>0</v>
      </c>
      <c r="AG736" s="10"/>
      <c r="AH736" s="11"/>
      <c r="AI736" s="11"/>
      <c r="AJ736" s="11"/>
      <c r="AK736" s="11"/>
      <c r="AL736" s="11"/>
      <c r="AM736" s="11"/>
      <c r="AN736" s="11" t="n">
        <f aca="false">SUM(AH736:AM736)</f>
        <v>0</v>
      </c>
      <c r="AO736" s="1"/>
      <c r="AP736" s="1"/>
      <c r="AQ736" s="1"/>
      <c r="AR736" s="1"/>
    </row>
    <row r="737" customFormat="false" ht="13.8" hidden="false" customHeight="false" outlineLevel="0" collapsed="false">
      <c r="A737" s="1" t="s">
        <v>913</v>
      </c>
      <c r="B737" s="1" t="n">
        <v>177</v>
      </c>
      <c r="C737" s="1" t="s">
        <v>901</v>
      </c>
      <c r="D737" s="1" t="s">
        <v>42</v>
      </c>
      <c r="E737" s="1" t="s">
        <v>902</v>
      </c>
      <c r="F737" s="1" t="n">
        <v>1</v>
      </c>
      <c r="G737" s="1" t="n">
        <v>1</v>
      </c>
      <c r="H737" s="1" t="n">
        <v>3</v>
      </c>
      <c r="I737" s="8" t="n">
        <v>365946</v>
      </c>
      <c r="J737" s="1" t="n">
        <v>3</v>
      </c>
      <c r="K737" s="1" t="s">
        <v>44</v>
      </c>
      <c r="L737" s="1" t="n">
        <v>2</v>
      </c>
      <c r="P737" s="1" t="n">
        <f aca="false">SUM(M737:O737)</f>
        <v>0</v>
      </c>
      <c r="W737" s="1" t="n">
        <f aca="false">SUM(Q737:V737)</f>
        <v>0</v>
      </c>
      <c r="X737" s="1" t="n">
        <v>1</v>
      </c>
      <c r="Y737" s="1" t="n">
        <v>3</v>
      </c>
      <c r="AF737" s="9" t="n">
        <f aca="false">SUM(Z737:AE737)</f>
        <v>0</v>
      </c>
      <c r="AG737" s="10"/>
      <c r="AH737" s="11"/>
      <c r="AI737" s="11"/>
      <c r="AJ737" s="11"/>
      <c r="AK737" s="11"/>
      <c r="AL737" s="11"/>
      <c r="AM737" s="11"/>
      <c r="AN737" s="11" t="n">
        <f aca="false">SUM(AH737:AM737)</f>
        <v>0</v>
      </c>
      <c r="AO737" s="1"/>
      <c r="AP737" s="1"/>
      <c r="AQ737" s="1"/>
      <c r="AR737" s="1"/>
    </row>
    <row r="738" customFormat="false" ht="13.8" hidden="false" customHeight="false" outlineLevel="0" collapsed="false">
      <c r="A738" s="1" t="s">
        <v>914</v>
      </c>
      <c r="B738" s="1" t="n">
        <v>178</v>
      </c>
      <c r="C738" s="1" t="s">
        <v>901</v>
      </c>
      <c r="D738" s="1" t="s">
        <v>42</v>
      </c>
      <c r="E738" s="1" t="s">
        <v>902</v>
      </c>
      <c r="F738" s="1" t="n">
        <v>1</v>
      </c>
      <c r="G738" s="1" t="n">
        <v>1</v>
      </c>
      <c r="H738" s="1" t="n">
        <v>1</v>
      </c>
      <c r="I738" s="8" t="n">
        <v>562032</v>
      </c>
      <c r="J738" s="1" t="n">
        <v>2</v>
      </c>
      <c r="K738" s="1" t="s">
        <v>84</v>
      </c>
      <c r="L738" s="1" t="n">
        <v>1</v>
      </c>
      <c r="P738" s="1" t="n">
        <f aca="false">SUM(M738:O738)</f>
        <v>0</v>
      </c>
      <c r="W738" s="1" t="n">
        <f aca="false">SUM(Q738:V738)</f>
        <v>0</v>
      </c>
      <c r="Y738" s="1" t="n">
        <v>1</v>
      </c>
      <c r="AF738" s="9" t="n">
        <f aca="false">SUM(Z738:AE738)</f>
        <v>0</v>
      </c>
      <c r="AG738" s="10"/>
      <c r="AH738" s="11"/>
      <c r="AI738" s="11"/>
      <c r="AJ738" s="11"/>
      <c r="AK738" s="11"/>
      <c r="AL738" s="11"/>
      <c r="AM738" s="11"/>
      <c r="AN738" s="11" t="n">
        <f aca="false">SUM(AH738:AM738)</f>
        <v>0</v>
      </c>
      <c r="AO738" s="1"/>
      <c r="AP738" s="1"/>
      <c r="AQ738" s="1"/>
      <c r="AR738" s="1"/>
    </row>
    <row r="739" customFormat="false" ht="13.8" hidden="false" customHeight="false" outlineLevel="0" collapsed="false">
      <c r="A739" s="1" t="s">
        <v>915</v>
      </c>
      <c r="B739" s="1" t="n">
        <v>174</v>
      </c>
      <c r="C739" s="1" t="s">
        <v>901</v>
      </c>
      <c r="D739" s="1" t="s">
        <v>42</v>
      </c>
      <c r="E739" s="1" t="s">
        <v>902</v>
      </c>
      <c r="F739" s="1" t="n">
        <v>1</v>
      </c>
      <c r="G739" s="1" t="n">
        <v>1</v>
      </c>
      <c r="H739" s="1" t="n">
        <v>13</v>
      </c>
      <c r="I739" s="8" t="n">
        <v>749955</v>
      </c>
      <c r="J739" s="1" t="n">
        <v>3</v>
      </c>
      <c r="K739" s="1" t="s">
        <v>44</v>
      </c>
      <c r="L739" s="1" t="n">
        <v>2</v>
      </c>
      <c r="O739" s="1" t="n">
        <v>1</v>
      </c>
      <c r="P739" s="1" t="n">
        <f aca="false">SUM(M739:O739)</f>
        <v>1</v>
      </c>
      <c r="T739" s="1" t="n">
        <v>10</v>
      </c>
      <c r="W739" s="1" t="n">
        <f aca="false">SUM(Q739:V739)</f>
        <v>10</v>
      </c>
      <c r="AC739" s="9" t="n">
        <f aca="false">(T739)*(1+(J739)*0.2)</f>
        <v>16</v>
      </c>
      <c r="AF739" s="9" t="n">
        <f aca="false">SUM(Z739:AE739)</f>
        <v>16</v>
      </c>
      <c r="AG739" s="10" t="s">
        <v>53</v>
      </c>
      <c r="AH739" s="11"/>
      <c r="AI739" s="11"/>
      <c r="AJ739" s="11"/>
      <c r="AK739" s="11" t="n">
        <f aca="false">IF(AG739="yes",AC739*1.2,AC739)</f>
        <v>16</v>
      </c>
      <c r="AL739" s="11"/>
      <c r="AM739" s="11"/>
      <c r="AN739" s="11" t="n">
        <f aca="false">SUM(AH739:AM739)</f>
        <v>16</v>
      </c>
      <c r="AO739" s="1"/>
      <c r="AP739" s="1"/>
      <c r="AQ739" s="1"/>
      <c r="AR739" s="1"/>
    </row>
    <row r="740" customFormat="false" ht="13.8" hidden="false" customHeight="false" outlineLevel="0" collapsed="false">
      <c r="A740" s="1" t="s">
        <v>916</v>
      </c>
      <c r="B740" s="1" t="n">
        <v>41</v>
      </c>
      <c r="C740" s="1" t="s">
        <v>901</v>
      </c>
      <c r="D740" s="1" t="s">
        <v>42</v>
      </c>
      <c r="E740" s="1" t="s">
        <v>902</v>
      </c>
      <c r="F740" s="1" t="n">
        <v>31</v>
      </c>
      <c r="G740" s="1" t="n">
        <v>1</v>
      </c>
      <c r="H740" s="1" t="n">
        <v>13</v>
      </c>
      <c r="I740" s="8" t="n">
        <v>2067179</v>
      </c>
      <c r="J740" s="1" t="n">
        <v>3</v>
      </c>
      <c r="K740" s="1" t="s">
        <v>96</v>
      </c>
      <c r="L740" s="1" t="n">
        <v>6</v>
      </c>
      <c r="M740" s="1" t="n">
        <v>2</v>
      </c>
      <c r="O740" s="1" t="n">
        <v>2</v>
      </c>
      <c r="P740" s="1" t="n">
        <f aca="false">SUM(M740:O740)</f>
        <v>4</v>
      </c>
      <c r="R740" s="1" t="n">
        <v>1</v>
      </c>
      <c r="W740" s="1" t="n">
        <f aca="false">SUM(Q740:V740)</f>
        <v>1</v>
      </c>
      <c r="X740" s="1" t="n">
        <v>6</v>
      </c>
      <c r="AA740" s="9" t="n">
        <f aca="false">(R740)*(1+(J740)*0.2)</f>
        <v>1.6</v>
      </c>
      <c r="AF740" s="9" t="n">
        <f aca="false">SUM(Z740:AE740)</f>
        <v>1.6</v>
      </c>
      <c r="AG740" s="10" t="s">
        <v>47</v>
      </c>
      <c r="AH740" s="11"/>
      <c r="AI740" s="11" t="n">
        <f aca="false">IF(AG740="yes",AA740*1.2,AA740)</f>
        <v>1.92</v>
      </c>
      <c r="AJ740" s="11"/>
      <c r="AK740" s="11"/>
      <c r="AL740" s="11"/>
      <c r="AM740" s="11"/>
      <c r="AN740" s="11" t="n">
        <f aca="false">SUM(AH740:AM740)</f>
        <v>1.92</v>
      </c>
      <c r="AO740" s="1"/>
      <c r="AP740" s="1"/>
      <c r="AQ740" s="1"/>
      <c r="AR740" s="1"/>
    </row>
    <row r="741" customFormat="false" ht="13.8" hidden="false" customHeight="false" outlineLevel="0" collapsed="false">
      <c r="A741" s="1" t="s">
        <v>917</v>
      </c>
      <c r="B741" s="1" t="n">
        <v>168</v>
      </c>
      <c r="C741" s="1" t="s">
        <v>901</v>
      </c>
      <c r="D741" s="1" t="s">
        <v>42</v>
      </c>
      <c r="E741" s="1" t="s">
        <v>902</v>
      </c>
      <c r="F741" s="1" t="n">
        <v>3</v>
      </c>
      <c r="G741" s="1" t="n">
        <v>1</v>
      </c>
      <c r="H741" s="1" t="n">
        <v>11</v>
      </c>
      <c r="I741" s="8" t="n">
        <v>1008835</v>
      </c>
      <c r="J741" s="1" t="n">
        <v>3</v>
      </c>
      <c r="K741" s="1" t="s">
        <v>46</v>
      </c>
      <c r="L741" s="1" t="n">
        <v>4</v>
      </c>
      <c r="N741" s="1" t="n">
        <v>1</v>
      </c>
      <c r="P741" s="1" t="n">
        <f aca="false">SUM(M741:O741)</f>
        <v>1</v>
      </c>
      <c r="W741" s="1" t="n">
        <f aca="false">SUM(Q741:V741)</f>
        <v>0</v>
      </c>
      <c r="X741" s="1" t="n">
        <v>2</v>
      </c>
      <c r="Y741" s="1" t="n">
        <v>8</v>
      </c>
      <c r="AF741" s="9" t="n">
        <f aca="false">SUM(Z741:AE741)</f>
        <v>0</v>
      </c>
      <c r="AG741" s="10"/>
      <c r="AH741" s="11"/>
      <c r="AI741" s="11"/>
      <c r="AJ741" s="11"/>
      <c r="AK741" s="11"/>
      <c r="AL741" s="11"/>
      <c r="AM741" s="11"/>
      <c r="AN741" s="11" t="n">
        <f aca="false">SUM(AH741:AM741)</f>
        <v>0</v>
      </c>
      <c r="AO741" s="1"/>
      <c r="AP741" s="1"/>
      <c r="AQ741" s="1"/>
      <c r="AR741" s="1"/>
    </row>
    <row r="742" customFormat="false" ht="13.8" hidden="false" customHeight="false" outlineLevel="0" collapsed="false">
      <c r="A742" s="1" t="s">
        <v>918</v>
      </c>
      <c r="B742" s="1" t="n">
        <v>172</v>
      </c>
      <c r="C742" s="1" t="s">
        <v>901</v>
      </c>
      <c r="D742" s="1" t="s">
        <v>42</v>
      </c>
      <c r="E742" s="1" t="s">
        <v>902</v>
      </c>
      <c r="F742" s="1" t="n">
        <v>1</v>
      </c>
      <c r="G742" s="1" t="n">
        <v>1</v>
      </c>
      <c r="H742" s="1" t="n">
        <v>5</v>
      </c>
      <c r="I742" s="8" t="n">
        <v>360319</v>
      </c>
      <c r="J742" s="1" t="n">
        <v>3</v>
      </c>
      <c r="K742" s="1" t="s">
        <v>51</v>
      </c>
      <c r="L742" s="1" t="n">
        <v>1</v>
      </c>
      <c r="P742" s="1" t="n">
        <f aca="false">SUM(M742:O742)</f>
        <v>0</v>
      </c>
      <c r="W742" s="1" t="n">
        <f aca="false">SUM(Q742:V742)</f>
        <v>0</v>
      </c>
      <c r="AF742" s="9" t="n">
        <f aca="false">SUM(Z742:AE742)</f>
        <v>0</v>
      </c>
      <c r="AG742" s="10"/>
      <c r="AH742" s="11"/>
      <c r="AI742" s="11"/>
      <c r="AJ742" s="11"/>
      <c r="AK742" s="11"/>
      <c r="AL742" s="11"/>
      <c r="AM742" s="11"/>
      <c r="AN742" s="11" t="n">
        <f aca="false">SUM(AH742:AM742)</f>
        <v>0</v>
      </c>
      <c r="AO742" s="1"/>
      <c r="AP742" s="1"/>
      <c r="AQ742" s="1"/>
      <c r="AR742" s="1"/>
    </row>
    <row r="743" customFormat="false" ht="13.8" hidden="false" customHeight="false" outlineLevel="0" collapsed="false">
      <c r="A743" s="1" t="s">
        <v>919</v>
      </c>
      <c r="B743" s="1" t="n">
        <v>792</v>
      </c>
      <c r="C743" s="1" t="s">
        <v>901</v>
      </c>
      <c r="D743" s="1" t="s">
        <v>42</v>
      </c>
      <c r="E743" s="1" t="s">
        <v>902</v>
      </c>
      <c r="F743" s="1" t="n">
        <v>10</v>
      </c>
      <c r="G743" s="1" t="n">
        <v>1</v>
      </c>
      <c r="H743" s="1" t="n">
        <v>4</v>
      </c>
      <c r="I743" s="8" t="n">
        <v>929227</v>
      </c>
      <c r="J743" s="1" t="n">
        <v>3</v>
      </c>
      <c r="K743" s="1" t="s">
        <v>46</v>
      </c>
      <c r="L743" s="1" t="n">
        <v>4</v>
      </c>
      <c r="M743" s="1" t="n">
        <v>1</v>
      </c>
      <c r="O743" s="1" t="n">
        <v>1</v>
      </c>
      <c r="P743" s="1" t="n">
        <f aca="false">SUM(M743:O743)</f>
        <v>2</v>
      </c>
      <c r="U743" s="1" t="n">
        <v>8</v>
      </c>
      <c r="W743" s="1" t="n">
        <f aca="false">SUM(Q743:V743)</f>
        <v>8</v>
      </c>
      <c r="X743" s="1" t="n">
        <v>1</v>
      </c>
      <c r="Y743" s="1" t="n">
        <v>1</v>
      </c>
      <c r="AD743" s="9" t="n">
        <f aca="false">(U743)*(1+(J743)*0.2)</f>
        <v>12.8</v>
      </c>
      <c r="AF743" s="9" t="n">
        <f aca="false">SUM(Z743:AE743)</f>
        <v>12.8</v>
      </c>
      <c r="AG743" s="10" t="s">
        <v>47</v>
      </c>
      <c r="AH743" s="11"/>
      <c r="AI743" s="11"/>
      <c r="AJ743" s="11"/>
      <c r="AK743" s="11"/>
      <c r="AL743" s="11" t="n">
        <f aca="false">IF(AG743="yes",AD743*1.2,AD743)</f>
        <v>15.36</v>
      </c>
      <c r="AM743" s="11"/>
      <c r="AN743" s="11" t="n">
        <f aca="false">SUM(AH743:AM743)</f>
        <v>15.36</v>
      </c>
      <c r="AO743" s="1"/>
      <c r="AP743" s="1"/>
      <c r="AQ743" s="1"/>
      <c r="AR743" s="1"/>
    </row>
    <row r="744" customFormat="false" ht="13.8" hidden="false" customHeight="false" outlineLevel="0" collapsed="false">
      <c r="A744" s="1" t="s">
        <v>920</v>
      </c>
      <c r="B744" s="1" t="n">
        <v>699</v>
      </c>
      <c r="C744" s="1" t="s">
        <v>901</v>
      </c>
      <c r="D744" s="1" t="s">
        <v>73</v>
      </c>
      <c r="E744" s="1" t="s">
        <v>902</v>
      </c>
      <c r="F744" s="1" t="n">
        <v>1</v>
      </c>
      <c r="G744" s="1" t="n">
        <v>1</v>
      </c>
      <c r="H744" s="1" t="n">
        <v>6</v>
      </c>
      <c r="I744" s="8" t="n">
        <v>21082</v>
      </c>
      <c r="J744" s="1" t="n">
        <v>1</v>
      </c>
      <c r="K744" s="1" t="s">
        <v>76</v>
      </c>
      <c r="L744" s="1" t="n">
        <v>0</v>
      </c>
      <c r="P744" s="1" t="n">
        <f aca="false">SUM(M744:O744)</f>
        <v>0</v>
      </c>
      <c r="W744" s="1" t="n">
        <f aca="false">SUM(Q744:V744)</f>
        <v>0</v>
      </c>
      <c r="Y744" s="1" t="n">
        <v>1</v>
      </c>
      <c r="AF744" s="9" t="n">
        <f aca="false">SUM(Z744:AE744)</f>
        <v>0</v>
      </c>
      <c r="AG744" s="10"/>
      <c r="AH744" s="11"/>
      <c r="AI744" s="11"/>
      <c r="AJ744" s="11"/>
      <c r="AK744" s="11"/>
      <c r="AL744" s="11"/>
      <c r="AM744" s="11"/>
      <c r="AN744" s="11" t="n">
        <f aca="false">SUM(AH744:AM744)</f>
        <v>0</v>
      </c>
      <c r="AO744" s="1"/>
      <c r="AP744" s="1"/>
      <c r="AQ744" s="1"/>
      <c r="AR744" s="1"/>
    </row>
    <row r="745" customFormat="false" ht="13.8" hidden="false" customHeight="false" outlineLevel="0" collapsed="false">
      <c r="A745" s="1" t="s">
        <v>921</v>
      </c>
      <c r="B745" s="1" t="n">
        <v>788</v>
      </c>
      <c r="C745" s="1" t="s">
        <v>901</v>
      </c>
      <c r="D745" s="1" t="s">
        <v>42</v>
      </c>
      <c r="E745" s="1" t="s">
        <v>902</v>
      </c>
      <c r="F745" s="1" t="n">
        <v>1</v>
      </c>
      <c r="G745" s="1" t="n">
        <v>1</v>
      </c>
      <c r="H745" s="1" t="n">
        <v>6</v>
      </c>
      <c r="I745" s="8" t="n">
        <v>365046</v>
      </c>
      <c r="J745" s="1" t="n">
        <v>3</v>
      </c>
      <c r="K745" s="1" t="s">
        <v>51</v>
      </c>
      <c r="L745" s="1" t="n">
        <v>1</v>
      </c>
      <c r="P745" s="1" t="n">
        <f aca="false">SUM(M745:O745)</f>
        <v>0</v>
      </c>
      <c r="T745" s="1" t="n">
        <v>10</v>
      </c>
      <c r="W745" s="1" t="n">
        <f aca="false">SUM(Q745:V745)</f>
        <v>10</v>
      </c>
      <c r="AC745" s="9" t="n">
        <f aca="false">(T745)*(1+(J745)*0.2)</f>
        <v>16</v>
      </c>
      <c r="AF745" s="9" t="n">
        <f aca="false">SUM(Z745:AE745)</f>
        <v>16</v>
      </c>
      <c r="AG745" s="10" t="s">
        <v>47</v>
      </c>
      <c r="AH745" s="11"/>
      <c r="AI745" s="11"/>
      <c r="AJ745" s="11"/>
      <c r="AK745" s="11" t="n">
        <f aca="false">IF(AG745="yes",AC745*1.2,AC745)</f>
        <v>19.2</v>
      </c>
      <c r="AL745" s="11"/>
      <c r="AM745" s="11"/>
      <c r="AN745" s="11" t="n">
        <f aca="false">SUM(AH745:AM745)</f>
        <v>19.2</v>
      </c>
      <c r="AO745" s="1"/>
      <c r="AP745" s="1"/>
      <c r="AQ745" s="1"/>
      <c r="AR745" s="1"/>
    </row>
    <row r="746" customFormat="false" ht="13.8" hidden="false" customHeight="false" outlineLevel="0" collapsed="false">
      <c r="A746" s="1" t="s">
        <v>922</v>
      </c>
      <c r="B746" s="1" t="n">
        <v>169</v>
      </c>
      <c r="C746" s="1" t="s">
        <v>901</v>
      </c>
      <c r="D746" s="1" t="s">
        <v>42</v>
      </c>
      <c r="E746" s="1" t="s">
        <v>902</v>
      </c>
      <c r="F746" s="1" t="n">
        <v>13</v>
      </c>
      <c r="G746" s="1" t="n">
        <v>1</v>
      </c>
      <c r="H746" s="1" t="n">
        <v>14</v>
      </c>
      <c r="I746" s="8" t="n">
        <v>1748782</v>
      </c>
      <c r="J746" s="1" t="n">
        <v>3</v>
      </c>
      <c r="K746" s="1" t="s">
        <v>120</v>
      </c>
      <c r="L746" s="1" t="n">
        <v>5</v>
      </c>
      <c r="M746" s="1" t="n">
        <v>1</v>
      </c>
      <c r="O746" s="1" t="n">
        <v>1</v>
      </c>
      <c r="P746" s="1" t="n">
        <f aca="false">SUM(M746:O746)</f>
        <v>2</v>
      </c>
      <c r="W746" s="1" t="n">
        <f aca="false">SUM(Q746:V746)</f>
        <v>0</v>
      </c>
      <c r="X746" s="1" t="n">
        <v>3</v>
      </c>
      <c r="Y746" s="1" t="n">
        <v>5</v>
      </c>
      <c r="AF746" s="9" t="n">
        <f aca="false">SUM(Z746:AE746)</f>
        <v>0</v>
      </c>
      <c r="AG746" s="10"/>
      <c r="AH746" s="11"/>
      <c r="AI746" s="11"/>
      <c r="AJ746" s="11"/>
      <c r="AK746" s="11"/>
      <c r="AL746" s="11"/>
      <c r="AM746" s="11"/>
      <c r="AN746" s="11" t="n">
        <f aca="false">SUM(AH746:AM746)</f>
        <v>0</v>
      </c>
      <c r="AO746" s="1"/>
      <c r="AP746" s="1"/>
      <c r="AQ746" s="1"/>
      <c r="AR746" s="1"/>
    </row>
    <row r="747" customFormat="false" ht="13.8" hidden="false" customHeight="false" outlineLevel="0" collapsed="false">
      <c r="A747" s="1" t="s">
        <v>923</v>
      </c>
      <c r="B747" s="1" t="n">
        <v>783</v>
      </c>
      <c r="C747" s="1" t="s">
        <v>901</v>
      </c>
      <c r="D747" s="1" t="s">
        <v>73</v>
      </c>
      <c r="E747" s="1" t="s">
        <v>902</v>
      </c>
      <c r="F747" s="1" t="n">
        <v>1</v>
      </c>
      <c r="G747" s="1" t="n">
        <v>1</v>
      </c>
      <c r="H747" s="1" t="n">
        <v>1</v>
      </c>
      <c r="I747" s="8" t="n">
        <v>11056</v>
      </c>
      <c r="J747" s="1" t="n">
        <v>1</v>
      </c>
      <c r="K747" s="1" t="s">
        <v>51</v>
      </c>
      <c r="L747" s="1" t="n">
        <v>1</v>
      </c>
      <c r="P747" s="1" t="n">
        <f aca="false">SUM(M747:O747)</f>
        <v>0</v>
      </c>
      <c r="W747" s="1" t="n">
        <f aca="false">SUM(Q747:V747)</f>
        <v>0</v>
      </c>
      <c r="Y747" s="1" t="n">
        <v>1</v>
      </c>
      <c r="AF747" s="9" t="n">
        <f aca="false">SUM(Z747:AE747)</f>
        <v>0</v>
      </c>
      <c r="AG747" s="10"/>
      <c r="AH747" s="11"/>
      <c r="AI747" s="11"/>
      <c r="AJ747" s="11"/>
      <c r="AK747" s="11"/>
      <c r="AL747" s="11"/>
      <c r="AM747" s="11"/>
      <c r="AN747" s="11" t="n">
        <f aca="false">SUM(AH747:AM747)</f>
        <v>0</v>
      </c>
      <c r="AO747" s="1"/>
      <c r="AP747" s="1"/>
      <c r="AQ747" s="1"/>
      <c r="AR747" s="1"/>
    </row>
    <row r="748" customFormat="false" ht="13.8" hidden="false" customHeight="false" outlineLevel="0" collapsed="false">
      <c r="A748" s="1" t="s">
        <v>924</v>
      </c>
      <c r="B748" s="1" t="n">
        <v>290</v>
      </c>
      <c r="C748" s="1" t="s">
        <v>901</v>
      </c>
      <c r="D748" s="1" t="s">
        <v>73</v>
      </c>
      <c r="E748" s="1" t="s">
        <v>902</v>
      </c>
      <c r="F748" s="1" t="n">
        <v>6</v>
      </c>
      <c r="G748" s="1" t="n">
        <v>1</v>
      </c>
      <c r="H748" s="1" t="n">
        <v>6</v>
      </c>
      <c r="I748" s="8" t="n">
        <v>744908</v>
      </c>
      <c r="J748" s="1" t="n">
        <v>2</v>
      </c>
      <c r="K748" s="1" t="s">
        <v>44</v>
      </c>
      <c r="L748" s="1" t="n">
        <v>2</v>
      </c>
      <c r="P748" s="1" t="n">
        <f aca="false">SUM(M748:O748)</f>
        <v>0</v>
      </c>
      <c r="U748" s="1" t="n">
        <v>40</v>
      </c>
      <c r="W748" s="1" t="n">
        <f aca="false">SUM(Q748:V748)</f>
        <v>40</v>
      </c>
      <c r="X748" s="1" t="n">
        <v>3</v>
      </c>
      <c r="Y748" s="1" t="n">
        <v>6</v>
      </c>
      <c r="AD748" s="9" t="n">
        <f aca="false">(U748)*(1+(J748)*0.2)</f>
        <v>56</v>
      </c>
      <c r="AF748" s="9" t="n">
        <f aca="false">SUM(Z748:AE748)</f>
        <v>56</v>
      </c>
      <c r="AG748" s="10" t="s">
        <v>47</v>
      </c>
      <c r="AH748" s="11"/>
      <c r="AI748" s="11"/>
      <c r="AJ748" s="11"/>
      <c r="AK748" s="11"/>
      <c r="AL748" s="11" t="n">
        <f aca="false">IF(AG748="yes",AD748*1.2,AD748)</f>
        <v>67.2</v>
      </c>
      <c r="AM748" s="11"/>
      <c r="AN748" s="11" t="n">
        <f aca="false">SUM(AH748:AM748)</f>
        <v>67.2</v>
      </c>
      <c r="AO748" s="1"/>
      <c r="AP748" s="1"/>
      <c r="AQ748" s="1"/>
      <c r="AR748" s="1"/>
    </row>
    <row r="749" customFormat="false" ht="13.8" hidden="false" customHeight="false" outlineLevel="0" collapsed="false">
      <c r="A749" s="1" t="s">
        <v>925</v>
      </c>
      <c r="B749" s="1" t="n">
        <v>167</v>
      </c>
      <c r="C749" s="1" t="s">
        <v>901</v>
      </c>
      <c r="D749" s="1" t="s">
        <v>42</v>
      </c>
      <c r="E749" s="1" t="s">
        <v>902</v>
      </c>
      <c r="F749" s="1" t="n">
        <v>13</v>
      </c>
      <c r="G749" s="1" t="n">
        <v>1</v>
      </c>
      <c r="H749" s="1" t="n">
        <v>10</v>
      </c>
      <c r="I749" s="8" t="n">
        <v>1981710</v>
      </c>
      <c r="J749" s="1" t="n">
        <v>3</v>
      </c>
      <c r="K749" s="1" t="s">
        <v>120</v>
      </c>
      <c r="L749" s="1" t="n">
        <v>5</v>
      </c>
      <c r="N749" s="1" t="n">
        <v>1</v>
      </c>
      <c r="P749" s="1" t="n">
        <f aca="false">SUM(M749:O749)</f>
        <v>1</v>
      </c>
      <c r="W749" s="1" t="n">
        <f aca="false">SUM(Q749:V749)</f>
        <v>0</v>
      </c>
      <c r="X749" s="1" t="n">
        <v>3</v>
      </c>
      <c r="Y749" s="1" t="n">
        <v>5</v>
      </c>
      <c r="AF749" s="9" t="n">
        <f aca="false">SUM(Z749:AE749)</f>
        <v>0</v>
      </c>
      <c r="AG749" s="10"/>
      <c r="AH749" s="11"/>
      <c r="AI749" s="11"/>
      <c r="AJ749" s="11"/>
      <c r="AK749" s="11"/>
      <c r="AL749" s="11"/>
      <c r="AM749" s="11"/>
      <c r="AN749" s="11" t="n">
        <f aca="false">SUM(AH749:AM749)</f>
        <v>0</v>
      </c>
      <c r="AO749" s="1"/>
      <c r="AP749" s="1"/>
      <c r="AQ749" s="1"/>
      <c r="AR749" s="1"/>
    </row>
    <row r="750" customFormat="false" ht="13.8" hidden="false" customHeight="false" outlineLevel="0" collapsed="false">
      <c r="A750" s="1" t="s">
        <v>926</v>
      </c>
      <c r="B750" s="1" t="n">
        <v>791</v>
      </c>
      <c r="C750" s="1" t="s">
        <v>901</v>
      </c>
      <c r="D750" s="1" t="s">
        <v>42</v>
      </c>
      <c r="E750" s="1" t="s">
        <v>902</v>
      </c>
      <c r="F750" s="1" t="n">
        <v>3</v>
      </c>
      <c r="G750" s="1" t="n">
        <v>1</v>
      </c>
      <c r="H750" s="1" t="n">
        <v>13</v>
      </c>
      <c r="I750" s="8" t="n">
        <v>714499</v>
      </c>
      <c r="J750" s="1" t="n">
        <v>3</v>
      </c>
      <c r="K750" s="1" t="s">
        <v>44</v>
      </c>
      <c r="L750" s="1" t="n">
        <v>2</v>
      </c>
      <c r="O750" s="1" t="n">
        <v>1</v>
      </c>
      <c r="P750" s="1" t="n">
        <f aca="false">SUM(M750:O750)</f>
        <v>1</v>
      </c>
      <c r="T750" s="1" t="n">
        <v>10</v>
      </c>
      <c r="W750" s="1" t="n">
        <f aca="false">SUM(Q750:V750)</f>
        <v>10</v>
      </c>
      <c r="AC750" s="9" t="n">
        <f aca="false">(T750)*(1+(J750)*0.2)</f>
        <v>16</v>
      </c>
      <c r="AD750" s="9"/>
      <c r="AF750" s="9" t="n">
        <f aca="false">SUM(Z750:AE750)</f>
        <v>16</v>
      </c>
      <c r="AG750" s="10" t="s">
        <v>47</v>
      </c>
      <c r="AH750" s="11"/>
      <c r="AI750" s="11"/>
      <c r="AJ750" s="11"/>
      <c r="AK750" s="11" t="n">
        <f aca="false">IF(AG750="yes",AC750*1.2,AC750)</f>
        <v>19.2</v>
      </c>
      <c r="AL750" s="11"/>
      <c r="AM750" s="11"/>
      <c r="AN750" s="11" t="n">
        <f aca="false">SUM(AH750:AM750)</f>
        <v>19.2</v>
      </c>
      <c r="AO750" s="1"/>
      <c r="AP750" s="1"/>
      <c r="AQ750" s="1"/>
      <c r="AR750" s="1"/>
    </row>
    <row r="751" customFormat="false" ht="13.8" hidden="false" customHeight="false" outlineLevel="0" collapsed="false">
      <c r="A751" s="1" t="s">
        <v>927</v>
      </c>
      <c r="B751" s="1" t="n">
        <v>166</v>
      </c>
      <c r="C751" s="1" t="s">
        <v>901</v>
      </c>
      <c r="D751" s="1" t="s">
        <v>42</v>
      </c>
      <c r="E751" s="1" t="s">
        <v>902</v>
      </c>
      <c r="F751" s="1" t="n">
        <v>5</v>
      </c>
      <c r="G751" s="1" t="n">
        <v>1</v>
      </c>
      <c r="H751" s="1" t="n">
        <v>11</v>
      </c>
      <c r="I751" s="8" t="n">
        <v>669181</v>
      </c>
      <c r="J751" s="1" t="n">
        <v>3</v>
      </c>
      <c r="K751" s="1" t="s">
        <v>46</v>
      </c>
      <c r="L751" s="1" t="n">
        <v>4</v>
      </c>
      <c r="O751" s="1" t="n">
        <v>1</v>
      </c>
      <c r="P751" s="1" t="n">
        <f aca="false">SUM(M751:O751)</f>
        <v>1</v>
      </c>
      <c r="U751" s="1" t="n">
        <v>15</v>
      </c>
      <c r="W751" s="1" t="n">
        <f aca="false">SUM(Q751:V751)</f>
        <v>15</v>
      </c>
      <c r="X751" s="1" t="n">
        <v>3</v>
      </c>
      <c r="AD751" s="9" t="n">
        <f aca="false">(U751)*(1+(J751)*0.2)</f>
        <v>24</v>
      </c>
      <c r="AF751" s="9" t="n">
        <f aca="false">SUM(Z751:AE751)</f>
        <v>24</v>
      </c>
      <c r="AG751" s="10" t="s">
        <v>47</v>
      </c>
      <c r="AH751" s="11"/>
      <c r="AI751" s="11"/>
      <c r="AJ751" s="11"/>
      <c r="AK751" s="11"/>
      <c r="AL751" s="11" t="n">
        <f aca="false">IF(AG751="yes",AD751*1.2,AD751)</f>
        <v>28.8</v>
      </c>
      <c r="AM751" s="11"/>
      <c r="AN751" s="11" t="n">
        <f aca="false">SUM(AH751:AM751)</f>
        <v>28.8</v>
      </c>
      <c r="AO751" s="1"/>
      <c r="AP751" s="1"/>
      <c r="AQ751" s="1"/>
      <c r="AR751" s="1"/>
    </row>
    <row r="752" customFormat="false" ht="13.8" hidden="false" customHeight="false" outlineLevel="0" collapsed="false">
      <c r="A752" s="1" t="s">
        <v>928</v>
      </c>
      <c r="B752" s="1" t="n">
        <v>908</v>
      </c>
      <c r="C752" s="1" t="s">
        <v>929</v>
      </c>
      <c r="D752" s="1" t="s">
        <v>42</v>
      </c>
      <c r="E752" s="1" t="s">
        <v>930</v>
      </c>
      <c r="F752" s="1" t="n">
        <v>2</v>
      </c>
      <c r="G752" s="1" t="n">
        <v>1</v>
      </c>
      <c r="H752" s="1" t="n">
        <v>3</v>
      </c>
      <c r="I752" s="8" t="n">
        <v>560684</v>
      </c>
      <c r="J752" s="1" t="n">
        <v>1</v>
      </c>
      <c r="K752" s="1" t="s">
        <v>44</v>
      </c>
      <c r="L752" s="1" t="n">
        <v>2</v>
      </c>
      <c r="M752" s="1" t="n">
        <v>1</v>
      </c>
      <c r="P752" s="1" t="n">
        <f aca="false">SUM(M752:O752)</f>
        <v>1</v>
      </c>
      <c r="W752" s="1" t="n">
        <f aca="false">SUM(Q752:V752)</f>
        <v>0</v>
      </c>
      <c r="AB752" s="9"/>
      <c r="AF752" s="9" t="n">
        <f aca="false">SUM(Z752:AE752)</f>
        <v>0</v>
      </c>
      <c r="AG752" s="10"/>
      <c r="AH752" s="11"/>
      <c r="AI752" s="11"/>
      <c r="AJ752" s="11"/>
      <c r="AK752" s="11"/>
      <c r="AL752" s="11"/>
      <c r="AM752" s="11"/>
      <c r="AN752" s="11" t="n">
        <f aca="false">SUM(AH752:AM752)</f>
        <v>0</v>
      </c>
      <c r="AO752" s="1"/>
      <c r="AP752" s="1"/>
      <c r="AQ752" s="1"/>
      <c r="AR752" s="1"/>
    </row>
    <row r="753" customFormat="false" ht="13.8" hidden="false" customHeight="false" outlineLevel="0" collapsed="false">
      <c r="A753" s="1" t="s">
        <v>931</v>
      </c>
      <c r="B753" s="1" t="n">
        <v>915</v>
      </c>
      <c r="C753" s="1" t="s">
        <v>932</v>
      </c>
      <c r="D753" s="1" t="s">
        <v>42</v>
      </c>
      <c r="E753" s="1" t="s">
        <v>933</v>
      </c>
      <c r="F753" s="1" t="n">
        <v>1</v>
      </c>
      <c r="G753" s="1" t="n">
        <v>1</v>
      </c>
      <c r="H753" s="1" t="n">
        <v>2</v>
      </c>
      <c r="I753" s="8" t="n">
        <v>96329</v>
      </c>
      <c r="J753" s="1" t="n">
        <v>3</v>
      </c>
      <c r="K753" s="1" t="s">
        <v>44</v>
      </c>
      <c r="L753" s="1" t="n">
        <v>2</v>
      </c>
      <c r="P753" s="1" t="n">
        <f aca="false">SUM(M753:O753)</f>
        <v>0</v>
      </c>
      <c r="W753" s="1" t="n">
        <f aca="false">SUM(Q753:V753)</f>
        <v>0</v>
      </c>
      <c r="AE753" s="20"/>
      <c r="AF753" s="9" t="n">
        <f aca="false">SUM(Z753:AE753)</f>
        <v>0</v>
      </c>
      <c r="AG753" s="10"/>
      <c r="AH753" s="11"/>
      <c r="AI753" s="11"/>
      <c r="AJ753" s="11"/>
      <c r="AK753" s="11"/>
      <c r="AL753" s="11"/>
      <c r="AM753" s="11"/>
      <c r="AN753" s="11" t="n">
        <f aca="false">SUM(AH753:AM753)</f>
        <v>0</v>
      </c>
      <c r="AO753" s="1"/>
      <c r="AP753" s="1"/>
      <c r="AQ753" s="1"/>
      <c r="AR753" s="1"/>
    </row>
    <row r="754" customFormat="false" ht="13.8" hidden="false" customHeight="false" outlineLevel="0" collapsed="false">
      <c r="A754" s="1" t="s">
        <v>934</v>
      </c>
      <c r="B754" s="1" t="n">
        <v>916</v>
      </c>
      <c r="C754" s="1" t="s">
        <v>932</v>
      </c>
      <c r="D754" s="1" t="s">
        <v>42</v>
      </c>
      <c r="E754" s="1" t="s">
        <v>933</v>
      </c>
      <c r="F754" s="1" t="n">
        <v>1</v>
      </c>
      <c r="G754" s="1" t="n">
        <v>1</v>
      </c>
      <c r="H754" s="1" t="n">
        <v>18</v>
      </c>
      <c r="I754" s="8" t="n">
        <v>250022</v>
      </c>
      <c r="J754" s="1" t="n">
        <v>3</v>
      </c>
      <c r="K754" s="1" t="s">
        <v>44</v>
      </c>
      <c r="L754" s="1" t="n">
        <v>2</v>
      </c>
      <c r="P754" s="1" t="n">
        <f aca="false">SUM(M754:O754)</f>
        <v>0</v>
      </c>
      <c r="U754" s="1" t="n">
        <v>20</v>
      </c>
      <c r="W754" s="1" t="n">
        <f aca="false">SUM(Q754:V754)</f>
        <v>20</v>
      </c>
      <c r="AD754" s="9" t="n">
        <f aca="false">(U754)*(1+(J754)*0.2)</f>
        <v>32</v>
      </c>
      <c r="AF754" s="9" t="n">
        <f aca="false">SUM(Z754:AE754)</f>
        <v>32</v>
      </c>
      <c r="AG754" s="10" t="s">
        <v>53</v>
      </c>
      <c r="AH754" s="11"/>
      <c r="AI754" s="11"/>
      <c r="AJ754" s="11"/>
      <c r="AK754" s="11"/>
      <c r="AL754" s="11" t="n">
        <f aca="false">IF(AG754="yes",AD754*1.2,AD754)</f>
        <v>32</v>
      </c>
      <c r="AM754" s="11"/>
      <c r="AN754" s="11" t="n">
        <f aca="false">SUM(AH754:AM754)</f>
        <v>32</v>
      </c>
      <c r="AO754" s="1"/>
      <c r="AP754" s="1"/>
      <c r="AQ754" s="1"/>
      <c r="AR754" s="1"/>
    </row>
    <row r="755" customFormat="false" ht="13.8" hidden="false" customHeight="false" outlineLevel="0" collapsed="false">
      <c r="A755" s="1" t="s">
        <v>935</v>
      </c>
      <c r="B755" s="1" t="n">
        <v>38</v>
      </c>
      <c r="C755" s="1" t="s">
        <v>932</v>
      </c>
      <c r="D755" s="1" t="s">
        <v>42</v>
      </c>
      <c r="E755" s="1" t="s">
        <v>933</v>
      </c>
      <c r="F755" s="1" t="n">
        <v>3</v>
      </c>
      <c r="G755" s="1" t="n">
        <v>1</v>
      </c>
      <c r="H755" s="1" t="n">
        <v>26</v>
      </c>
      <c r="I755" s="8" t="n">
        <v>933093</v>
      </c>
      <c r="J755" s="1" t="n">
        <v>2</v>
      </c>
      <c r="K755" s="1" t="s">
        <v>46</v>
      </c>
      <c r="L755" s="1" t="n">
        <v>4</v>
      </c>
      <c r="O755" s="1" t="n">
        <v>1</v>
      </c>
      <c r="P755" s="1" t="n">
        <f aca="false">SUM(M755:O755)</f>
        <v>1</v>
      </c>
      <c r="W755" s="1" t="n">
        <f aca="false">SUM(Q755:V755)</f>
        <v>0</v>
      </c>
      <c r="X755" s="1" t="n">
        <v>3</v>
      </c>
      <c r="Y755" s="1" t="n">
        <v>1</v>
      </c>
      <c r="AF755" s="9" t="n">
        <f aca="false">SUM(Z755:AE755)</f>
        <v>0</v>
      </c>
      <c r="AG755" s="10"/>
      <c r="AH755" s="11"/>
      <c r="AI755" s="11"/>
      <c r="AJ755" s="11"/>
      <c r="AK755" s="11"/>
      <c r="AL755" s="11"/>
      <c r="AM755" s="11"/>
      <c r="AN755" s="11" t="n">
        <f aca="false">SUM(AH755:AM755)</f>
        <v>0</v>
      </c>
      <c r="AO755" s="1"/>
      <c r="AP755" s="1"/>
      <c r="AQ755" s="1"/>
      <c r="AR755" s="1"/>
    </row>
    <row r="756" customFormat="false" ht="13.8" hidden="false" customHeight="false" outlineLevel="0" collapsed="false">
      <c r="A756" s="1" t="s">
        <v>936</v>
      </c>
      <c r="B756" s="1" t="n">
        <v>124</v>
      </c>
      <c r="C756" s="1" t="s">
        <v>932</v>
      </c>
      <c r="D756" s="1" t="s">
        <v>42</v>
      </c>
      <c r="E756" s="1" t="s">
        <v>933</v>
      </c>
      <c r="F756" s="1" t="n">
        <v>1</v>
      </c>
      <c r="G756" s="1" t="n">
        <v>1</v>
      </c>
      <c r="H756" s="1" t="n">
        <v>2</v>
      </c>
      <c r="I756" s="8" t="n">
        <v>57058</v>
      </c>
      <c r="J756" s="1" t="n">
        <v>3</v>
      </c>
      <c r="K756" s="1" t="s">
        <v>84</v>
      </c>
      <c r="L756" s="1" t="n">
        <v>1</v>
      </c>
      <c r="P756" s="1" t="n">
        <f aca="false">SUM(M756:O756)</f>
        <v>0</v>
      </c>
      <c r="W756" s="1" t="n">
        <f aca="false">SUM(Q756:V756)</f>
        <v>0</v>
      </c>
      <c r="Y756" s="1" t="n">
        <v>1</v>
      </c>
      <c r="AF756" s="9" t="n">
        <f aca="false">SUM(Z756:AE756)</f>
        <v>0</v>
      </c>
      <c r="AG756" s="10"/>
      <c r="AH756" s="11"/>
      <c r="AI756" s="11"/>
      <c r="AJ756" s="11"/>
      <c r="AK756" s="11"/>
      <c r="AL756" s="11"/>
      <c r="AM756" s="11"/>
      <c r="AN756" s="11" t="n">
        <f aca="false">SUM(AH756:AM756)</f>
        <v>0</v>
      </c>
      <c r="AO756" s="1"/>
      <c r="AP756" s="1"/>
      <c r="AQ756" s="1"/>
      <c r="AR756" s="1"/>
    </row>
    <row r="757" customFormat="false" ht="13.8" hidden="false" customHeight="false" outlineLevel="0" collapsed="false">
      <c r="A757" s="1" t="s">
        <v>937</v>
      </c>
      <c r="B757" s="1" t="n">
        <v>917</v>
      </c>
      <c r="C757" s="1" t="s">
        <v>932</v>
      </c>
      <c r="D757" s="1" t="s">
        <v>42</v>
      </c>
      <c r="E757" s="1" t="s">
        <v>933</v>
      </c>
      <c r="F757" s="1" t="n">
        <v>1</v>
      </c>
      <c r="G757" s="1" t="n">
        <v>1</v>
      </c>
      <c r="H757" s="1" t="n">
        <v>19</v>
      </c>
      <c r="I757" s="8" t="n">
        <v>65079</v>
      </c>
      <c r="J757" s="1" t="n">
        <v>2</v>
      </c>
      <c r="K757" s="1" t="s">
        <v>44</v>
      </c>
      <c r="L757" s="1" t="n">
        <v>2</v>
      </c>
      <c r="P757" s="1" t="n">
        <f aca="false">SUM(M757:O757)</f>
        <v>0</v>
      </c>
      <c r="U757" s="1" t="n">
        <v>20</v>
      </c>
      <c r="W757" s="1" t="n">
        <f aca="false">SUM(Q757:V757)</f>
        <v>20</v>
      </c>
      <c r="AC757" s="9"/>
      <c r="AD757" s="9" t="n">
        <f aca="false">(U757)*(1+(J757)*0.2)</f>
        <v>28</v>
      </c>
      <c r="AF757" s="9" t="n">
        <f aca="false">SUM(Z757:AE757)</f>
        <v>28</v>
      </c>
      <c r="AG757" s="10" t="s">
        <v>53</v>
      </c>
      <c r="AH757" s="11"/>
      <c r="AI757" s="11"/>
      <c r="AJ757" s="11"/>
      <c r="AK757" s="11"/>
      <c r="AL757" s="11" t="n">
        <f aca="false">IF(AG757="yes",AD757*1.2,AD757)</f>
        <v>28</v>
      </c>
      <c r="AM757" s="11"/>
      <c r="AN757" s="11" t="n">
        <f aca="false">SUM(AH757:AM757)</f>
        <v>28</v>
      </c>
      <c r="AO757" s="1"/>
      <c r="AP757" s="1"/>
      <c r="AQ757" s="1"/>
      <c r="AR757" s="1"/>
    </row>
    <row r="758" customFormat="false" ht="13.8" hidden="false" customHeight="false" outlineLevel="0" collapsed="false">
      <c r="A758" s="1" t="s">
        <v>938</v>
      </c>
      <c r="B758" s="1" t="n">
        <v>666</v>
      </c>
      <c r="C758" s="1" t="s">
        <v>932</v>
      </c>
      <c r="D758" s="1" t="s">
        <v>42</v>
      </c>
      <c r="E758" s="1" t="s">
        <v>933</v>
      </c>
      <c r="F758" s="1" t="n">
        <v>5</v>
      </c>
      <c r="G758" s="1" t="n">
        <v>1</v>
      </c>
      <c r="H758" s="1" t="n">
        <v>32</v>
      </c>
      <c r="I758" s="8" t="n">
        <v>100344</v>
      </c>
      <c r="J758" s="1" t="n">
        <v>2</v>
      </c>
      <c r="K758" s="1" t="s">
        <v>44</v>
      </c>
      <c r="L758" s="1" t="n">
        <v>2</v>
      </c>
      <c r="O758" s="1" t="n">
        <v>1</v>
      </c>
      <c r="P758" s="1" t="n">
        <f aca="false">SUM(M758:O758)</f>
        <v>1</v>
      </c>
      <c r="T758" s="1" t="n">
        <v>44</v>
      </c>
      <c r="U758" s="1" t="n">
        <v>50</v>
      </c>
      <c r="V758" s="1" t="n">
        <v>25</v>
      </c>
      <c r="W758" s="1" t="n">
        <f aca="false">SUM(Q758:V758)</f>
        <v>119</v>
      </c>
      <c r="Y758" s="1" t="n">
        <v>2</v>
      </c>
      <c r="AB758" s="9"/>
      <c r="AC758" s="9" t="n">
        <f aca="false">(T758)*(1+(J758)*0.2)</f>
        <v>61.6</v>
      </c>
      <c r="AD758" s="9" t="n">
        <f aca="false">(U758)*(1+(J758)*0.2)</f>
        <v>70</v>
      </c>
      <c r="AE758" s="9" t="n">
        <f aca="false">(V758)*(1+(J758)*0.2)</f>
        <v>35</v>
      </c>
      <c r="AF758" s="9" t="n">
        <f aca="false">SUM(Z758:AE758)</f>
        <v>166.6</v>
      </c>
      <c r="AG758" s="10" t="s">
        <v>47</v>
      </c>
      <c r="AH758" s="11"/>
      <c r="AI758" s="11"/>
      <c r="AJ758" s="11"/>
      <c r="AK758" s="11" t="n">
        <f aca="false">IF(AG758="yes",AC758*1.2,AC758)</f>
        <v>73.92</v>
      </c>
      <c r="AL758" s="11" t="n">
        <f aca="false">IF(AG758="yes",AD758*1.2,AD758)</f>
        <v>84</v>
      </c>
      <c r="AM758" s="11" t="n">
        <f aca="false">IF(AG758="yes",AE758*1.2,AE758)</f>
        <v>42</v>
      </c>
      <c r="AN758" s="11" t="n">
        <f aca="false">SUM(AH758:AM758)</f>
        <v>199.92</v>
      </c>
      <c r="AO758" s="1"/>
      <c r="AP758" s="1"/>
      <c r="AQ758" s="1"/>
      <c r="AR758" s="1"/>
    </row>
    <row r="759" customFormat="false" ht="13.8" hidden="false" customHeight="false" outlineLevel="0" collapsed="false">
      <c r="A759" s="1" t="s">
        <v>939</v>
      </c>
      <c r="B759" s="1" t="n">
        <v>913</v>
      </c>
      <c r="C759" s="1" t="s">
        <v>932</v>
      </c>
      <c r="D759" s="1" t="s">
        <v>42</v>
      </c>
      <c r="E759" s="1" t="s">
        <v>933</v>
      </c>
      <c r="F759" s="1" t="n">
        <v>3</v>
      </c>
      <c r="G759" s="1" t="n">
        <v>1</v>
      </c>
      <c r="H759" s="1" t="n">
        <v>11</v>
      </c>
      <c r="I759" s="8" t="n">
        <v>505843</v>
      </c>
      <c r="J759" s="1" t="n">
        <v>3</v>
      </c>
      <c r="K759" s="1" t="s">
        <v>46</v>
      </c>
      <c r="L759" s="1" t="n">
        <v>4</v>
      </c>
      <c r="O759" s="1" t="n">
        <v>1</v>
      </c>
      <c r="P759" s="1" t="n">
        <f aca="false">SUM(M759:O759)</f>
        <v>1</v>
      </c>
      <c r="U759" s="1" t="n">
        <v>3</v>
      </c>
      <c r="W759" s="1" t="n">
        <f aca="false">SUM(Q759:V759)</f>
        <v>3</v>
      </c>
      <c r="X759" s="1" t="n">
        <v>2</v>
      </c>
      <c r="Y759" s="1" t="n">
        <v>1</v>
      </c>
      <c r="AD759" s="9" t="n">
        <f aca="false">(U759)*(1+(J759)*0.2)</f>
        <v>4.8</v>
      </c>
      <c r="AF759" s="9" t="n">
        <f aca="false">SUM(Z759:AE759)</f>
        <v>4.8</v>
      </c>
      <c r="AG759" s="10" t="s">
        <v>47</v>
      </c>
      <c r="AH759" s="11"/>
      <c r="AI759" s="11"/>
      <c r="AJ759" s="11"/>
      <c r="AK759" s="11"/>
      <c r="AL759" s="11" t="n">
        <f aca="false">IF(AG759="yes",AD759*1.2,AD759)</f>
        <v>5.76</v>
      </c>
      <c r="AM759" s="11"/>
      <c r="AN759" s="11" t="n">
        <f aca="false">SUM(AH759:AM759)</f>
        <v>5.76</v>
      </c>
      <c r="AO759" s="1"/>
      <c r="AP759" s="1"/>
      <c r="AQ759" s="1"/>
      <c r="AR759" s="1"/>
    </row>
    <row r="760" customFormat="false" ht="13.8" hidden="false" customHeight="false" outlineLevel="0" collapsed="false">
      <c r="A760" s="1" t="s">
        <v>940</v>
      </c>
      <c r="B760" s="1" t="n">
        <v>138</v>
      </c>
      <c r="C760" s="1" t="s">
        <v>932</v>
      </c>
      <c r="D760" s="1" t="s">
        <v>42</v>
      </c>
      <c r="E760" s="1" t="s">
        <v>933</v>
      </c>
      <c r="F760" s="1" t="n">
        <v>7</v>
      </c>
      <c r="G760" s="1" t="n">
        <v>1</v>
      </c>
      <c r="H760" s="1" t="n">
        <v>11</v>
      </c>
      <c r="I760" s="8" t="n">
        <v>1048980</v>
      </c>
      <c r="J760" s="1" t="n">
        <v>3</v>
      </c>
      <c r="K760" s="1" t="s">
        <v>96</v>
      </c>
      <c r="L760" s="1" t="n">
        <v>6</v>
      </c>
      <c r="N760" s="1" t="n">
        <v>1</v>
      </c>
      <c r="O760" s="1" t="n">
        <v>1</v>
      </c>
      <c r="P760" s="1" t="n">
        <f aca="false">SUM(M760:O760)</f>
        <v>2</v>
      </c>
      <c r="W760" s="1" t="n">
        <f aca="false">SUM(Q760:V760)</f>
        <v>0</v>
      </c>
      <c r="Y760" s="1" t="n">
        <v>10</v>
      </c>
      <c r="AF760" s="9" t="n">
        <f aca="false">SUM(Z760:AE760)</f>
        <v>0</v>
      </c>
      <c r="AG760" s="10"/>
      <c r="AH760" s="11"/>
      <c r="AI760" s="11"/>
      <c r="AJ760" s="11"/>
      <c r="AK760" s="11"/>
      <c r="AL760" s="11"/>
      <c r="AM760" s="11"/>
      <c r="AN760" s="11" t="n">
        <f aca="false">SUM(AH760:AM760)</f>
        <v>0</v>
      </c>
      <c r="AO760" s="1"/>
      <c r="AP760" s="1"/>
      <c r="AQ760" s="1"/>
      <c r="AR760" s="1"/>
    </row>
    <row r="761" customFormat="false" ht="13.8" hidden="false" customHeight="false" outlineLevel="0" collapsed="false">
      <c r="A761" s="1" t="s">
        <v>941</v>
      </c>
      <c r="B761" s="1" t="n">
        <v>139</v>
      </c>
      <c r="C761" s="1" t="s">
        <v>932</v>
      </c>
      <c r="D761" s="1" t="s">
        <v>42</v>
      </c>
      <c r="E761" s="1" t="s">
        <v>933</v>
      </c>
      <c r="F761" s="1" t="n">
        <v>4</v>
      </c>
      <c r="G761" s="1" t="n">
        <v>1</v>
      </c>
      <c r="H761" s="1" t="n">
        <v>13</v>
      </c>
      <c r="I761" s="8" t="n">
        <v>390843</v>
      </c>
      <c r="J761" s="1" t="n">
        <v>3</v>
      </c>
      <c r="K761" s="1" t="s">
        <v>44</v>
      </c>
      <c r="L761" s="1" t="n">
        <v>2</v>
      </c>
      <c r="O761" s="1" t="n">
        <v>1</v>
      </c>
      <c r="P761" s="1" t="n">
        <f aca="false">SUM(M761:O761)</f>
        <v>1</v>
      </c>
      <c r="U761" s="1" t="n">
        <v>4</v>
      </c>
      <c r="W761" s="1" t="n">
        <f aca="false">SUM(Q761:V761)</f>
        <v>4</v>
      </c>
      <c r="AD761" s="9" t="n">
        <f aca="false">(U761)*(1+(J761)*0.2)</f>
        <v>6.4</v>
      </c>
      <c r="AF761" s="9" t="n">
        <f aca="false">SUM(Z761:AE761)</f>
        <v>6.4</v>
      </c>
      <c r="AG761" s="21" t="s">
        <v>53</v>
      </c>
      <c r="AH761" s="11"/>
      <c r="AI761" s="11"/>
      <c r="AJ761" s="11"/>
      <c r="AK761" s="11"/>
      <c r="AL761" s="11" t="n">
        <f aca="false">IF(AG761="yes",AD761*1.2,AD761)</f>
        <v>6.4</v>
      </c>
      <c r="AM761" s="11"/>
      <c r="AN761" s="11" t="n">
        <f aca="false">SUM(AH761:AM761)</f>
        <v>6.4</v>
      </c>
      <c r="AO761" s="1"/>
      <c r="AP761" s="1"/>
      <c r="AQ761" s="1"/>
      <c r="AR761" s="1"/>
    </row>
    <row r="762" customFormat="false" ht="13.8" hidden="false" customHeight="false" outlineLevel="0" collapsed="false">
      <c r="A762" s="1" t="s">
        <v>942</v>
      </c>
      <c r="B762" s="1" t="n">
        <v>141</v>
      </c>
      <c r="C762" s="1" t="s">
        <v>932</v>
      </c>
      <c r="D762" s="1" t="s">
        <v>42</v>
      </c>
      <c r="E762" s="1" t="s">
        <v>933</v>
      </c>
      <c r="F762" s="1" t="n">
        <v>23</v>
      </c>
      <c r="G762" s="1" t="n">
        <v>1</v>
      </c>
      <c r="H762" s="1" t="n">
        <v>21</v>
      </c>
      <c r="I762" s="8" t="n">
        <v>1489998</v>
      </c>
      <c r="J762" s="1" t="n">
        <v>4</v>
      </c>
      <c r="K762" s="1" t="s">
        <v>96</v>
      </c>
      <c r="L762" s="1" t="n">
        <v>6</v>
      </c>
      <c r="M762" s="1" t="n">
        <v>2</v>
      </c>
      <c r="N762" s="1" t="n">
        <v>1</v>
      </c>
      <c r="O762" s="1" t="n">
        <v>3</v>
      </c>
      <c r="P762" s="1" t="n">
        <f aca="false">SUM(M762:O762)</f>
        <v>6</v>
      </c>
      <c r="R762" s="1" t="n">
        <v>2</v>
      </c>
      <c r="U762" s="1" t="n">
        <v>24</v>
      </c>
      <c r="W762" s="1" t="n">
        <f aca="false">SUM(Q762:V762)</f>
        <v>26</v>
      </c>
      <c r="X762" s="1" t="n">
        <v>6</v>
      </c>
      <c r="Y762" s="1" t="n">
        <v>5</v>
      </c>
      <c r="AA762" s="9" t="n">
        <f aca="false">(R762)*(1+(J762)*0.2)</f>
        <v>3.6</v>
      </c>
      <c r="AD762" s="9" t="n">
        <f aca="false">(U762)*(1+(J762)*0.2)</f>
        <v>43.2</v>
      </c>
      <c r="AF762" s="9" t="n">
        <f aca="false">SUM(Z762:AE762)</f>
        <v>46.8</v>
      </c>
      <c r="AG762" s="10" t="s">
        <v>47</v>
      </c>
      <c r="AH762" s="11"/>
      <c r="AI762" s="11" t="n">
        <f aca="false">IF(AG762="yes",AA762*1.2,AA762)</f>
        <v>4.32</v>
      </c>
      <c r="AJ762" s="11"/>
      <c r="AK762" s="11"/>
      <c r="AL762" s="11" t="n">
        <f aca="false">IF(AG762="yes",AD762*1.2,AD762)</f>
        <v>51.84</v>
      </c>
      <c r="AM762" s="11"/>
      <c r="AN762" s="11" t="n">
        <f aca="false">SUM(AH762:AM762)</f>
        <v>56.16</v>
      </c>
      <c r="AO762" s="1"/>
      <c r="AP762" s="1"/>
      <c r="AQ762" s="1"/>
      <c r="AR762" s="1"/>
    </row>
    <row r="763" customFormat="false" ht="13.8" hidden="false" customHeight="false" outlineLevel="0" collapsed="false">
      <c r="A763" s="1" t="s">
        <v>943</v>
      </c>
      <c r="B763" s="1" t="n">
        <v>919</v>
      </c>
      <c r="C763" s="1" t="s">
        <v>932</v>
      </c>
      <c r="D763" s="1" t="s">
        <v>42</v>
      </c>
      <c r="E763" s="1" t="s">
        <v>933</v>
      </c>
      <c r="F763" s="1" t="n">
        <v>1</v>
      </c>
      <c r="G763" s="1" t="n">
        <v>1</v>
      </c>
      <c r="H763" s="1" t="n">
        <v>10</v>
      </c>
      <c r="I763" s="8" t="n">
        <v>297015</v>
      </c>
      <c r="J763" s="1" t="n">
        <v>2</v>
      </c>
      <c r="K763" s="1" t="s">
        <v>44</v>
      </c>
      <c r="L763" s="1" t="n">
        <v>2</v>
      </c>
      <c r="P763" s="1" t="n">
        <f aca="false">SUM(M763:O763)</f>
        <v>0</v>
      </c>
      <c r="U763" s="1" t="n">
        <v>4</v>
      </c>
      <c r="W763" s="1" t="n">
        <f aca="false">SUM(Q763:V763)</f>
        <v>4</v>
      </c>
      <c r="AD763" s="9" t="n">
        <f aca="false">(U763)*(1+(J763)*0.2)</f>
        <v>5.6</v>
      </c>
      <c r="AF763" s="9" t="n">
        <f aca="false">SUM(Z763:AE763)</f>
        <v>5.6</v>
      </c>
      <c r="AG763" s="10" t="s">
        <v>53</v>
      </c>
      <c r="AH763" s="11"/>
      <c r="AI763" s="11"/>
      <c r="AJ763" s="11"/>
      <c r="AK763" s="11"/>
      <c r="AL763" s="11" t="n">
        <f aca="false">IF(AG763="yes",AD763*1.2,AD763)</f>
        <v>5.6</v>
      </c>
      <c r="AM763" s="11"/>
      <c r="AN763" s="11" t="n">
        <f aca="false">SUM(AH763:AM763)</f>
        <v>5.6</v>
      </c>
      <c r="AO763" s="1"/>
      <c r="AP763" s="1"/>
      <c r="AQ763" s="1"/>
      <c r="AR763" s="1"/>
    </row>
    <row r="764" customFormat="false" ht="13.8" hidden="false" customHeight="false" outlineLevel="0" collapsed="false">
      <c r="A764" s="1" t="s">
        <v>944</v>
      </c>
      <c r="B764" s="1" t="n">
        <v>918</v>
      </c>
      <c r="C764" s="1" t="s">
        <v>932</v>
      </c>
      <c r="D764" s="1" t="s">
        <v>42</v>
      </c>
      <c r="E764" s="1" t="s">
        <v>933</v>
      </c>
      <c r="F764" s="1" t="n">
        <v>3</v>
      </c>
      <c r="G764" s="1" t="n">
        <v>1</v>
      </c>
      <c r="H764" s="1" t="n">
        <v>34</v>
      </c>
      <c r="I764" s="8" t="n">
        <v>315490</v>
      </c>
      <c r="J764" s="1" t="n">
        <v>2</v>
      </c>
      <c r="K764" s="1" t="s">
        <v>44</v>
      </c>
      <c r="L764" s="1" t="n">
        <v>2</v>
      </c>
      <c r="P764" s="1" t="n">
        <f aca="false">SUM(M764:O764)</f>
        <v>0</v>
      </c>
      <c r="T764" s="1" t="n">
        <v>35</v>
      </c>
      <c r="U764" s="1" t="n">
        <v>39</v>
      </c>
      <c r="V764" s="1" t="n">
        <v>15</v>
      </c>
      <c r="W764" s="1" t="n">
        <f aca="false">SUM(Q764:V764)</f>
        <v>89</v>
      </c>
      <c r="AC764" s="9" t="n">
        <f aca="false">(T764)*(1+(J764)*0.2)</f>
        <v>49</v>
      </c>
      <c r="AD764" s="9" t="n">
        <f aca="false">(U764)*(1+(J764)*0.2)</f>
        <v>54.6</v>
      </c>
      <c r="AE764" s="9" t="n">
        <f aca="false">(V764)*(1+(J764)*0.2)</f>
        <v>21</v>
      </c>
      <c r="AF764" s="9" t="n">
        <f aca="false">SUM(Z764:AE764)</f>
        <v>124.6</v>
      </c>
      <c r="AG764" s="10" t="s">
        <v>53</v>
      </c>
      <c r="AH764" s="11"/>
      <c r="AI764" s="11"/>
      <c r="AJ764" s="11"/>
      <c r="AK764" s="11" t="n">
        <f aca="false">IF(AG764="yes",AC764*1.2,AC764)</f>
        <v>49</v>
      </c>
      <c r="AL764" s="11" t="n">
        <f aca="false">IF(AG764="yes",AD764*1.2,AD764)</f>
        <v>54.6</v>
      </c>
      <c r="AM764" s="11" t="n">
        <f aca="false">IF(AG764="yes",AE764*1.2,AE764)</f>
        <v>21</v>
      </c>
      <c r="AN764" s="11" t="n">
        <f aca="false">SUM(AH764:AM764)</f>
        <v>124.6</v>
      </c>
      <c r="AO764" s="1"/>
      <c r="AP764" s="1"/>
      <c r="AQ764" s="1"/>
      <c r="AR764" s="1"/>
    </row>
    <row r="765" customFormat="false" ht="13.8" hidden="false" customHeight="false" outlineLevel="0" collapsed="false">
      <c r="A765" s="1" t="s">
        <v>945</v>
      </c>
      <c r="B765" s="1" t="n">
        <v>140</v>
      </c>
      <c r="C765" s="1" t="s">
        <v>932</v>
      </c>
      <c r="D765" s="1" t="s">
        <v>42</v>
      </c>
      <c r="E765" s="1" t="s">
        <v>933</v>
      </c>
      <c r="F765" s="1" t="n">
        <v>10</v>
      </c>
      <c r="G765" s="1" t="n">
        <v>1</v>
      </c>
      <c r="H765" s="1" t="n">
        <v>10</v>
      </c>
      <c r="I765" s="8" t="n">
        <v>891048</v>
      </c>
      <c r="J765" s="1" t="n">
        <v>3</v>
      </c>
      <c r="K765" s="1" t="s">
        <v>46</v>
      </c>
      <c r="L765" s="1" t="n">
        <v>4</v>
      </c>
      <c r="M765" s="1" t="n">
        <v>1</v>
      </c>
      <c r="N765" s="1" t="n">
        <v>1</v>
      </c>
      <c r="O765" s="1" t="n">
        <v>1</v>
      </c>
      <c r="P765" s="1" t="n">
        <f aca="false">SUM(M765:O765)</f>
        <v>3</v>
      </c>
      <c r="U765" s="1" t="n">
        <v>2</v>
      </c>
      <c r="W765" s="1" t="n">
        <f aca="false">SUM(Q765:V765)</f>
        <v>2</v>
      </c>
      <c r="X765" s="1" t="n">
        <v>1</v>
      </c>
      <c r="Y765" s="1" t="n">
        <v>5</v>
      </c>
      <c r="AD765" s="9" t="n">
        <f aca="false">(U765)*(1+(J765)*0.2)</f>
        <v>3.2</v>
      </c>
      <c r="AF765" s="9" t="n">
        <f aca="false">SUM(Z765:AE765)</f>
        <v>3.2</v>
      </c>
      <c r="AG765" s="10" t="s">
        <v>47</v>
      </c>
      <c r="AH765" s="11"/>
      <c r="AI765" s="11"/>
      <c r="AJ765" s="11"/>
      <c r="AK765" s="11"/>
      <c r="AL765" s="11" t="n">
        <f aca="false">IF(AG765="yes",AD765*1.2,AD765)</f>
        <v>3.84</v>
      </c>
      <c r="AM765" s="11"/>
      <c r="AN765" s="11" t="n">
        <f aca="false">SUM(AH765:AM765)</f>
        <v>3.84</v>
      </c>
      <c r="AO765" s="1"/>
      <c r="AP765" s="1"/>
      <c r="AQ765" s="1"/>
      <c r="AR765" s="1"/>
    </row>
    <row r="766" customFormat="false" ht="13.8" hidden="false" customHeight="false" outlineLevel="0" collapsed="false">
      <c r="A766" s="1" t="s">
        <v>946</v>
      </c>
      <c r="B766" s="1" t="n">
        <v>151</v>
      </c>
      <c r="C766" s="1" t="s">
        <v>947</v>
      </c>
      <c r="D766" s="1" t="s">
        <v>42</v>
      </c>
      <c r="E766" s="1" t="s">
        <v>948</v>
      </c>
      <c r="F766" s="1" t="n">
        <v>1</v>
      </c>
      <c r="G766" s="1" t="n">
        <v>1</v>
      </c>
      <c r="H766" s="1" t="n">
        <v>5</v>
      </c>
      <c r="I766" s="8" t="n">
        <v>599651</v>
      </c>
      <c r="J766" s="1" t="n">
        <v>1</v>
      </c>
      <c r="K766" s="1" t="s">
        <v>44</v>
      </c>
      <c r="L766" s="1" t="n">
        <v>2</v>
      </c>
      <c r="O766" s="1" t="n">
        <v>1</v>
      </c>
      <c r="P766" s="1" t="n">
        <f aca="false">SUM(M766:O766)</f>
        <v>1</v>
      </c>
      <c r="R766" s="1" t="n">
        <v>15</v>
      </c>
      <c r="W766" s="1" t="n">
        <f aca="false">SUM(Q766:V766)</f>
        <v>15</v>
      </c>
      <c r="AA766" s="9" t="n">
        <f aca="false">(R766)*(1+(J766)*0.2)</f>
        <v>18</v>
      </c>
      <c r="AF766" s="9" t="n">
        <f aca="false">SUM(Z766:AE766)</f>
        <v>18</v>
      </c>
      <c r="AG766" s="10" t="s">
        <v>53</v>
      </c>
      <c r="AH766" s="11"/>
      <c r="AI766" s="11" t="n">
        <f aca="false">IF(AG766="yes",AA766*1.2,AA766)</f>
        <v>18</v>
      </c>
      <c r="AJ766" s="11"/>
      <c r="AK766" s="11"/>
      <c r="AL766" s="11"/>
      <c r="AM766" s="11"/>
      <c r="AN766" s="11" t="n">
        <f aca="false">SUM(AH766:AM766)</f>
        <v>18</v>
      </c>
      <c r="AO766" s="1"/>
      <c r="AP766" s="1"/>
      <c r="AQ766" s="1"/>
      <c r="AR766" s="1"/>
    </row>
    <row r="767" customFormat="false" ht="13.8" hidden="false" customHeight="false" outlineLevel="0" collapsed="false">
      <c r="A767" s="1" t="s">
        <v>949</v>
      </c>
      <c r="B767" s="1" t="n">
        <v>845</v>
      </c>
      <c r="C767" s="1" t="s">
        <v>947</v>
      </c>
      <c r="D767" s="1" t="s">
        <v>42</v>
      </c>
      <c r="E767" s="1" t="s">
        <v>948</v>
      </c>
      <c r="F767" s="1" t="n">
        <v>10</v>
      </c>
      <c r="G767" s="1" t="n">
        <v>1</v>
      </c>
      <c r="H767" s="1" t="n">
        <v>5</v>
      </c>
      <c r="I767" s="8" t="n">
        <v>2069820</v>
      </c>
      <c r="J767" s="1" t="n">
        <v>3</v>
      </c>
      <c r="K767" s="1" t="s">
        <v>120</v>
      </c>
      <c r="L767" s="1" t="n">
        <v>5</v>
      </c>
      <c r="M767" s="1" t="n">
        <v>1</v>
      </c>
      <c r="O767" s="1" t="n">
        <v>2</v>
      </c>
      <c r="P767" s="1" t="n">
        <f aca="false">SUM(M767:O767)</f>
        <v>3</v>
      </c>
      <c r="R767" s="1" t="n">
        <v>18</v>
      </c>
      <c r="W767" s="1" t="n">
        <f aca="false">SUM(Q767:V767)</f>
        <v>18</v>
      </c>
      <c r="AA767" s="9" t="n">
        <f aca="false">(R767)*(1+(J767)*0.2)</f>
        <v>28.8</v>
      </c>
      <c r="AF767" s="9" t="n">
        <f aca="false">SUM(Z767:AE767)</f>
        <v>28.8</v>
      </c>
      <c r="AG767" s="10" t="s">
        <v>53</v>
      </c>
      <c r="AH767" s="11"/>
      <c r="AI767" s="11" t="n">
        <f aca="false">IF(AG767="yes",AA767*1.2,AA767)</f>
        <v>28.8</v>
      </c>
      <c r="AJ767" s="11"/>
      <c r="AK767" s="11"/>
      <c r="AL767" s="11"/>
      <c r="AM767" s="11"/>
      <c r="AN767" s="11" t="n">
        <f aca="false">SUM(AH767:AM767)</f>
        <v>28.8</v>
      </c>
      <c r="AO767" s="1"/>
      <c r="AP767" s="1"/>
      <c r="AQ767" s="1"/>
      <c r="AR767" s="1"/>
    </row>
    <row r="768" customFormat="false" ht="13.8" hidden="false" customHeight="false" outlineLevel="0" collapsed="false">
      <c r="A768" s="1" t="s">
        <v>950</v>
      </c>
      <c r="B768" s="1" t="n">
        <v>3</v>
      </c>
      <c r="C768" s="1" t="s">
        <v>947</v>
      </c>
      <c r="D768" s="1" t="s">
        <v>42</v>
      </c>
      <c r="E768" s="1" t="s">
        <v>948</v>
      </c>
      <c r="F768" s="1" t="n">
        <v>25</v>
      </c>
      <c r="G768" s="1" t="n">
        <v>1</v>
      </c>
      <c r="H768" s="1" t="n">
        <v>5</v>
      </c>
      <c r="I768" s="8" t="n">
        <v>1218323</v>
      </c>
      <c r="J768" s="1" t="n">
        <v>4</v>
      </c>
      <c r="K768" s="1" t="s">
        <v>96</v>
      </c>
      <c r="L768" s="1" t="n">
        <v>6</v>
      </c>
      <c r="M768" s="1" t="n">
        <v>3</v>
      </c>
      <c r="O768" s="1" t="n">
        <v>3</v>
      </c>
      <c r="P768" s="1" t="n">
        <f aca="false">SUM(M768:O768)</f>
        <v>6</v>
      </c>
      <c r="W768" s="1" t="n">
        <f aca="false">SUM(Q768:V768)</f>
        <v>0</v>
      </c>
      <c r="X768" s="1" t="n">
        <v>4</v>
      </c>
      <c r="AF768" s="9" t="n">
        <f aca="false">SUM(Z768:AE768)</f>
        <v>0</v>
      </c>
      <c r="AG768" s="10"/>
      <c r="AH768" s="11"/>
      <c r="AI768" s="11"/>
      <c r="AJ768" s="11"/>
      <c r="AK768" s="11"/>
      <c r="AL768" s="11"/>
      <c r="AM768" s="11"/>
      <c r="AN768" s="11" t="n">
        <f aca="false">SUM(AH768:AM768)</f>
        <v>0</v>
      </c>
      <c r="AO768" s="1"/>
      <c r="AP768" s="1"/>
      <c r="AQ768" s="1"/>
      <c r="AR768" s="1"/>
    </row>
    <row r="769" customFormat="false" ht="13.8" hidden="false" customHeight="false" outlineLevel="0" collapsed="false">
      <c r="A769" s="1" t="s">
        <v>951</v>
      </c>
      <c r="B769" s="1" t="n">
        <v>846</v>
      </c>
      <c r="C769" s="1" t="s">
        <v>947</v>
      </c>
      <c r="D769" s="1" t="s">
        <v>42</v>
      </c>
      <c r="E769" s="1" t="s">
        <v>948</v>
      </c>
      <c r="F769" s="1" t="n">
        <v>1</v>
      </c>
      <c r="G769" s="1" t="n">
        <v>1</v>
      </c>
      <c r="H769" s="1" t="n">
        <v>2</v>
      </c>
      <c r="I769" s="8" t="n">
        <v>160749</v>
      </c>
      <c r="J769" s="1" t="n">
        <v>2</v>
      </c>
      <c r="K769" s="1" t="s">
        <v>46</v>
      </c>
      <c r="L769" s="1" t="n">
        <v>4</v>
      </c>
      <c r="O769" s="1" t="n">
        <v>1</v>
      </c>
      <c r="P769" s="1" t="n">
        <f aca="false">SUM(M769:O769)</f>
        <v>1</v>
      </c>
      <c r="R769" s="1" t="n">
        <v>15</v>
      </c>
      <c r="W769" s="1" t="n">
        <f aca="false">SUM(Q769:V769)</f>
        <v>15</v>
      </c>
      <c r="AA769" s="9" t="n">
        <f aca="false">(R769)*(1+(J769)*0.2)</f>
        <v>21</v>
      </c>
      <c r="AF769" s="9" t="n">
        <f aca="false">SUM(Z769:AE769)</f>
        <v>21</v>
      </c>
      <c r="AG769" s="10" t="s">
        <v>53</v>
      </c>
      <c r="AH769" s="11"/>
      <c r="AI769" s="11" t="n">
        <f aca="false">IF(AG769="yes",AA769*1.2,AA769)</f>
        <v>21</v>
      </c>
      <c r="AJ769" s="11"/>
      <c r="AK769" s="11"/>
      <c r="AL769" s="11"/>
      <c r="AM769" s="11"/>
      <c r="AN769" s="11" t="n">
        <f aca="false">SUM(AH769:AM769)</f>
        <v>21</v>
      </c>
      <c r="AO769" s="1"/>
      <c r="AP769" s="1"/>
      <c r="AQ769" s="1"/>
      <c r="AR769" s="1"/>
    </row>
    <row r="770" customFormat="false" ht="13.8" hidden="false" customHeight="false" outlineLevel="0" collapsed="false">
      <c r="A770" s="1" t="s">
        <v>952</v>
      </c>
      <c r="B770" s="1" t="n">
        <v>847</v>
      </c>
      <c r="C770" s="1" t="s">
        <v>947</v>
      </c>
      <c r="D770" s="1" t="s">
        <v>42</v>
      </c>
      <c r="E770" s="1" t="s">
        <v>948</v>
      </c>
      <c r="G770" s="1" t="n">
        <v>1</v>
      </c>
      <c r="H770" s="1" t="n">
        <v>4</v>
      </c>
      <c r="I770" s="8" t="n">
        <v>178647</v>
      </c>
      <c r="J770" s="1" t="n">
        <v>1</v>
      </c>
      <c r="K770" s="1" t="s">
        <v>51</v>
      </c>
      <c r="L770" s="1" t="n">
        <v>1</v>
      </c>
      <c r="O770" s="1" t="n">
        <v>1</v>
      </c>
      <c r="P770" s="1" t="n">
        <f aca="false">SUM(M770:O770)</f>
        <v>1</v>
      </c>
      <c r="W770" s="1" t="n">
        <f aca="false">SUM(Q770:V770)</f>
        <v>0</v>
      </c>
      <c r="AF770" s="9" t="n">
        <f aca="false">SUM(Z770:AE770)</f>
        <v>0</v>
      </c>
      <c r="AG770" s="10"/>
      <c r="AH770" s="11"/>
      <c r="AI770" s="11"/>
      <c r="AJ770" s="11"/>
      <c r="AK770" s="11"/>
      <c r="AL770" s="11"/>
      <c r="AM770" s="11"/>
      <c r="AN770" s="11" t="n">
        <f aca="false">SUM(AH770:AM770)</f>
        <v>0</v>
      </c>
      <c r="AO770" s="1"/>
      <c r="AP770" s="1"/>
      <c r="AQ770" s="1"/>
      <c r="AR770" s="1"/>
    </row>
    <row r="771" customFormat="false" ht="13.8" hidden="false" customHeight="false" outlineLevel="0" collapsed="false">
      <c r="A771" s="1" t="s">
        <v>953</v>
      </c>
      <c r="B771" s="1" t="n">
        <v>329</v>
      </c>
      <c r="C771" s="1" t="s">
        <v>954</v>
      </c>
      <c r="D771" s="1" t="s">
        <v>42</v>
      </c>
      <c r="E771" s="1" t="s">
        <v>953</v>
      </c>
      <c r="F771" s="1" t="n">
        <v>3</v>
      </c>
      <c r="G771" s="1" t="n">
        <v>1</v>
      </c>
      <c r="H771" s="1" t="n">
        <v>12</v>
      </c>
      <c r="I771" s="8" t="n">
        <v>85104</v>
      </c>
      <c r="J771" s="1" t="n">
        <v>1</v>
      </c>
      <c r="K771" s="1" t="s">
        <v>44</v>
      </c>
      <c r="L771" s="1" t="n">
        <v>2</v>
      </c>
      <c r="M771" s="1" t="n">
        <v>1</v>
      </c>
      <c r="O771" s="1" t="n">
        <v>1</v>
      </c>
      <c r="P771" s="1" t="n">
        <f aca="false">SUM(M771:O771)</f>
        <v>2</v>
      </c>
      <c r="V771" s="1" t="n">
        <v>2</v>
      </c>
      <c r="W771" s="1" t="n">
        <f aca="false">SUM(Q771:V771)</f>
        <v>2</v>
      </c>
      <c r="AE771" s="9" t="n">
        <f aca="false">(V771)*(1+(J771)*0.2)</f>
        <v>2.4</v>
      </c>
      <c r="AF771" s="9" t="n">
        <f aca="false">SUM(Z771:AE771)</f>
        <v>2.4</v>
      </c>
      <c r="AG771" s="10" t="s">
        <v>47</v>
      </c>
      <c r="AH771" s="11"/>
      <c r="AI771" s="11"/>
      <c r="AJ771" s="11"/>
      <c r="AK771" s="11"/>
      <c r="AL771" s="11"/>
      <c r="AM771" s="11" t="n">
        <f aca="false">IF(AG771="yes",AE771*1.2,AE771)</f>
        <v>2.88</v>
      </c>
      <c r="AN771" s="11" t="n">
        <f aca="false">SUM(AH771:AM771)</f>
        <v>2.88</v>
      </c>
      <c r="AO771" s="1"/>
      <c r="AP771" s="1"/>
      <c r="AQ771" s="1"/>
      <c r="AR771" s="1"/>
    </row>
    <row r="772" customFormat="false" ht="13.8" hidden="false" customHeight="false" outlineLevel="0" collapsed="false">
      <c r="A772" s="1" t="s">
        <v>955</v>
      </c>
      <c r="B772" s="1" t="n">
        <v>322</v>
      </c>
      <c r="C772" s="1" t="s">
        <v>956</v>
      </c>
      <c r="D772" s="1" t="s">
        <v>42</v>
      </c>
      <c r="E772" s="1" t="s">
        <v>957</v>
      </c>
      <c r="G772" s="1" t="n">
        <v>1</v>
      </c>
      <c r="H772" s="1" t="n">
        <v>8</v>
      </c>
      <c r="I772" s="8" t="n">
        <v>1724102</v>
      </c>
      <c r="J772" s="1" t="n">
        <v>1</v>
      </c>
      <c r="K772" s="1" t="s">
        <v>51</v>
      </c>
      <c r="L772" s="1" t="n">
        <v>1</v>
      </c>
      <c r="O772" s="1" t="n">
        <v>1</v>
      </c>
      <c r="P772" s="1" t="n">
        <f aca="false">SUM(M772:O772)</f>
        <v>1</v>
      </c>
      <c r="T772" s="1" t="n">
        <v>2</v>
      </c>
      <c r="W772" s="1" t="n">
        <f aca="false">SUM(Q772:V772)</f>
        <v>2</v>
      </c>
      <c r="AC772" s="9" t="n">
        <f aca="false">(T772)*(1+(J772)*0.2)</f>
        <v>2.4</v>
      </c>
      <c r="AF772" s="9" t="n">
        <f aca="false">SUM(Z772:AE772)</f>
        <v>2.4</v>
      </c>
      <c r="AG772" s="10" t="s">
        <v>53</v>
      </c>
      <c r="AH772" s="11"/>
      <c r="AI772" s="11"/>
      <c r="AJ772" s="11"/>
      <c r="AK772" s="11" t="n">
        <f aca="false">IF(AG772="yes",AC772*1.2,AC772)</f>
        <v>2.4</v>
      </c>
      <c r="AL772" s="11"/>
      <c r="AM772" s="11"/>
      <c r="AN772" s="11" t="n">
        <f aca="false">SUM(AH772:AM772)</f>
        <v>2.4</v>
      </c>
      <c r="AO772" s="1"/>
      <c r="AP772" s="1"/>
      <c r="AQ772" s="1"/>
      <c r="AR772" s="1"/>
    </row>
    <row r="773" customFormat="false" ht="13.8" hidden="false" customHeight="false" outlineLevel="0" collapsed="false">
      <c r="A773" s="1" t="s">
        <v>958</v>
      </c>
      <c r="B773" s="1" t="n">
        <v>758</v>
      </c>
      <c r="C773" s="1" t="s">
        <v>956</v>
      </c>
      <c r="D773" s="1" t="s">
        <v>42</v>
      </c>
      <c r="E773" s="1" t="s">
        <v>957</v>
      </c>
      <c r="G773" s="1" t="n">
        <v>1</v>
      </c>
      <c r="H773" s="1" t="n">
        <v>6</v>
      </c>
      <c r="I773" s="8" t="n">
        <v>1001221</v>
      </c>
      <c r="J773" s="1" t="n">
        <v>1</v>
      </c>
      <c r="K773" s="1" t="s">
        <v>51</v>
      </c>
      <c r="L773" s="1" t="n">
        <v>1</v>
      </c>
      <c r="P773" s="1" t="n">
        <f aca="false">SUM(M773:O773)</f>
        <v>0</v>
      </c>
      <c r="W773" s="1" t="n">
        <f aca="false">SUM(Q773:V773)</f>
        <v>0</v>
      </c>
      <c r="AF773" s="9" t="n">
        <f aca="false">SUM(Z773:AE773)</f>
        <v>0</v>
      </c>
      <c r="AG773" s="10"/>
      <c r="AH773" s="11"/>
      <c r="AI773" s="11"/>
      <c r="AJ773" s="11"/>
      <c r="AK773" s="11"/>
      <c r="AL773" s="11"/>
      <c r="AM773" s="11"/>
      <c r="AN773" s="11" t="n">
        <f aca="false">SUM(AH773:AM773)</f>
        <v>0</v>
      </c>
      <c r="AO773" s="1"/>
      <c r="AP773" s="1"/>
      <c r="AQ773" s="1"/>
      <c r="AR773" s="1"/>
    </row>
    <row r="774" customFormat="false" ht="13.8" hidden="false" customHeight="false" outlineLevel="0" collapsed="false">
      <c r="A774" s="1" t="s">
        <v>959</v>
      </c>
      <c r="B774" s="1" t="n">
        <v>757</v>
      </c>
      <c r="C774" s="1" t="s">
        <v>956</v>
      </c>
      <c r="D774" s="1" t="s">
        <v>42</v>
      </c>
      <c r="E774" s="1" t="s">
        <v>957</v>
      </c>
      <c r="F774" s="1" t="n">
        <v>5</v>
      </c>
      <c r="G774" s="1" t="n">
        <v>1</v>
      </c>
      <c r="H774" s="1" t="n">
        <v>7</v>
      </c>
      <c r="I774" s="8" t="n">
        <v>1001221</v>
      </c>
      <c r="J774" s="1" t="n">
        <v>1</v>
      </c>
      <c r="K774" s="1" t="s">
        <v>44</v>
      </c>
      <c r="L774" s="1" t="n">
        <v>2</v>
      </c>
      <c r="M774" s="1" t="n">
        <v>1</v>
      </c>
      <c r="O774" s="1" t="n">
        <v>1</v>
      </c>
      <c r="P774" s="1" t="n">
        <f aca="false">SUM(M774:O774)</f>
        <v>2</v>
      </c>
      <c r="W774" s="1" t="n">
        <f aca="false">SUM(Q774:V774)</f>
        <v>0</v>
      </c>
      <c r="AF774" s="9" t="n">
        <f aca="false">SUM(Z774:AE774)</f>
        <v>0</v>
      </c>
      <c r="AG774" s="10"/>
      <c r="AH774" s="11"/>
      <c r="AI774" s="11"/>
      <c r="AJ774" s="11"/>
      <c r="AK774" s="11"/>
      <c r="AL774" s="11"/>
      <c r="AM774" s="11"/>
      <c r="AN774" s="11" t="n">
        <f aca="false">SUM(AH774:AM774)</f>
        <v>0</v>
      </c>
      <c r="AO774" s="1"/>
      <c r="AP774" s="1"/>
      <c r="AQ774" s="1"/>
      <c r="AR774" s="1"/>
    </row>
    <row r="775" customFormat="false" ht="13.8" hidden="false" customHeight="false" outlineLevel="0" collapsed="false">
      <c r="A775" s="1" t="s">
        <v>960</v>
      </c>
      <c r="B775" s="1" t="n">
        <v>343</v>
      </c>
      <c r="C775" s="1" t="s">
        <v>961</v>
      </c>
      <c r="D775" s="1" t="s">
        <v>42</v>
      </c>
      <c r="E775" s="1" t="s">
        <v>962</v>
      </c>
      <c r="F775" s="1" t="n">
        <v>9</v>
      </c>
      <c r="G775" s="1" t="n">
        <v>1</v>
      </c>
      <c r="H775" s="1" t="n">
        <v>11</v>
      </c>
      <c r="I775" s="8" t="n">
        <v>1300128</v>
      </c>
      <c r="J775" s="1" t="n">
        <v>2</v>
      </c>
      <c r="K775" s="1" t="s">
        <v>44</v>
      </c>
      <c r="L775" s="1" t="n">
        <v>2</v>
      </c>
      <c r="O775" s="1" t="n">
        <v>1</v>
      </c>
      <c r="P775" s="1" t="n">
        <f aca="false">SUM(M775:O775)</f>
        <v>1</v>
      </c>
      <c r="V775" s="1" t="n">
        <v>25</v>
      </c>
      <c r="W775" s="1" t="n">
        <f aca="false">SUM(Q775:V775)</f>
        <v>25</v>
      </c>
      <c r="AE775" s="9" t="n">
        <f aca="false">(V775)*(1+(J775)*0.2)</f>
        <v>35</v>
      </c>
      <c r="AF775" s="9" t="n">
        <f aca="false">SUM(Z775:AE775)</f>
        <v>35</v>
      </c>
      <c r="AG775" s="10" t="s">
        <v>47</v>
      </c>
      <c r="AH775" s="11"/>
      <c r="AI775" s="11"/>
      <c r="AJ775" s="11"/>
      <c r="AK775" s="11"/>
      <c r="AL775" s="11"/>
      <c r="AM775" s="11" t="n">
        <f aca="false">IF(AG775="yes",AE775*1.2,AE775)</f>
        <v>42</v>
      </c>
      <c r="AN775" s="11" t="n">
        <f aca="false">SUM(AH775:AM775)</f>
        <v>42</v>
      </c>
      <c r="AO775" s="1"/>
      <c r="AP775" s="1"/>
      <c r="AQ775" s="1"/>
      <c r="AR775" s="1"/>
    </row>
    <row r="776" customFormat="false" ht="13.8" hidden="false" customHeight="false" outlineLevel="0" collapsed="false">
      <c r="A776" s="1" t="s">
        <v>963</v>
      </c>
      <c r="B776" s="1" t="n">
        <v>798</v>
      </c>
      <c r="C776" s="1" t="s">
        <v>961</v>
      </c>
      <c r="D776" s="1" t="s">
        <v>42</v>
      </c>
      <c r="E776" s="1" t="s">
        <v>962</v>
      </c>
      <c r="F776" s="1" t="n">
        <v>8</v>
      </c>
      <c r="G776" s="1" t="n">
        <v>1</v>
      </c>
      <c r="H776" s="1" t="n">
        <v>6</v>
      </c>
      <c r="I776" s="8" t="n">
        <v>531820</v>
      </c>
      <c r="J776" s="1" t="n">
        <v>2</v>
      </c>
      <c r="K776" s="1" t="s">
        <v>44</v>
      </c>
      <c r="L776" s="1" t="n">
        <v>2</v>
      </c>
      <c r="P776" s="1" t="n">
        <f aca="false">SUM(M776:O776)</f>
        <v>0</v>
      </c>
      <c r="W776" s="1" t="n">
        <f aca="false">SUM(Q776:V776)</f>
        <v>0</v>
      </c>
      <c r="AF776" s="9" t="n">
        <f aca="false">SUM(Z776:AE776)</f>
        <v>0</v>
      </c>
      <c r="AG776" s="10"/>
      <c r="AH776" s="11"/>
      <c r="AI776" s="11"/>
      <c r="AJ776" s="11"/>
      <c r="AK776" s="11"/>
      <c r="AL776" s="11"/>
      <c r="AM776" s="11"/>
      <c r="AN776" s="11" t="n">
        <f aca="false">SUM(AH776:AM776)</f>
        <v>0</v>
      </c>
      <c r="AO776" s="1"/>
      <c r="AP776" s="1"/>
      <c r="AQ776" s="1"/>
      <c r="AR776" s="1"/>
    </row>
    <row r="777" customFormat="false" ht="13.8" hidden="false" customHeight="false" outlineLevel="0" collapsed="false">
      <c r="A777" s="1" t="s">
        <v>964</v>
      </c>
      <c r="B777" s="1" t="n">
        <v>49</v>
      </c>
      <c r="C777" s="1" t="s">
        <v>961</v>
      </c>
      <c r="D777" s="1" t="s">
        <v>42</v>
      </c>
      <c r="E777" s="1" t="s">
        <v>962</v>
      </c>
      <c r="F777" s="1" t="n">
        <v>21</v>
      </c>
      <c r="G777" s="1" t="n">
        <v>1</v>
      </c>
      <c r="H777" s="1" t="n">
        <v>11</v>
      </c>
      <c r="I777" s="8" t="n">
        <v>811273</v>
      </c>
      <c r="J777" s="1" t="n">
        <v>2</v>
      </c>
      <c r="K777" s="1" t="s">
        <v>46</v>
      </c>
      <c r="L777" s="1" t="n">
        <v>4</v>
      </c>
      <c r="M777" s="1" t="n">
        <v>2</v>
      </c>
      <c r="O777" s="1" t="n">
        <v>2</v>
      </c>
      <c r="P777" s="1" t="n">
        <f aca="false">SUM(M777:O777)</f>
        <v>4</v>
      </c>
      <c r="U777" s="1" t="n">
        <v>28</v>
      </c>
      <c r="V777" s="1" t="n">
        <v>11</v>
      </c>
      <c r="W777" s="1" t="n">
        <f aca="false">SUM(Q777:V777)</f>
        <v>39</v>
      </c>
      <c r="X777" s="1" t="n">
        <v>3</v>
      </c>
      <c r="AD777" s="9" t="n">
        <f aca="false">(U777)*(1+(J777)*0.2)</f>
        <v>39.2</v>
      </c>
      <c r="AE777" s="9" t="n">
        <f aca="false">(V777)*(1+(J777)*0.2)</f>
        <v>15.4</v>
      </c>
      <c r="AF777" s="9" t="n">
        <f aca="false">SUM(Z777:AE777)</f>
        <v>54.6</v>
      </c>
      <c r="AG777" s="10" t="s">
        <v>47</v>
      </c>
      <c r="AH777" s="11"/>
      <c r="AI777" s="11"/>
      <c r="AJ777" s="11"/>
      <c r="AK777" s="11"/>
      <c r="AL777" s="11" t="n">
        <f aca="false">IF(AG777="yes",AD777*1.2,AD777)</f>
        <v>47.04</v>
      </c>
      <c r="AM777" s="11" t="n">
        <f aca="false">IF(AG777="yes",AE777*1.2,AE777)</f>
        <v>18.48</v>
      </c>
      <c r="AN777" s="11" t="n">
        <f aca="false">SUM(AH777:AM777)</f>
        <v>65.52</v>
      </c>
      <c r="AO777" s="1"/>
      <c r="AP777" s="1"/>
      <c r="AQ777" s="1"/>
      <c r="AR777" s="1"/>
    </row>
    <row r="778" customFormat="false" ht="13.8" hidden="false" customHeight="false" outlineLevel="0" collapsed="false">
      <c r="A778" s="1" t="s">
        <v>965</v>
      </c>
      <c r="B778" s="1" t="n">
        <v>342</v>
      </c>
      <c r="C778" s="1" t="s">
        <v>961</v>
      </c>
      <c r="D778" s="1" t="s">
        <v>42</v>
      </c>
      <c r="E778" s="1" t="s">
        <v>962</v>
      </c>
      <c r="F778" s="1" t="n">
        <v>5</v>
      </c>
      <c r="G778" s="1" t="n">
        <v>1</v>
      </c>
      <c r="H778" s="1" t="n">
        <v>8</v>
      </c>
      <c r="I778" s="8" t="n">
        <v>363132</v>
      </c>
      <c r="J778" s="1" t="n">
        <v>2</v>
      </c>
      <c r="K778" s="1" t="s">
        <v>44</v>
      </c>
      <c r="L778" s="1" t="n">
        <v>2</v>
      </c>
      <c r="O778" s="1" t="n">
        <v>1</v>
      </c>
      <c r="P778" s="1" t="n">
        <f aca="false">SUM(M778:O778)</f>
        <v>1</v>
      </c>
      <c r="V778" s="1" t="n">
        <v>35</v>
      </c>
      <c r="W778" s="1" t="n">
        <f aca="false">SUM(Q778:V778)</f>
        <v>35</v>
      </c>
      <c r="Y778" s="1" t="n">
        <v>4</v>
      </c>
      <c r="AE778" s="9" t="n">
        <f aca="false">(V778)*(1+(J778)*0.2)</f>
        <v>49</v>
      </c>
      <c r="AF778" s="9" t="n">
        <f aca="false">SUM(Z778:AE778)</f>
        <v>49</v>
      </c>
      <c r="AG778" s="10" t="s">
        <v>47</v>
      </c>
      <c r="AH778" s="11"/>
      <c r="AI778" s="11"/>
      <c r="AJ778" s="11"/>
      <c r="AK778" s="11"/>
      <c r="AL778" s="11"/>
      <c r="AM778" s="11" t="n">
        <f aca="false">IF(AG778="yes",AE778*1.2,AE778)</f>
        <v>58.8</v>
      </c>
      <c r="AN778" s="11" t="n">
        <f aca="false">SUM(AH778:AM778)</f>
        <v>58.8</v>
      </c>
      <c r="AO778" s="1"/>
      <c r="AP778" s="1"/>
      <c r="AQ778" s="1"/>
      <c r="AR778" s="1"/>
    </row>
    <row r="779" customFormat="false" ht="13.8" hidden="false" customHeight="false" outlineLevel="0" collapsed="false">
      <c r="A779" s="1" t="s">
        <v>966</v>
      </c>
      <c r="B779" s="1" t="n">
        <v>340</v>
      </c>
      <c r="C779" s="1" t="s">
        <v>961</v>
      </c>
      <c r="D779" s="1" t="s">
        <v>42</v>
      </c>
      <c r="E779" s="1" t="s">
        <v>962</v>
      </c>
      <c r="F779" s="1" t="n">
        <v>15</v>
      </c>
      <c r="G779" s="1" t="n">
        <v>1</v>
      </c>
      <c r="H779" s="1" t="n">
        <v>10</v>
      </c>
      <c r="I779" s="8" t="n">
        <v>1079169</v>
      </c>
      <c r="J779" s="1" t="n">
        <v>2</v>
      </c>
      <c r="K779" s="1" t="s">
        <v>46</v>
      </c>
      <c r="L779" s="1" t="n">
        <v>4</v>
      </c>
      <c r="N779" s="1" t="n">
        <v>1</v>
      </c>
      <c r="O779" s="1" t="n">
        <v>1</v>
      </c>
      <c r="P779" s="1" t="n">
        <f aca="false">SUM(M779:O779)</f>
        <v>2</v>
      </c>
      <c r="V779" s="1" t="n">
        <v>39</v>
      </c>
      <c r="W779" s="1" t="n">
        <f aca="false">SUM(Q779:V779)</f>
        <v>39</v>
      </c>
      <c r="AE779" s="9" t="n">
        <f aca="false">(V779)*(1+(J779)*0.2)</f>
        <v>54.6</v>
      </c>
      <c r="AF779" s="9" t="n">
        <f aca="false">SUM(Z779:AE779)</f>
        <v>54.6</v>
      </c>
      <c r="AG779" s="10" t="s">
        <v>53</v>
      </c>
      <c r="AH779" s="11"/>
      <c r="AI779" s="11"/>
      <c r="AJ779" s="11"/>
      <c r="AK779" s="11"/>
      <c r="AL779" s="11"/>
      <c r="AM779" s="11" t="n">
        <f aca="false">IF(AG779="yes",AE779*1.2,AE779)</f>
        <v>54.6</v>
      </c>
      <c r="AN779" s="11" t="n">
        <f aca="false">SUM(AH779:AM779)</f>
        <v>54.6</v>
      </c>
      <c r="AO779" s="1"/>
      <c r="AP779" s="1"/>
      <c r="AQ779" s="1"/>
      <c r="AR779" s="1"/>
    </row>
    <row r="780" customFormat="false" ht="13.8" hidden="false" customHeight="false" outlineLevel="0" collapsed="false">
      <c r="A780" s="1" t="s">
        <v>967</v>
      </c>
      <c r="B780" s="1" t="n">
        <v>350</v>
      </c>
      <c r="C780" s="1" t="s">
        <v>961</v>
      </c>
      <c r="D780" s="1" t="s">
        <v>73</v>
      </c>
      <c r="E780" s="1" t="s">
        <v>962</v>
      </c>
      <c r="F780" s="1" t="n">
        <v>7</v>
      </c>
      <c r="G780" s="1" t="n">
        <v>1</v>
      </c>
      <c r="H780" s="1" t="n">
        <v>6</v>
      </c>
      <c r="I780" s="8" t="n">
        <v>572633</v>
      </c>
      <c r="J780" s="1" t="n">
        <v>2</v>
      </c>
      <c r="K780" s="1" t="s">
        <v>46</v>
      </c>
      <c r="L780" s="1" t="n">
        <v>4</v>
      </c>
      <c r="P780" s="1" t="n">
        <f aca="false">SUM(M780:O780)</f>
        <v>0</v>
      </c>
      <c r="W780" s="1" t="n">
        <f aca="false">SUM(Q780:V780)</f>
        <v>0</v>
      </c>
      <c r="X780" s="1" t="n">
        <v>2</v>
      </c>
      <c r="AF780" s="9" t="n">
        <f aca="false">SUM(Z780:AE780)</f>
        <v>0</v>
      </c>
      <c r="AG780" s="10"/>
      <c r="AH780" s="11"/>
      <c r="AI780" s="11"/>
      <c r="AJ780" s="11"/>
      <c r="AK780" s="11"/>
      <c r="AL780" s="11"/>
      <c r="AM780" s="11"/>
      <c r="AN780" s="11" t="n">
        <f aca="false">SUM(AH780:AM780)</f>
        <v>0</v>
      </c>
      <c r="AO780" s="1"/>
      <c r="AP780" s="1"/>
      <c r="AQ780" s="1"/>
      <c r="AR780" s="1"/>
    </row>
    <row r="781" customFormat="false" ht="13.8" hidden="false" customHeight="false" outlineLevel="0" collapsed="false">
      <c r="A781" s="1" t="s">
        <v>968</v>
      </c>
      <c r="B781" s="1" t="n">
        <v>341</v>
      </c>
      <c r="C781" s="1" t="s">
        <v>961</v>
      </c>
      <c r="D781" s="1" t="s">
        <v>42</v>
      </c>
      <c r="E781" s="1" t="s">
        <v>962</v>
      </c>
      <c r="F781" s="1" t="n">
        <v>5</v>
      </c>
      <c r="G781" s="1" t="n">
        <v>1</v>
      </c>
      <c r="H781" s="1" t="n">
        <v>6</v>
      </c>
      <c r="I781" s="8" t="n">
        <v>364391</v>
      </c>
      <c r="J781" s="1" t="n">
        <v>2</v>
      </c>
      <c r="K781" s="1" t="s">
        <v>46</v>
      </c>
      <c r="L781" s="1" t="n">
        <v>4</v>
      </c>
      <c r="O781" s="1" t="n">
        <v>1</v>
      </c>
      <c r="P781" s="1" t="n">
        <f aca="false">SUM(M781:O781)</f>
        <v>1</v>
      </c>
      <c r="W781" s="1" t="n">
        <f aca="false">SUM(Q781:V781)</f>
        <v>0</v>
      </c>
      <c r="Y781" s="1" t="n">
        <v>3</v>
      </c>
      <c r="AF781" s="9" t="n">
        <f aca="false">SUM(Z781:AE781)</f>
        <v>0</v>
      </c>
      <c r="AG781" s="10"/>
      <c r="AH781" s="11"/>
      <c r="AI781" s="11"/>
      <c r="AJ781" s="11"/>
      <c r="AK781" s="11"/>
      <c r="AL781" s="11"/>
      <c r="AM781" s="11"/>
      <c r="AN781" s="11" t="n">
        <f aca="false">SUM(AH781:AM781)</f>
        <v>0</v>
      </c>
      <c r="AO781" s="1"/>
      <c r="AP781" s="1"/>
      <c r="AQ781" s="1"/>
      <c r="AR781" s="1"/>
    </row>
    <row r="782" customFormat="false" ht="13.8" hidden="false" customHeight="false" outlineLevel="0" collapsed="false">
      <c r="A782" s="1" t="s">
        <v>969</v>
      </c>
      <c r="B782" s="1" t="n">
        <v>352</v>
      </c>
      <c r="C782" s="1" t="s">
        <v>961</v>
      </c>
      <c r="D782" s="1" t="s">
        <v>73</v>
      </c>
      <c r="E782" s="1" t="s">
        <v>962</v>
      </c>
      <c r="F782" s="1" t="n">
        <v>3</v>
      </c>
      <c r="G782" s="1" t="n">
        <v>1</v>
      </c>
      <c r="H782" s="1" t="n">
        <v>7</v>
      </c>
      <c r="I782" s="8" t="n">
        <v>262415</v>
      </c>
      <c r="J782" s="1" t="n">
        <v>1</v>
      </c>
      <c r="K782" s="1" t="s">
        <v>44</v>
      </c>
      <c r="L782" s="1" t="n">
        <v>2</v>
      </c>
      <c r="P782" s="1" t="n">
        <f aca="false">SUM(M782:O782)</f>
        <v>0</v>
      </c>
      <c r="W782" s="1" t="n">
        <f aca="false">SUM(Q782:V782)</f>
        <v>0</v>
      </c>
      <c r="AF782" s="9" t="n">
        <f aca="false">SUM(Z782:AE782)</f>
        <v>0</v>
      </c>
      <c r="AG782" s="10"/>
      <c r="AH782" s="11"/>
      <c r="AI782" s="11"/>
      <c r="AJ782" s="11"/>
      <c r="AK782" s="11"/>
      <c r="AL782" s="11"/>
      <c r="AM782" s="11"/>
      <c r="AN782" s="11" t="n">
        <f aca="false">SUM(AH782:AM782)</f>
        <v>0</v>
      </c>
      <c r="AO782" s="1"/>
      <c r="AP782" s="1"/>
      <c r="AQ782" s="1"/>
      <c r="AR782" s="1"/>
    </row>
    <row r="783" customFormat="false" ht="13.8" hidden="false" customHeight="false" outlineLevel="0" collapsed="false">
      <c r="A783" s="1" t="s">
        <v>970</v>
      </c>
      <c r="B783" s="1" t="n">
        <v>797</v>
      </c>
      <c r="C783" s="1" t="s">
        <v>961</v>
      </c>
      <c r="D783" s="1" t="s">
        <v>42</v>
      </c>
      <c r="E783" s="1" t="s">
        <v>962</v>
      </c>
      <c r="F783" s="1" t="n">
        <v>25</v>
      </c>
      <c r="G783" s="1" t="n">
        <v>1</v>
      </c>
      <c r="H783" s="1" t="n">
        <v>2</v>
      </c>
      <c r="I783" s="8" t="n">
        <v>1043548</v>
      </c>
      <c r="J783" s="1" t="n">
        <v>3</v>
      </c>
      <c r="K783" s="1" t="s">
        <v>96</v>
      </c>
      <c r="L783" s="1" t="n">
        <v>6</v>
      </c>
      <c r="M783" s="1" t="n">
        <v>2</v>
      </c>
      <c r="O783" s="1" t="n">
        <v>2</v>
      </c>
      <c r="P783" s="1" t="n">
        <f aca="false">SUM(M783:O783)</f>
        <v>4</v>
      </c>
      <c r="W783" s="1" t="n">
        <f aca="false">SUM(Q783:V783)</f>
        <v>0</v>
      </c>
      <c r="X783" s="1" t="n">
        <v>4</v>
      </c>
      <c r="Y783" s="1" t="n">
        <v>8</v>
      </c>
      <c r="AF783" s="9" t="n">
        <f aca="false">SUM(Z783:AE783)</f>
        <v>0</v>
      </c>
      <c r="AG783" s="10"/>
      <c r="AH783" s="11"/>
      <c r="AI783" s="11"/>
      <c r="AJ783" s="11"/>
      <c r="AK783" s="11"/>
      <c r="AL783" s="11"/>
      <c r="AM783" s="11"/>
      <c r="AN783" s="11" t="n">
        <f aca="false">SUM(AH783:AM783)</f>
        <v>0</v>
      </c>
      <c r="AO783" s="1"/>
      <c r="AP783" s="1"/>
      <c r="AQ783" s="1"/>
      <c r="AR783" s="1"/>
    </row>
    <row r="784" customFormat="false" ht="13.8" hidden="false" customHeight="false" outlineLevel="0" collapsed="false">
      <c r="A784" s="1" t="s">
        <v>971</v>
      </c>
      <c r="B784" s="1" t="n">
        <v>339</v>
      </c>
      <c r="C784" s="1" t="s">
        <v>961</v>
      </c>
      <c r="D784" s="1" t="s">
        <v>42</v>
      </c>
      <c r="E784" s="1" t="s">
        <v>962</v>
      </c>
      <c r="F784" s="1" t="n">
        <v>20</v>
      </c>
      <c r="G784" s="1" t="n">
        <v>1</v>
      </c>
      <c r="H784" s="1" t="n">
        <v>10</v>
      </c>
      <c r="I784" s="8" t="n">
        <v>1403600</v>
      </c>
      <c r="J784" s="1" t="n">
        <v>2</v>
      </c>
      <c r="K784" s="1" t="s">
        <v>120</v>
      </c>
      <c r="L784" s="1" t="n">
        <v>5</v>
      </c>
      <c r="O784" s="1" t="n">
        <v>1</v>
      </c>
      <c r="P784" s="1" t="n">
        <f aca="false">SUM(M784:O784)</f>
        <v>1</v>
      </c>
      <c r="V784" s="1" t="n">
        <v>50</v>
      </c>
      <c r="W784" s="1" t="n">
        <f aca="false">SUM(Q784:V784)</f>
        <v>50</v>
      </c>
      <c r="X784" s="1" t="n">
        <v>2</v>
      </c>
      <c r="Y784" s="1" t="n">
        <v>5</v>
      </c>
      <c r="AE784" s="9" t="n">
        <f aca="false">(V784)*(1+(J784)*0.2)</f>
        <v>70</v>
      </c>
      <c r="AF784" s="9" t="n">
        <f aca="false">SUM(Z784:AE784)</f>
        <v>70</v>
      </c>
      <c r="AG784" s="10" t="s">
        <v>47</v>
      </c>
      <c r="AH784" s="11"/>
      <c r="AI784" s="11"/>
      <c r="AJ784" s="11"/>
      <c r="AK784" s="11"/>
      <c r="AL784" s="11"/>
      <c r="AM784" s="11" t="n">
        <f aca="false">IF(AG784="yes",AE784*1.2,AE784)</f>
        <v>84</v>
      </c>
      <c r="AN784" s="11" t="n">
        <f aca="false">SUM(AH784:AM784)</f>
        <v>84</v>
      </c>
      <c r="AO784" s="1"/>
      <c r="AP784" s="1"/>
      <c r="AQ784" s="1"/>
      <c r="AR784" s="1"/>
    </row>
    <row r="785" customFormat="false" ht="13.8" hidden="false" customHeight="false" outlineLevel="0" collapsed="false">
      <c r="A785" s="1" t="s">
        <v>972</v>
      </c>
      <c r="B785" s="1" t="n">
        <v>347</v>
      </c>
      <c r="C785" s="1" t="s">
        <v>961</v>
      </c>
      <c r="D785" s="1" t="s">
        <v>42</v>
      </c>
      <c r="E785" s="1" t="s">
        <v>962</v>
      </c>
      <c r="F785" s="1" t="n">
        <v>2</v>
      </c>
      <c r="G785" s="1" t="n">
        <v>1</v>
      </c>
      <c r="H785" s="1" t="n">
        <v>8</v>
      </c>
      <c r="I785" s="8" t="n">
        <v>808646</v>
      </c>
      <c r="J785" s="1" t="n">
        <v>2</v>
      </c>
      <c r="K785" s="1" t="s">
        <v>44</v>
      </c>
      <c r="L785" s="1" t="n">
        <v>2</v>
      </c>
      <c r="O785" s="1" t="n">
        <v>1</v>
      </c>
      <c r="P785" s="1" t="n">
        <f aca="false">SUM(M785:O785)</f>
        <v>1</v>
      </c>
      <c r="U785" s="1" t="n">
        <v>9</v>
      </c>
      <c r="V785" s="1" t="n">
        <v>19</v>
      </c>
      <c r="W785" s="1" t="n">
        <f aca="false">SUM(Q785:V785)</f>
        <v>28</v>
      </c>
      <c r="Y785" s="1" t="n">
        <v>2</v>
      </c>
      <c r="AD785" s="9" t="n">
        <f aca="false">(U785)*(1+(J785)*0.2)</f>
        <v>12.6</v>
      </c>
      <c r="AE785" s="9" t="n">
        <f aca="false">(V785)*(1+(J785)*0.2)</f>
        <v>26.6</v>
      </c>
      <c r="AF785" s="9" t="n">
        <f aca="false">SUM(Z785:AE785)</f>
        <v>39.2</v>
      </c>
      <c r="AG785" s="10" t="s">
        <v>47</v>
      </c>
      <c r="AH785" s="11"/>
      <c r="AI785" s="11"/>
      <c r="AJ785" s="11"/>
      <c r="AK785" s="11"/>
      <c r="AL785" s="11" t="n">
        <f aca="false">IF(AG785="yes",AD785*1.2,AD785)</f>
        <v>15.12</v>
      </c>
      <c r="AM785" s="11" t="n">
        <f aca="false">IF(AG785="yes",AE785*1.2,AE785)</f>
        <v>31.92</v>
      </c>
      <c r="AN785" s="11" t="n">
        <f aca="false">SUM(AH785:AM785)</f>
        <v>47.04</v>
      </c>
      <c r="AO785" s="1"/>
      <c r="AP785" s="1"/>
      <c r="AQ785" s="1"/>
      <c r="AR785" s="1"/>
    </row>
    <row r="786" customFormat="false" ht="13.8" hidden="false" customHeight="false" outlineLevel="0" collapsed="false">
      <c r="A786" s="1" t="s">
        <v>973</v>
      </c>
      <c r="B786" s="1" t="n">
        <v>356</v>
      </c>
      <c r="C786" s="1" t="s">
        <v>961</v>
      </c>
      <c r="D786" s="1" t="s">
        <v>42</v>
      </c>
      <c r="E786" s="1" t="s">
        <v>962</v>
      </c>
      <c r="F786" s="1" t="n">
        <v>13</v>
      </c>
      <c r="G786" s="1" t="n">
        <v>1</v>
      </c>
      <c r="H786" s="1" t="n">
        <v>11</v>
      </c>
      <c r="I786" s="8" t="n">
        <v>861640</v>
      </c>
      <c r="J786" s="1" t="n">
        <v>2</v>
      </c>
      <c r="K786" s="1" t="s">
        <v>44</v>
      </c>
      <c r="L786" s="1" t="n">
        <v>2</v>
      </c>
      <c r="P786" s="1" t="n">
        <f aca="false">SUM(M786:O786)</f>
        <v>0</v>
      </c>
      <c r="W786" s="1" t="n">
        <f aca="false">SUM(Q786:V786)</f>
        <v>0</v>
      </c>
      <c r="Y786" s="1" t="n">
        <v>1</v>
      </c>
      <c r="AF786" s="9" t="n">
        <f aca="false">SUM(Z786:AE786)</f>
        <v>0</v>
      </c>
      <c r="AG786" s="10"/>
      <c r="AH786" s="11"/>
      <c r="AI786" s="11"/>
      <c r="AJ786" s="11"/>
      <c r="AK786" s="11"/>
      <c r="AL786" s="11"/>
      <c r="AM786" s="11"/>
      <c r="AN786" s="11" t="n">
        <f aca="false">SUM(AH786:AM786)</f>
        <v>0</v>
      </c>
      <c r="AO786" s="1"/>
      <c r="AP786" s="1"/>
      <c r="AQ786" s="1"/>
      <c r="AR786" s="1"/>
    </row>
    <row r="787" customFormat="false" ht="13.8" hidden="false" customHeight="false" outlineLevel="0" collapsed="false">
      <c r="A787" s="1" t="s">
        <v>974</v>
      </c>
      <c r="B787" s="1" t="n">
        <v>348</v>
      </c>
      <c r="C787" s="1" t="s">
        <v>961</v>
      </c>
      <c r="D787" s="1" t="s">
        <v>42</v>
      </c>
      <c r="E787" s="1" t="s">
        <v>962</v>
      </c>
      <c r="F787" s="1" t="n">
        <v>5</v>
      </c>
      <c r="G787" s="1" t="n">
        <v>1</v>
      </c>
      <c r="H787" s="1" t="n">
        <v>9</v>
      </c>
      <c r="I787" s="8" t="n">
        <v>859500</v>
      </c>
      <c r="J787" s="1" t="n">
        <v>2</v>
      </c>
      <c r="K787" s="1" t="s">
        <v>44</v>
      </c>
      <c r="L787" s="1" t="n">
        <v>2</v>
      </c>
      <c r="P787" s="1" t="n">
        <f aca="false">SUM(M787:O787)</f>
        <v>0</v>
      </c>
      <c r="V787" s="1" t="n">
        <v>32</v>
      </c>
      <c r="W787" s="1" t="n">
        <f aca="false">SUM(Q787:V787)</f>
        <v>32</v>
      </c>
      <c r="AE787" s="9" t="n">
        <f aca="false">(V787)*(1+(J787)*0.2)</f>
        <v>44.8</v>
      </c>
      <c r="AF787" s="9" t="n">
        <f aca="false">SUM(Z787:AE787)</f>
        <v>44.8</v>
      </c>
      <c r="AG787" s="10" t="s">
        <v>53</v>
      </c>
      <c r="AH787" s="11"/>
      <c r="AI787" s="11"/>
      <c r="AJ787" s="11"/>
      <c r="AK787" s="11"/>
      <c r="AL787" s="11"/>
      <c r="AM787" s="11" t="n">
        <f aca="false">IF(AG787="yes",AE787*1.2,AE787)</f>
        <v>44.8</v>
      </c>
      <c r="AN787" s="11" t="n">
        <f aca="false">SUM(AH787:AM787)</f>
        <v>44.8</v>
      </c>
      <c r="AO787" s="1"/>
      <c r="AP787" s="1"/>
      <c r="AQ787" s="1"/>
      <c r="AR787" s="1"/>
    </row>
    <row r="788" customFormat="false" ht="13.8" hidden="false" customHeight="false" outlineLevel="0" collapsed="false">
      <c r="A788" s="1" t="s">
        <v>975</v>
      </c>
      <c r="B788" s="1" t="n">
        <v>346</v>
      </c>
      <c r="C788" s="1" t="s">
        <v>961</v>
      </c>
      <c r="D788" s="1" t="s">
        <v>42</v>
      </c>
      <c r="E788" s="1" t="s">
        <v>962</v>
      </c>
      <c r="F788" s="1" t="n">
        <v>9</v>
      </c>
      <c r="G788" s="1" t="n">
        <v>1</v>
      </c>
      <c r="H788" s="1" t="n">
        <v>14</v>
      </c>
      <c r="I788" s="8" t="n">
        <v>850490</v>
      </c>
      <c r="J788" s="1" t="n">
        <v>2</v>
      </c>
      <c r="K788" s="1" t="s">
        <v>44</v>
      </c>
      <c r="L788" s="1" t="n">
        <v>2</v>
      </c>
      <c r="P788" s="1" t="n">
        <f aca="false">SUM(M788:O788)</f>
        <v>0</v>
      </c>
      <c r="W788" s="1" t="n">
        <f aca="false">SUM(Q788:V788)</f>
        <v>0</v>
      </c>
      <c r="X788" s="1" t="n">
        <v>5</v>
      </c>
      <c r="AF788" s="9" t="n">
        <f aca="false">SUM(Z788:AE788)</f>
        <v>0</v>
      </c>
      <c r="AG788" s="10"/>
      <c r="AH788" s="11"/>
      <c r="AI788" s="11"/>
      <c r="AJ788" s="11"/>
      <c r="AK788" s="11"/>
      <c r="AL788" s="11"/>
      <c r="AM788" s="11"/>
      <c r="AN788" s="11" t="n">
        <f aca="false">SUM(AH788:AM788)</f>
        <v>0</v>
      </c>
      <c r="AO788" s="1"/>
      <c r="AP788" s="1"/>
      <c r="AQ788" s="1"/>
      <c r="AR788" s="1"/>
    </row>
    <row r="789" customFormat="false" ht="13.8" hidden="false" customHeight="false" outlineLevel="0" collapsed="false">
      <c r="A789" s="1" t="s">
        <v>976</v>
      </c>
      <c r="B789" s="1" t="n">
        <v>344</v>
      </c>
      <c r="C789" s="1" t="s">
        <v>961</v>
      </c>
      <c r="D789" s="1" t="s">
        <v>42</v>
      </c>
      <c r="E789" s="1" t="s">
        <v>962</v>
      </c>
      <c r="F789" s="1" t="n">
        <v>33</v>
      </c>
      <c r="G789" s="1" t="n">
        <v>1</v>
      </c>
      <c r="H789" s="1" t="n">
        <v>7</v>
      </c>
      <c r="I789" s="8" t="n">
        <v>1083102</v>
      </c>
      <c r="J789" s="1" t="n">
        <v>2</v>
      </c>
      <c r="K789" s="1" t="s">
        <v>46</v>
      </c>
      <c r="L789" s="1" t="n">
        <v>4</v>
      </c>
      <c r="O789" s="1" t="n">
        <v>1</v>
      </c>
      <c r="P789" s="1" t="n">
        <f aca="false">SUM(M789:O789)</f>
        <v>1</v>
      </c>
      <c r="W789" s="1" t="n">
        <f aca="false">SUM(Q789:V789)</f>
        <v>0</v>
      </c>
      <c r="Y789" s="1" t="n">
        <v>3</v>
      </c>
      <c r="AF789" s="9" t="n">
        <f aca="false">SUM(Z789:AE789)</f>
        <v>0</v>
      </c>
      <c r="AG789" s="10"/>
      <c r="AH789" s="11"/>
      <c r="AI789" s="11"/>
      <c r="AJ789" s="11"/>
      <c r="AK789" s="11"/>
      <c r="AL789" s="11"/>
      <c r="AM789" s="11"/>
      <c r="AN789" s="11" t="n">
        <f aca="false">SUM(AH789:AM789)</f>
        <v>0</v>
      </c>
      <c r="AO789" s="1"/>
      <c r="AP789" s="1"/>
      <c r="AQ789" s="1"/>
      <c r="AR789" s="1"/>
    </row>
    <row r="790" customFormat="false" ht="13.8" hidden="false" customHeight="false" outlineLevel="0" collapsed="false">
      <c r="A790" s="1" t="s">
        <v>977</v>
      </c>
      <c r="B790" s="1" t="n">
        <v>345</v>
      </c>
      <c r="C790" s="1" t="s">
        <v>961</v>
      </c>
      <c r="D790" s="1" t="s">
        <v>42</v>
      </c>
      <c r="E790" s="1" t="s">
        <v>962</v>
      </c>
      <c r="F790" s="1" t="n">
        <v>6</v>
      </c>
      <c r="G790" s="1" t="n">
        <v>1</v>
      </c>
      <c r="H790" s="1" t="n">
        <v>8</v>
      </c>
      <c r="I790" s="8" t="n">
        <v>412301</v>
      </c>
      <c r="J790" s="1" t="n">
        <v>2</v>
      </c>
      <c r="K790" s="1" t="s">
        <v>44</v>
      </c>
      <c r="L790" s="1" t="n">
        <v>2</v>
      </c>
      <c r="P790" s="1" t="n">
        <f aca="false">SUM(M790:O790)</f>
        <v>0</v>
      </c>
      <c r="W790" s="1" t="n">
        <f aca="false">SUM(Q790:V790)</f>
        <v>0</v>
      </c>
      <c r="AF790" s="9" t="n">
        <f aca="false">SUM(Z790:AE790)</f>
        <v>0</v>
      </c>
      <c r="AG790" s="10"/>
      <c r="AH790" s="11"/>
      <c r="AI790" s="11"/>
      <c r="AJ790" s="11"/>
      <c r="AK790" s="11"/>
      <c r="AL790" s="11"/>
      <c r="AM790" s="11"/>
      <c r="AN790" s="11" t="n">
        <f aca="false">SUM(AH790:AM790)</f>
        <v>0</v>
      </c>
      <c r="AO790" s="1"/>
      <c r="AP790" s="1"/>
      <c r="AQ790" s="1"/>
      <c r="AR790" s="1"/>
    </row>
    <row r="791" customFormat="false" ht="13.8" hidden="false" customHeight="false" outlineLevel="0" collapsed="false">
      <c r="A791" s="1" t="s">
        <v>978</v>
      </c>
      <c r="B791" s="1" t="n">
        <v>355</v>
      </c>
      <c r="C791" s="1" t="s">
        <v>961</v>
      </c>
      <c r="D791" s="1" t="s">
        <v>42</v>
      </c>
      <c r="E791" s="1" t="s">
        <v>962</v>
      </c>
      <c r="F791" s="1" t="n">
        <v>10</v>
      </c>
      <c r="G791" s="1" t="n">
        <v>1</v>
      </c>
      <c r="H791" s="1" t="n">
        <v>9</v>
      </c>
      <c r="I791" s="8" t="n">
        <v>1153269</v>
      </c>
      <c r="J791" s="1" t="n">
        <v>2</v>
      </c>
      <c r="K791" s="1" t="s">
        <v>44</v>
      </c>
      <c r="L791" s="1" t="n">
        <v>2</v>
      </c>
      <c r="P791" s="1" t="n">
        <f aca="false">SUM(M791:O791)</f>
        <v>0</v>
      </c>
      <c r="W791" s="1" t="n">
        <f aca="false">SUM(Q791:V791)</f>
        <v>0</v>
      </c>
      <c r="Y791" s="1" t="n">
        <v>3</v>
      </c>
      <c r="AF791" s="9" t="n">
        <f aca="false">SUM(Z791:AE791)</f>
        <v>0</v>
      </c>
      <c r="AG791" s="10"/>
      <c r="AH791" s="11"/>
      <c r="AI791" s="11"/>
      <c r="AJ791" s="11"/>
      <c r="AK791" s="11"/>
      <c r="AL791" s="11"/>
      <c r="AM791" s="11"/>
      <c r="AN791" s="11" t="n">
        <f aca="false">SUM(AH791:AM791)</f>
        <v>0</v>
      </c>
      <c r="AO791" s="1"/>
      <c r="AP791" s="1"/>
      <c r="AQ791" s="1"/>
      <c r="AR791" s="1"/>
    </row>
    <row r="792" customFormat="false" ht="13.8" hidden="false" customHeight="false" outlineLevel="0" collapsed="false">
      <c r="A792" s="1" t="s">
        <v>979</v>
      </c>
      <c r="B792" s="1" t="n">
        <v>349</v>
      </c>
      <c r="C792" s="1" t="s">
        <v>961</v>
      </c>
      <c r="D792" s="1" t="s">
        <v>42</v>
      </c>
      <c r="E792" s="1" t="s">
        <v>962</v>
      </c>
      <c r="F792" s="1" t="n">
        <v>3</v>
      </c>
      <c r="G792" s="1" t="n">
        <v>1</v>
      </c>
      <c r="H792" s="1" t="n">
        <v>8</v>
      </c>
      <c r="I792" s="8" t="n">
        <v>593545</v>
      </c>
      <c r="J792" s="1" t="n">
        <v>2</v>
      </c>
      <c r="K792" s="1" t="s">
        <v>44</v>
      </c>
      <c r="L792" s="1" t="n">
        <v>2</v>
      </c>
      <c r="P792" s="1" t="n">
        <f aca="false">SUM(M792:O792)</f>
        <v>0</v>
      </c>
      <c r="W792" s="1" t="n">
        <f aca="false">SUM(Q792:V792)</f>
        <v>0</v>
      </c>
      <c r="AF792" s="9" t="n">
        <f aca="false">SUM(Z792:AE792)</f>
        <v>0</v>
      </c>
      <c r="AG792" s="10"/>
      <c r="AH792" s="11"/>
      <c r="AI792" s="11"/>
      <c r="AJ792" s="11"/>
      <c r="AK792" s="11"/>
      <c r="AL792" s="11"/>
      <c r="AM792" s="11"/>
      <c r="AN792" s="11" t="n">
        <f aca="false">SUM(AH792:AM792)</f>
        <v>0</v>
      </c>
      <c r="AO792" s="1"/>
      <c r="AP792" s="1"/>
      <c r="AQ792" s="1"/>
      <c r="AR792" s="1"/>
    </row>
    <row r="793" customFormat="false" ht="13.8" hidden="false" customHeight="false" outlineLevel="0" collapsed="false">
      <c r="A793" s="1" t="s">
        <v>980</v>
      </c>
      <c r="B793" s="1" t="n">
        <v>354</v>
      </c>
      <c r="C793" s="1" t="s">
        <v>961</v>
      </c>
      <c r="D793" s="1" t="s">
        <v>42</v>
      </c>
      <c r="E793" s="1" t="s">
        <v>962</v>
      </c>
      <c r="F793" s="13" t="n">
        <v>26</v>
      </c>
      <c r="G793" s="1" t="n">
        <v>1</v>
      </c>
      <c r="H793" s="1" t="n">
        <v>12</v>
      </c>
      <c r="I793" s="8" t="n">
        <v>1032388</v>
      </c>
      <c r="J793" s="1" t="n">
        <v>2</v>
      </c>
      <c r="K793" s="1" t="s">
        <v>46</v>
      </c>
      <c r="L793" s="1" t="n">
        <v>4</v>
      </c>
      <c r="P793" s="1" t="n">
        <f aca="false">SUM(M793:O793)</f>
        <v>0</v>
      </c>
      <c r="W793" s="1" t="n">
        <f aca="false">SUM(Q793:V793)</f>
        <v>0</v>
      </c>
      <c r="Y793" s="1" t="n">
        <v>2</v>
      </c>
      <c r="AF793" s="9" t="n">
        <f aca="false">SUM(Z793:AE793)</f>
        <v>0</v>
      </c>
      <c r="AG793" s="10"/>
      <c r="AH793" s="11"/>
      <c r="AI793" s="11"/>
      <c r="AJ793" s="11"/>
      <c r="AK793" s="11"/>
      <c r="AL793" s="11"/>
      <c r="AM793" s="11"/>
      <c r="AN793" s="11" t="n">
        <f aca="false">SUM(AH793:AM793)</f>
        <v>0</v>
      </c>
      <c r="AO793" s="1"/>
      <c r="AP793" s="1"/>
      <c r="AQ793" s="1"/>
      <c r="AR793" s="1"/>
    </row>
    <row r="794" customFormat="false" ht="13.8" hidden="false" customHeight="false" outlineLevel="0" collapsed="false">
      <c r="A794" s="1" t="s">
        <v>981</v>
      </c>
      <c r="B794" s="1" t="n">
        <v>353</v>
      </c>
      <c r="C794" s="1" t="s">
        <v>961</v>
      </c>
      <c r="D794" s="1" t="s">
        <v>73</v>
      </c>
      <c r="E794" s="1" t="s">
        <v>962</v>
      </c>
      <c r="F794" s="13" t="n">
        <v>3</v>
      </c>
      <c r="G794" s="1" t="n">
        <v>1</v>
      </c>
      <c r="H794" s="1" t="n">
        <v>7</v>
      </c>
      <c r="I794" s="8" t="n">
        <v>524176</v>
      </c>
      <c r="J794" s="1" t="n">
        <v>1</v>
      </c>
      <c r="K794" s="1" t="s">
        <v>44</v>
      </c>
      <c r="L794" s="1" t="n">
        <v>2</v>
      </c>
      <c r="P794" s="1" t="n">
        <f aca="false">SUM(M794:O794)</f>
        <v>0</v>
      </c>
      <c r="W794" s="1" t="n">
        <f aca="false">SUM(Q794:V794)</f>
        <v>0</v>
      </c>
      <c r="AF794" s="9" t="n">
        <f aca="false">SUM(Z794:AE794)</f>
        <v>0</v>
      </c>
      <c r="AG794" s="10"/>
      <c r="AH794" s="11"/>
      <c r="AI794" s="11"/>
      <c r="AJ794" s="11"/>
      <c r="AK794" s="11"/>
      <c r="AL794" s="11"/>
      <c r="AM794" s="11"/>
      <c r="AN794" s="11" t="n">
        <f aca="false">SUM(AH794:AM794)</f>
        <v>0</v>
      </c>
      <c r="AO794" s="1"/>
      <c r="AP794" s="1"/>
      <c r="AQ794" s="1"/>
      <c r="AR794" s="1"/>
    </row>
    <row r="795" customFormat="false" ht="13.8" hidden="false" customHeight="false" outlineLevel="0" collapsed="false">
      <c r="A795" s="1" t="s">
        <v>982</v>
      </c>
      <c r="B795" s="1" t="n">
        <v>800</v>
      </c>
      <c r="C795" s="1" t="s">
        <v>961</v>
      </c>
      <c r="D795" s="1" t="s">
        <v>73</v>
      </c>
      <c r="E795" s="1" t="s">
        <v>962</v>
      </c>
      <c r="F795" s="1" t="n">
        <v>6</v>
      </c>
      <c r="G795" s="1" t="n">
        <v>1</v>
      </c>
      <c r="H795" s="1" t="n">
        <v>7</v>
      </c>
      <c r="I795" s="8" t="n">
        <v>365936</v>
      </c>
      <c r="J795" s="1" t="n">
        <v>1</v>
      </c>
      <c r="K795" s="1" t="s">
        <v>44</v>
      </c>
      <c r="L795" s="1" t="n">
        <v>2</v>
      </c>
      <c r="P795" s="1" t="n">
        <f aca="false">SUM(M795:O795)</f>
        <v>0</v>
      </c>
      <c r="W795" s="1" t="n">
        <f aca="false">SUM(Q795:V795)</f>
        <v>0</v>
      </c>
      <c r="AF795" s="9" t="n">
        <f aca="false">SUM(Z795:AE795)</f>
        <v>0</v>
      </c>
      <c r="AG795" s="10"/>
      <c r="AH795" s="11"/>
      <c r="AI795" s="11"/>
      <c r="AJ795" s="11"/>
      <c r="AK795" s="11"/>
      <c r="AL795" s="11"/>
      <c r="AM795" s="11"/>
      <c r="AN795" s="11" t="n">
        <f aca="false">SUM(AH795:AM795)</f>
        <v>0</v>
      </c>
      <c r="AO795" s="1"/>
      <c r="AP795" s="1"/>
      <c r="AQ795" s="1"/>
      <c r="AR795" s="1"/>
    </row>
    <row r="796" customFormat="false" ht="13.8" hidden="false" customHeight="false" outlineLevel="0" collapsed="false">
      <c r="A796" s="1" t="s">
        <v>983</v>
      </c>
      <c r="B796" s="1" t="n">
        <v>136</v>
      </c>
      <c r="C796" s="1" t="s">
        <v>984</v>
      </c>
      <c r="D796" s="1" t="s">
        <v>42</v>
      </c>
      <c r="E796" s="1" t="s">
        <v>985</v>
      </c>
      <c r="F796" s="1" t="n">
        <v>6</v>
      </c>
      <c r="G796" s="1" t="n">
        <v>1</v>
      </c>
      <c r="H796" s="1" t="n">
        <v>7</v>
      </c>
      <c r="I796" s="8" t="n">
        <v>746376</v>
      </c>
      <c r="J796" s="1" t="n">
        <v>3</v>
      </c>
      <c r="K796" s="1" t="s">
        <v>46</v>
      </c>
      <c r="L796" s="1" t="n">
        <v>4</v>
      </c>
      <c r="N796" s="1" t="n">
        <v>2</v>
      </c>
      <c r="P796" s="1" t="n">
        <f aca="false">SUM(M796:O796)</f>
        <v>2</v>
      </c>
      <c r="R796" s="1" t="n">
        <v>3</v>
      </c>
      <c r="T796" s="1" t="n">
        <v>4</v>
      </c>
      <c r="W796" s="1" t="n">
        <f aca="false">SUM(Q796:V796)</f>
        <v>7</v>
      </c>
      <c r="AA796" s="9" t="n">
        <f aca="false">(R796)*(1+(J796)*0.2)</f>
        <v>4.8</v>
      </c>
      <c r="AC796" s="9" t="n">
        <f aca="false">(T796)*(1+(J796)*0.2)</f>
        <v>6.4</v>
      </c>
      <c r="AD796" s="9"/>
      <c r="AF796" s="9" t="n">
        <f aca="false">SUM(Z796:AE796)</f>
        <v>11.2</v>
      </c>
      <c r="AG796" s="10" t="s">
        <v>47</v>
      </c>
      <c r="AH796" s="11"/>
      <c r="AI796" s="11" t="n">
        <f aca="false">IF(AG796="yes",AA796*1.2,AA796)</f>
        <v>5.76</v>
      </c>
      <c r="AJ796" s="11"/>
      <c r="AK796" s="11" t="n">
        <f aca="false">IF(AG796="yes",AC796*1.2,AC796)</f>
        <v>7.68</v>
      </c>
      <c r="AL796" s="11"/>
      <c r="AM796" s="11"/>
      <c r="AN796" s="11" t="n">
        <f aca="false">SUM(AH796:AM796)</f>
        <v>13.44</v>
      </c>
      <c r="AO796" s="1"/>
      <c r="AP796" s="1"/>
      <c r="AQ796" s="1"/>
      <c r="AR796" s="1"/>
    </row>
    <row r="797" customFormat="false" ht="13.8" hidden="false" customHeight="false" outlineLevel="0" collapsed="false">
      <c r="A797" s="1" t="s">
        <v>986</v>
      </c>
      <c r="B797" s="1" t="n">
        <v>658</v>
      </c>
      <c r="C797" s="1" t="s">
        <v>984</v>
      </c>
      <c r="D797" s="1" t="s">
        <v>73</v>
      </c>
      <c r="E797" s="1" t="s">
        <v>985</v>
      </c>
      <c r="F797" s="1" t="n">
        <v>1</v>
      </c>
      <c r="G797" s="1" t="n">
        <v>1</v>
      </c>
      <c r="H797" s="1" t="n">
        <v>4</v>
      </c>
      <c r="I797" s="8" t="n">
        <v>170408</v>
      </c>
      <c r="J797" s="1" t="n">
        <v>1</v>
      </c>
      <c r="K797" s="1" t="s">
        <v>51</v>
      </c>
      <c r="L797" s="1" t="n">
        <v>1</v>
      </c>
      <c r="P797" s="1" t="n">
        <f aca="false">SUM(M797:O797)</f>
        <v>0</v>
      </c>
      <c r="Q797" s="1" t="n">
        <v>5</v>
      </c>
      <c r="W797" s="1" t="n">
        <f aca="false">SUM(Q797:V797)</f>
        <v>5</v>
      </c>
      <c r="Y797" s="1" t="n">
        <v>3</v>
      </c>
      <c r="Z797" s="9" t="n">
        <f aca="false">(Q797)*(1+(J797)*0.2)</f>
        <v>6</v>
      </c>
      <c r="AF797" s="9" t="n">
        <f aca="false">SUM(Z797:AE797)</f>
        <v>6</v>
      </c>
      <c r="AG797" s="10" t="s">
        <v>47</v>
      </c>
      <c r="AH797" s="11" t="n">
        <f aca="false">IF(AG797="yes",Z797*1.2,Z797)</f>
        <v>7.2</v>
      </c>
      <c r="AI797" s="11"/>
      <c r="AJ797" s="11"/>
      <c r="AK797" s="11"/>
      <c r="AL797" s="11"/>
      <c r="AM797" s="11"/>
      <c r="AN797" s="11" t="n">
        <f aca="false">SUM(AH797:AM797)</f>
        <v>7.2</v>
      </c>
      <c r="AO797" s="1"/>
      <c r="AP797" s="1"/>
      <c r="AQ797" s="1"/>
      <c r="AR797" s="1"/>
    </row>
    <row r="798" customFormat="false" ht="13.8" hidden="false" customHeight="false" outlineLevel="0" collapsed="false">
      <c r="A798" s="1" t="s">
        <v>987</v>
      </c>
      <c r="B798" s="1" t="n">
        <v>659</v>
      </c>
      <c r="C798" s="1" t="s">
        <v>984</v>
      </c>
      <c r="D798" s="1" t="s">
        <v>73</v>
      </c>
      <c r="E798" s="1" t="s">
        <v>985</v>
      </c>
      <c r="F798" s="1" t="n">
        <v>1</v>
      </c>
      <c r="G798" s="1" t="n">
        <v>1</v>
      </c>
      <c r="H798" s="1" t="n">
        <v>6</v>
      </c>
      <c r="I798" s="8" t="n">
        <v>872265</v>
      </c>
      <c r="J798" s="1" t="n">
        <v>2</v>
      </c>
      <c r="K798" s="1" t="s">
        <v>51</v>
      </c>
      <c r="L798" s="1" t="n">
        <v>1</v>
      </c>
      <c r="P798" s="1" t="n">
        <f aca="false">SUM(M798:O798)</f>
        <v>0</v>
      </c>
      <c r="W798" s="1" t="n">
        <f aca="false">SUM(Q798:V798)</f>
        <v>0</v>
      </c>
      <c r="X798" s="1" t="n">
        <v>4</v>
      </c>
      <c r="Y798" s="1" t="n">
        <v>3</v>
      </c>
      <c r="AF798" s="9" t="n">
        <f aca="false">SUM(Z798:AE798)</f>
        <v>0</v>
      </c>
      <c r="AG798" s="10"/>
      <c r="AH798" s="11"/>
      <c r="AI798" s="11"/>
      <c r="AJ798" s="11"/>
      <c r="AK798" s="11"/>
      <c r="AL798" s="11"/>
      <c r="AM798" s="11"/>
      <c r="AN798" s="11" t="n">
        <f aca="false">SUM(AH798:AM798)</f>
        <v>0</v>
      </c>
      <c r="AO798" s="1"/>
      <c r="AP798" s="1"/>
      <c r="AQ798" s="1"/>
      <c r="AR798" s="1"/>
    </row>
    <row r="799" customFormat="false" ht="13.8" hidden="false" customHeight="false" outlineLevel="0" collapsed="false">
      <c r="A799" s="1" t="s">
        <v>988</v>
      </c>
      <c r="B799" s="1" t="n">
        <v>447</v>
      </c>
      <c r="C799" s="1" t="s">
        <v>984</v>
      </c>
      <c r="D799" s="1" t="s">
        <v>73</v>
      </c>
      <c r="E799" s="1" t="s">
        <v>985</v>
      </c>
      <c r="F799" s="1" t="n">
        <v>11</v>
      </c>
      <c r="G799" s="1" t="n">
        <v>1</v>
      </c>
      <c r="H799" s="1" t="n">
        <v>7</v>
      </c>
      <c r="I799" s="8" t="n">
        <v>3863950</v>
      </c>
      <c r="J799" s="1" t="n">
        <v>3</v>
      </c>
      <c r="K799" s="1" t="s">
        <v>46</v>
      </c>
      <c r="L799" s="1" t="n">
        <v>4</v>
      </c>
      <c r="O799" s="1" t="n">
        <v>1</v>
      </c>
      <c r="P799" s="1" t="n">
        <f aca="false">SUM(M799:O799)</f>
        <v>1</v>
      </c>
      <c r="Q799" s="1" t="n">
        <v>1</v>
      </c>
      <c r="T799" s="1" t="n">
        <v>3</v>
      </c>
      <c r="U799" s="1" t="n">
        <v>3</v>
      </c>
      <c r="W799" s="1" t="n">
        <f aca="false">SUM(Q799:V799)</f>
        <v>7</v>
      </c>
      <c r="X799" s="1" t="n">
        <v>6</v>
      </c>
      <c r="Y799" s="1" t="n">
        <v>8</v>
      </c>
      <c r="Z799" s="9" t="n">
        <f aca="false">(Q799)*(1+(J799)*0.2)</f>
        <v>1.6</v>
      </c>
      <c r="AC799" s="9" t="n">
        <f aca="false">(T799)*(1+(J799)*0.2)</f>
        <v>4.8</v>
      </c>
      <c r="AD799" s="9" t="n">
        <f aca="false">(U799)*(1+(J799)*0.2)</f>
        <v>4.8</v>
      </c>
      <c r="AF799" s="9" t="n">
        <f aca="false">SUM(Z799:AE799)</f>
        <v>11.2</v>
      </c>
      <c r="AG799" s="10" t="s">
        <v>47</v>
      </c>
      <c r="AH799" s="11" t="n">
        <f aca="false">IF(AG799="yes",Z799*1.2,Z799)</f>
        <v>1.92</v>
      </c>
      <c r="AI799" s="11"/>
      <c r="AJ799" s="11"/>
      <c r="AK799" s="11" t="n">
        <f aca="false">IF(AG799="yes",AC799*1.2,AC799)</f>
        <v>5.76</v>
      </c>
      <c r="AL799" s="11" t="n">
        <f aca="false">IF(AG799="yes",AD799*1.2,AD799)</f>
        <v>5.76</v>
      </c>
      <c r="AM799" s="11"/>
      <c r="AN799" s="11" t="n">
        <f aca="false">SUM(AH799:AM799)</f>
        <v>13.44</v>
      </c>
      <c r="AO799" s="1"/>
      <c r="AP799" s="1"/>
      <c r="AQ799" s="1"/>
      <c r="AR799" s="1"/>
    </row>
    <row r="800" customFormat="false" ht="13.8" hidden="false" customHeight="false" outlineLevel="0" collapsed="false">
      <c r="A800" s="1" t="s">
        <v>989</v>
      </c>
      <c r="B800" s="1" t="n">
        <v>733</v>
      </c>
      <c r="C800" s="1" t="s">
        <v>984</v>
      </c>
      <c r="D800" s="1" t="s">
        <v>304</v>
      </c>
      <c r="E800" s="1" t="s">
        <v>985</v>
      </c>
      <c r="G800" s="1" t="n">
        <v>1</v>
      </c>
      <c r="H800" s="1" t="n">
        <v>2</v>
      </c>
      <c r="I800" s="8" t="n">
        <v>29536</v>
      </c>
      <c r="J800" s="1" t="n">
        <v>2</v>
      </c>
      <c r="K800" s="1" t="s">
        <v>84</v>
      </c>
      <c r="L800" s="1" t="n">
        <v>1</v>
      </c>
      <c r="P800" s="1" t="n">
        <f aca="false">SUM(M800:O800)</f>
        <v>0</v>
      </c>
      <c r="W800" s="1" t="n">
        <f aca="false">SUM(Q800:V800)</f>
        <v>0</v>
      </c>
      <c r="Y800" s="1" t="n">
        <v>2</v>
      </c>
      <c r="AF800" s="9" t="n">
        <f aca="false">SUM(Z800:AE800)</f>
        <v>0</v>
      </c>
      <c r="AG800" s="10"/>
      <c r="AH800" s="11"/>
      <c r="AI800" s="11"/>
      <c r="AJ800" s="11"/>
      <c r="AK800" s="11"/>
      <c r="AL800" s="11"/>
      <c r="AM800" s="11"/>
      <c r="AN800" s="11" t="n">
        <f aca="false">SUM(AH800:AM800)</f>
        <v>0</v>
      </c>
      <c r="AO800" s="1"/>
      <c r="AP800" s="1"/>
      <c r="AQ800" s="1"/>
      <c r="AR800" s="1"/>
    </row>
    <row r="801" customFormat="false" ht="13.8" hidden="false" customHeight="false" outlineLevel="0" collapsed="false">
      <c r="A801" s="1" t="s">
        <v>990</v>
      </c>
      <c r="B801" s="1" t="n">
        <v>703</v>
      </c>
      <c r="C801" s="1" t="s">
        <v>984</v>
      </c>
      <c r="D801" s="1" t="s">
        <v>304</v>
      </c>
      <c r="E801" s="1" t="s">
        <v>985</v>
      </c>
      <c r="G801" s="1" t="n">
        <v>1</v>
      </c>
      <c r="H801" s="1" t="n">
        <v>1</v>
      </c>
      <c r="I801" s="8" t="n">
        <v>459</v>
      </c>
      <c r="J801" s="1" t="n">
        <v>1</v>
      </c>
      <c r="K801" s="1" t="s">
        <v>261</v>
      </c>
      <c r="L801" s="1" t="n">
        <v>0</v>
      </c>
      <c r="P801" s="1" t="n">
        <f aca="false">SUM(M801:O801)</f>
        <v>0</v>
      </c>
      <c r="W801" s="1" t="n">
        <f aca="false">SUM(Q801:V801)</f>
        <v>0</v>
      </c>
      <c r="Y801" s="1" t="n">
        <v>1</v>
      </c>
      <c r="AF801" s="9" t="n">
        <f aca="false">SUM(Z801:AE801)</f>
        <v>0</v>
      </c>
      <c r="AG801" s="10"/>
      <c r="AH801" s="11"/>
      <c r="AI801" s="11"/>
      <c r="AJ801" s="11"/>
      <c r="AK801" s="11"/>
      <c r="AL801" s="11"/>
      <c r="AM801" s="11"/>
      <c r="AN801" s="11" t="n">
        <f aca="false">SUM(AH801:AM801)</f>
        <v>0</v>
      </c>
      <c r="AO801" s="1"/>
      <c r="AP801" s="1"/>
      <c r="AQ801" s="1"/>
      <c r="AR801" s="1"/>
    </row>
    <row r="802" customFormat="false" ht="13.8" hidden="false" customHeight="false" outlineLevel="0" collapsed="false">
      <c r="A802" s="1" t="s">
        <v>991</v>
      </c>
      <c r="B802" s="1" t="n">
        <v>456</v>
      </c>
      <c r="C802" s="1" t="s">
        <v>984</v>
      </c>
      <c r="D802" s="1" t="s">
        <v>73</v>
      </c>
      <c r="E802" s="1" t="s">
        <v>985</v>
      </c>
      <c r="F802" s="1" t="n">
        <v>5</v>
      </c>
      <c r="G802" s="1" t="n">
        <v>1</v>
      </c>
      <c r="H802" s="1" t="n">
        <v>15</v>
      </c>
      <c r="I802" s="8" t="n">
        <v>4229673</v>
      </c>
      <c r="J802" s="1" t="n">
        <v>2</v>
      </c>
      <c r="K802" s="1" t="s">
        <v>44</v>
      </c>
      <c r="L802" s="1" t="n">
        <v>2</v>
      </c>
      <c r="P802" s="1" t="n">
        <f aca="false">SUM(M802:O802)</f>
        <v>0</v>
      </c>
      <c r="W802" s="1" t="n">
        <f aca="false">SUM(Q802:V802)</f>
        <v>0</v>
      </c>
      <c r="AC802" s="9"/>
      <c r="AF802" s="9" t="n">
        <f aca="false">SUM(Z802:AE802)</f>
        <v>0</v>
      </c>
      <c r="AG802" s="21"/>
      <c r="AH802" s="11"/>
      <c r="AI802" s="11"/>
      <c r="AJ802" s="11"/>
      <c r="AK802" s="11"/>
      <c r="AL802" s="11"/>
      <c r="AM802" s="11"/>
      <c r="AN802" s="11" t="n">
        <f aca="false">SUM(AH802:AM802)</f>
        <v>0</v>
      </c>
      <c r="AO802" s="1"/>
      <c r="AP802" s="1"/>
      <c r="AQ802" s="1"/>
      <c r="AR802" s="1"/>
    </row>
    <row r="803" customFormat="false" ht="13.8" hidden="false" customHeight="false" outlineLevel="0" collapsed="false">
      <c r="A803" s="1" t="s">
        <v>992</v>
      </c>
      <c r="B803" s="1" t="n">
        <v>885</v>
      </c>
      <c r="C803" s="1" t="s">
        <v>984</v>
      </c>
      <c r="D803" s="1" t="s">
        <v>73</v>
      </c>
      <c r="E803" s="1" t="s">
        <v>985</v>
      </c>
      <c r="G803" s="1" t="n">
        <v>1</v>
      </c>
      <c r="H803" s="1" t="n">
        <v>4</v>
      </c>
      <c r="I803" s="8" t="n">
        <v>550671</v>
      </c>
      <c r="J803" s="1" t="n">
        <v>1</v>
      </c>
      <c r="K803" s="1" t="s">
        <v>51</v>
      </c>
      <c r="L803" s="1" t="n">
        <v>1</v>
      </c>
      <c r="P803" s="1" t="n">
        <f aca="false">SUM(M803:O803)</f>
        <v>0</v>
      </c>
      <c r="W803" s="1" t="n">
        <f aca="false">SUM(Q803:V803)</f>
        <v>0</v>
      </c>
      <c r="AF803" s="9" t="n">
        <f aca="false">SUM(Z803:AE803)</f>
        <v>0</v>
      </c>
      <c r="AG803" s="10"/>
      <c r="AH803" s="11"/>
      <c r="AI803" s="11"/>
      <c r="AJ803" s="11"/>
      <c r="AK803" s="11"/>
      <c r="AL803" s="11"/>
      <c r="AM803" s="11"/>
      <c r="AN803" s="11" t="n">
        <f aca="false">SUM(AH803:AM803)</f>
        <v>0</v>
      </c>
      <c r="AO803" s="1"/>
      <c r="AP803" s="1"/>
      <c r="AQ803" s="1"/>
      <c r="AR803" s="1"/>
    </row>
    <row r="804" customFormat="false" ht="13.8" hidden="false" customHeight="false" outlineLevel="0" collapsed="false">
      <c r="A804" s="1" t="s">
        <v>993</v>
      </c>
      <c r="B804" s="1" t="n">
        <v>542</v>
      </c>
      <c r="C804" s="1" t="s">
        <v>984</v>
      </c>
      <c r="D804" s="1" t="s">
        <v>73</v>
      </c>
      <c r="E804" s="1" t="s">
        <v>985</v>
      </c>
      <c r="F804" s="1" t="n">
        <v>1</v>
      </c>
      <c r="G804" s="1" t="n">
        <v>1</v>
      </c>
      <c r="H804" s="1" t="n">
        <v>5</v>
      </c>
      <c r="I804" s="8" t="n">
        <v>234286</v>
      </c>
      <c r="J804" s="1" t="n">
        <v>1</v>
      </c>
      <c r="K804" s="1" t="s">
        <v>76</v>
      </c>
      <c r="L804" s="1" t="n">
        <v>0</v>
      </c>
      <c r="P804" s="1" t="n">
        <f aca="false">SUM(M804:O804)</f>
        <v>0</v>
      </c>
      <c r="V804" s="1" t="n">
        <v>90</v>
      </c>
      <c r="W804" s="1" t="n">
        <f aca="false">SUM(Q804:V804)</f>
        <v>90</v>
      </c>
      <c r="AE804" s="9" t="n">
        <f aca="false">(V804)*(1+(J804)*0.2)</f>
        <v>108</v>
      </c>
      <c r="AF804" s="9" t="n">
        <f aca="false">SUM(Z804:AE804)</f>
        <v>108</v>
      </c>
      <c r="AG804" s="10" t="s">
        <v>47</v>
      </c>
      <c r="AH804" s="11"/>
      <c r="AI804" s="11"/>
      <c r="AJ804" s="11"/>
      <c r="AK804" s="11"/>
      <c r="AL804" s="11"/>
      <c r="AM804" s="11" t="n">
        <f aca="false">IF(AG804="yes",AE804*1.2,AE804)</f>
        <v>129.6</v>
      </c>
      <c r="AN804" s="11" t="n">
        <f aca="false">SUM(AH804:AM804)</f>
        <v>129.6</v>
      </c>
      <c r="AO804" s="1"/>
      <c r="AP804" s="1"/>
      <c r="AQ804" s="1"/>
      <c r="AR804" s="1"/>
    </row>
    <row r="805" customFormat="false" ht="13.8" hidden="false" customHeight="false" outlineLevel="0" collapsed="false">
      <c r="A805" s="1" t="s">
        <v>994</v>
      </c>
      <c r="B805" s="1" t="n">
        <v>900</v>
      </c>
      <c r="C805" s="1" t="s">
        <v>984</v>
      </c>
      <c r="D805" s="1" t="s">
        <v>73</v>
      </c>
      <c r="E805" s="1" t="s">
        <v>985</v>
      </c>
      <c r="G805" s="1" t="n">
        <v>1</v>
      </c>
      <c r="H805" s="1" t="n">
        <v>5</v>
      </c>
      <c r="I805" s="8" t="n">
        <v>1165095</v>
      </c>
      <c r="J805" s="1" t="n">
        <v>2</v>
      </c>
      <c r="K805" s="1" t="s">
        <v>51</v>
      </c>
      <c r="L805" s="1" t="n">
        <v>1</v>
      </c>
      <c r="P805" s="1" t="n">
        <f aca="false">SUM(M805:O805)</f>
        <v>0</v>
      </c>
      <c r="W805" s="1" t="n">
        <f aca="false">SUM(Q805:V805)</f>
        <v>0</v>
      </c>
      <c r="AC805" s="9"/>
      <c r="AE805" s="20"/>
      <c r="AF805" s="9" t="n">
        <f aca="false">SUM(Z805:AE805)</f>
        <v>0</v>
      </c>
      <c r="AG805" s="10"/>
      <c r="AH805" s="11"/>
      <c r="AI805" s="11"/>
      <c r="AJ805" s="11"/>
      <c r="AK805" s="11"/>
      <c r="AL805" s="11"/>
      <c r="AM805" s="11"/>
      <c r="AN805" s="11" t="n">
        <f aca="false">SUM(AH805:AM805)</f>
        <v>0</v>
      </c>
      <c r="AO805" s="1"/>
      <c r="AP805" s="1"/>
      <c r="AQ805" s="1"/>
      <c r="AR805" s="1"/>
    </row>
    <row r="806" customFormat="false" ht="13.8" hidden="false" customHeight="false" outlineLevel="0" collapsed="false">
      <c r="A806" s="1" t="s">
        <v>995</v>
      </c>
      <c r="B806" s="1" t="n">
        <v>696</v>
      </c>
      <c r="C806" s="1" t="s">
        <v>984</v>
      </c>
      <c r="D806" s="1" t="s">
        <v>304</v>
      </c>
      <c r="E806" s="1" t="s">
        <v>985</v>
      </c>
      <c r="F806" s="1" t="n">
        <v>1</v>
      </c>
      <c r="G806" s="1" t="n">
        <v>1</v>
      </c>
      <c r="H806" s="1" t="n">
        <v>1</v>
      </c>
      <c r="I806" s="8" t="n">
        <v>37562</v>
      </c>
      <c r="J806" s="1" t="n">
        <v>2</v>
      </c>
      <c r="K806" s="1" t="s">
        <v>84</v>
      </c>
      <c r="L806" s="1" t="n">
        <v>1</v>
      </c>
      <c r="P806" s="1" t="n">
        <f aca="false">SUM(M806:O806)</f>
        <v>0</v>
      </c>
      <c r="W806" s="1" t="n">
        <f aca="false">SUM(Q806:V806)</f>
        <v>0</v>
      </c>
      <c r="Y806" s="1" t="n">
        <v>1</v>
      </c>
      <c r="AB806" s="9"/>
      <c r="AF806" s="9" t="n">
        <f aca="false">SUM(Z806:AE806)</f>
        <v>0</v>
      </c>
      <c r="AG806" s="10"/>
      <c r="AH806" s="11"/>
      <c r="AI806" s="11"/>
      <c r="AJ806" s="11"/>
      <c r="AK806" s="11"/>
      <c r="AL806" s="11"/>
      <c r="AM806" s="11"/>
      <c r="AN806" s="11" t="n">
        <f aca="false">SUM(AH806:AM806)</f>
        <v>0</v>
      </c>
      <c r="AO806" s="1"/>
      <c r="AP806" s="1"/>
      <c r="AQ806" s="1"/>
      <c r="AR806" s="1"/>
    </row>
    <row r="807" customFormat="false" ht="13.8" hidden="false" customHeight="false" outlineLevel="0" collapsed="false">
      <c r="A807" s="1" t="s">
        <v>996</v>
      </c>
      <c r="B807" s="1" t="n">
        <v>886</v>
      </c>
      <c r="C807" s="1" t="s">
        <v>984</v>
      </c>
      <c r="D807" s="1" t="s">
        <v>73</v>
      </c>
      <c r="E807" s="1" t="s">
        <v>985</v>
      </c>
      <c r="G807" s="1" t="n">
        <v>1</v>
      </c>
      <c r="H807" s="1" t="n">
        <v>6</v>
      </c>
      <c r="I807" s="8" t="n">
        <v>661909</v>
      </c>
      <c r="J807" s="1" t="n">
        <v>1</v>
      </c>
      <c r="K807" s="1" t="s">
        <v>51</v>
      </c>
      <c r="L807" s="1" t="n">
        <v>1</v>
      </c>
      <c r="P807" s="1" t="n">
        <f aca="false">SUM(M807:O807)</f>
        <v>0</v>
      </c>
      <c r="W807" s="1" t="n">
        <f aca="false">SUM(Q807:V807)</f>
        <v>0</v>
      </c>
      <c r="AF807" s="9" t="n">
        <f aca="false">SUM(Z807:AE807)</f>
        <v>0</v>
      </c>
      <c r="AG807" s="10"/>
      <c r="AH807" s="11"/>
      <c r="AI807" s="11"/>
      <c r="AJ807" s="11"/>
      <c r="AK807" s="11"/>
      <c r="AL807" s="11"/>
      <c r="AM807" s="11"/>
      <c r="AN807" s="11" t="n">
        <f aca="false">SUM(AH807:AM807)</f>
        <v>0</v>
      </c>
      <c r="AO807" s="1"/>
      <c r="AP807" s="1"/>
      <c r="AQ807" s="1"/>
      <c r="AR807" s="1"/>
    </row>
    <row r="808" customFormat="false" ht="13.8" hidden="false" customHeight="false" outlineLevel="0" collapsed="false">
      <c r="A808" s="1" t="s">
        <v>997</v>
      </c>
      <c r="B808" s="1" t="n">
        <v>901</v>
      </c>
      <c r="C808" s="1" t="s">
        <v>984</v>
      </c>
      <c r="D808" s="1" t="s">
        <v>73</v>
      </c>
      <c r="E808" s="1" t="s">
        <v>985</v>
      </c>
      <c r="G808" s="1" t="n">
        <v>1</v>
      </c>
      <c r="H808" s="1" t="n">
        <v>4</v>
      </c>
      <c r="I808" s="8" t="n">
        <v>166443</v>
      </c>
      <c r="J808" s="1" t="n">
        <v>1</v>
      </c>
      <c r="K808" s="1" t="s">
        <v>51</v>
      </c>
      <c r="L808" s="1" t="n">
        <v>1</v>
      </c>
      <c r="P808" s="1" t="n">
        <f aca="false">SUM(M808:O808)</f>
        <v>0</v>
      </c>
      <c r="W808" s="1" t="n">
        <f aca="false">SUM(Q808:V808)</f>
        <v>0</v>
      </c>
      <c r="AF808" s="9" t="n">
        <f aca="false">SUM(Z808:AE808)</f>
        <v>0</v>
      </c>
      <c r="AG808" s="10"/>
      <c r="AH808" s="11"/>
      <c r="AI808" s="11"/>
      <c r="AJ808" s="11"/>
      <c r="AK808" s="11"/>
      <c r="AL808" s="11"/>
      <c r="AM808" s="11"/>
      <c r="AN808" s="11" t="n">
        <f aca="false">SUM(AH808:AM808)</f>
        <v>0</v>
      </c>
      <c r="AO808" s="1"/>
      <c r="AP808" s="1"/>
      <c r="AQ808" s="1"/>
      <c r="AR808" s="1"/>
    </row>
    <row r="809" customFormat="false" ht="13.8" hidden="false" customHeight="false" outlineLevel="0" collapsed="false">
      <c r="A809" s="1" t="s">
        <v>998</v>
      </c>
      <c r="B809" s="1" t="n">
        <v>687</v>
      </c>
      <c r="C809" s="1" t="s">
        <v>984</v>
      </c>
      <c r="D809" s="1" t="s">
        <v>73</v>
      </c>
      <c r="E809" s="1" t="s">
        <v>985</v>
      </c>
      <c r="F809" s="1" t="n">
        <v>1</v>
      </c>
      <c r="G809" s="1" t="n">
        <v>1</v>
      </c>
      <c r="H809" s="1" t="n">
        <v>3</v>
      </c>
      <c r="I809" s="8" t="n">
        <v>309377</v>
      </c>
      <c r="J809" s="1" t="n">
        <v>1</v>
      </c>
      <c r="K809" s="1" t="s">
        <v>51</v>
      </c>
      <c r="L809" s="1" t="n">
        <v>1</v>
      </c>
      <c r="P809" s="1" t="n">
        <f aca="false">SUM(M809:O809)</f>
        <v>0</v>
      </c>
      <c r="R809" s="1" t="n">
        <v>64</v>
      </c>
      <c r="W809" s="1" t="n">
        <f aca="false">SUM(Q809:V809)</f>
        <v>64</v>
      </c>
      <c r="Y809" s="1" t="n">
        <v>1</v>
      </c>
      <c r="AA809" s="9" t="n">
        <f aca="false">(R809)*(1+(J809)*0.2)</f>
        <v>76.8</v>
      </c>
      <c r="AF809" s="9" t="n">
        <f aca="false">SUM(Z809:AE809)</f>
        <v>76.8</v>
      </c>
      <c r="AG809" s="10" t="s">
        <v>47</v>
      </c>
      <c r="AH809" s="11"/>
      <c r="AI809" s="11" t="n">
        <f aca="false">IF(AG809="yes",AA809*1.2,AA809)</f>
        <v>92.16</v>
      </c>
      <c r="AJ809" s="11"/>
      <c r="AK809" s="11"/>
      <c r="AL809" s="11"/>
      <c r="AM809" s="11"/>
      <c r="AN809" s="11" t="n">
        <f aca="false">SUM(AH809:AM809)</f>
        <v>92.16</v>
      </c>
      <c r="AO809" s="1"/>
      <c r="AP809" s="1"/>
      <c r="AQ809" s="1"/>
      <c r="AR809" s="1"/>
    </row>
    <row r="810" customFormat="false" ht="13.8" hidden="false" customHeight="false" outlineLevel="0" collapsed="false">
      <c r="A810" s="1" t="s">
        <v>999</v>
      </c>
      <c r="B810" s="1" t="n">
        <v>311</v>
      </c>
      <c r="C810" s="1" t="s">
        <v>984</v>
      </c>
      <c r="D810" s="1" t="s">
        <v>73</v>
      </c>
      <c r="E810" s="1" t="s">
        <v>985</v>
      </c>
      <c r="F810" s="1" t="n">
        <v>1</v>
      </c>
      <c r="G810" s="1" t="n">
        <v>1</v>
      </c>
      <c r="H810" s="1" t="n">
        <v>1</v>
      </c>
      <c r="I810" s="8" t="n">
        <v>51062</v>
      </c>
      <c r="J810" s="1" t="n">
        <v>2</v>
      </c>
      <c r="K810" s="1" t="s">
        <v>51</v>
      </c>
      <c r="L810" s="1" t="n">
        <v>1</v>
      </c>
      <c r="P810" s="1" t="n">
        <f aca="false">SUM(M810:O810)</f>
        <v>0</v>
      </c>
      <c r="W810" s="1" t="n">
        <f aca="false">SUM(Q810:V810)</f>
        <v>0</v>
      </c>
      <c r="Y810" s="1" t="n">
        <v>1</v>
      </c>
      <c r="AF810" s="9" t="n">
        <f aca="false">SUM(Z810:AE810)</f>
        <v>0</v>
      </c>
      <c r="AG810" s="10"/>
      <c r="AH810" s="11"/>
      <c r="AI810" s="11"/>
      <c r="AJ810" s="11"/>
      <c r="AK810" s="11"/>
      <c r="AL810" s="11"/>
      <c r="AM810" s="11"/>
      <c r="AN810" s="11" t="n">
        <f aca="false">SUM(AH810:AM810)</f>
        <v>0</v>
      </c>
      <c r="AO810" s="1"/>
      <c r="AP810" s="1"/>
      <c r="AQ810" s="1"/>
      <c r="AR810" s="1"/>
    </row>
    <row r="811" customFormat="false" ht="13.8" hidden="false" customHeight="false" outlineLevel="0" collapsed="false">
      <c r="A811" s="1" t="s">
        <v>1000</v>
      </c>
      <c r="B811" s="1" t="n">
        <v>269</v>
      </c>
      <c r="C811" s="1" t="s">
        <v>984</v>
      </c>
      <c r="D811" s="1" t="s">
        <v>73</v>
      </c>
      <c r="E811" s="1" t="s">
        <v>985</v>
      </c>
      <c r="F811" s="1" t="n">
        <v>2</v>
      </c>
      <c r="G811" s="1" t="n">
        <v>1</v>
      </c>
      <c r="H811" s="1" t="n">
        <v>8</v>
      </c>
      <c r="I811" s="8" t="n">
        <v>345121</v>
      </c>
      <c r="J811" s="1" t="n">
        <v>2</v>
      </c>
      <c r="K811" s="1" t="s">
        <v>295</v>
      </c>
      <c r="L811" s="1" t="n">
        <v>0</v>
      </c>
      <c r="P811" s="1" t="n">
        <f aca="false">SUM(M811:O811)</f>
        <v>0</v>
      </c>
      <c r="W811" s="1" t="n">
        <f aca="false">SUM(Q811:V811)</f>
        <v>0</v>
      </c>
      <c r="Y811" s="1" t="n">
        <v>1</v>
      </c>
      <c r="AF811" s="9" t="n">
        <f aca="false">SUM(Z811:AE811)</f>
        <v>0</v>
      </c>
      <c r="AG811" s="10"/>
      <c r="AH811" s="11"/>
      <c r="AI811" s="11"/>
      <c r="AJ811" s="11"/>
      <c r="AK811" s="11"/>
      <c r="AL811" s="11"/>
      <c r="AM811" s="11"/>
      <c r="AN811" s="11" t="n">
        <f aca="false">SUM(AH811:AM811)</f>
        <v>0</v>
      </c>
      <c r="AO811" s="1"/>
      <c r="AP811" s="1"/>
      <c r="AQ811" s="1"/>
      <c r="AR811" s="1"/>
    </row>
    <row r="812" customFormat="false" ht="13.8" hidden="false" customHeight="false" outlineLevel="0" collapsed="false">
      <c r="A812" s="1" t="s">
        <v>1001</v>
      </c>
      <c r="B812" s="1" t="n">
        <v>907</v>
      </c>
      <c r="C812" s="1" t="s">
        <v>984</v>
      </c>
      <c r="D812" s="1" t="s">
        <v>73</v>
      </c>
      <c r="E812" s="1" t="s">
        <v>985</v>
      </c>
      <c r="F812" s="1" t="n">
        <v>28</v>
      </c>
      <c r="G812" s="1" t="n">
        <v>1</v>
      </c>
      <c r="H812" s="1" t="n">
        <v>11</v>
      </c>
      <c r="I812" s="8" t="n">
        <v>6462744</v>
      </c>
      <c r="J812" s="1" t="n">
        <v>3</v>
      </c>
      <c r="K812" s="1" t="s">
        <v>46</v>
      </c>
      <c r="L812" s="1" t="n">
        <v>4</v>
      </c>
      <c r="O812" s="1" t="n">
        <v>1</v>
      </c>
      <c r="P812" s="1" t="n">
        <f aca="false">SUM(M812:O812)</f>
        <v>1</v>
      </c>
      <c r="W812" s="1" t="n">
        <f aca="false">SUM(Q812:V812)</f>
        <v>0</v>
      </c>
      <c r="X812" s="1" t="n">
        <v>5</v>
      </c>
      <c r="AF812" s="9" t="n">
        <f aca="false">SUM(Z812:AE812)</f>
        <v>0</v>
      </c>
      <c r="AG812" s="10"/>
      <c r="AH812" s="11"/>
      <c r="AI812" s="11"/>
      <c r="AJ812" s="11"/>
      <c r="AK812" s="11"/>
      <c r="AL812" s="11"/>
      <c r="AM812" s="11"/>
      <c r="AN812" s="11" t="n">
        <f aca="false">SUM(AH812:AM812)</f>
        <v>0</v>
      </c>
      <c r="AO812" s="1"/>
      <c r="AP812" s="1"/>
      <c r="AQ812" s="1"/>
      <c r="AR812" s="1"/>
    </row>
    <row r="813" customFormat="false" ht="13.8" hidden="false" customHeight="false" outlineLevel="0" collapsed="false">
      <c r="A813" s="1" t="s">
        <v>1002</v>
      </c>
      <c r="B813" s="1" t="n">
        <v>422</v>
      </c>
      <c r="C813" s="1" t="s">
        <v>984</v>
      </c>
      <c r="D813" s="1" t="s">
        <v>73</v>
      </c>
      <c r="E813" s="1" t="s">
        <v>985</v>
      </c>
      <c r="F813" s="1" t="n">
        <v>3</v>
      </c>
      <c r="G813" s="1" t="n">
        <v>1</v>
      </c>
      <c r="H813" s="1" t="n">
        <v>8</v>
      </c>
      <c r="I813" s="8" t="n">
        <v>5506714</v>
      </c>
      <c r="J813" s="1" t="n">
        <v>2</v>
      </c>
      <c r="K813" s="1" t="s">
        <v>44</v>
      </c>
      <c r="L813" s="1" t="n">
        <v>2</v>
      </c>
      <c r="O813" s="1" t="n">
        <v>1</v>
      </c>
      <c r="P813" s="1" t="n">
        <f aca="false">SUM(M813:O813)</f>
        <v>1</v>
      </c>
      <c r="S813" s="1" t="n">
        <v>60</v>
      </c>
      <c r="W813" s="1" t="n">
        <f aca="false">SUM(Q813:V813)</f>
        <v>60</v>
      </c>
      <c r="X813" s="1" t="n">
        <v>3</v>
      </c>
      <c r="Y813" s="1" t="n">
        <v>8</v>
      </c>
      <c r="AB813" s="9" t="n">
        <f aca="false">(S813)*(1+(J813)*0.2)</f>
        <v>84</v>
      </c>
      <c r="AF813" s="9" t="n">
        <f aca="false">SUM(Z813:AE813)</f>
        <v>84</v>
      </c>
      <c r="AG813" s="10" t="s">
        <v>47</v>
      </c>
      <c r="AH813" s="11"/>
      <c r="AI813" s="11"/>
      <c r="AJ813" s="11" t="n">
        <f aca="false">IF(AG813="yes",AB813*1.2,AB813)</f>
        <v>100.8</v>
      </c>
      <c r="AK813" s="11"/>
      <c r="AL813" s="11"/>
      <c r="AM813" s="11"/>
      <c r="AN813" s="11" t="n">
        <f aca="false">SUM(AH813:AM813)</f>
        <v>100.8</v>
      </c>
      <c r="AO813" s="1"/>
      <c r="AP813" s="1"/>
      <c r="AQ813" s="1"/>
      <c r="AR813" s="1"/>
    </row>
    <row r="814" customFormat="false" ht="13.8" hidden="false" customHeight="false" outlineLevel="0" collapsed="false">
      <c r="A814" s="1" t="s">
        <v>1003</v>
      </c>
      <c r="B814" s="1" t="n">
        <v>711</v>
      </c>
      <c r="C814" s="1" t="s">
        <v>984</v>
      </c>
      <c r="D814" s="1" t="s">
        <v>304</v>
      </c>
      <c r="E814" s="1" t="s">
        <v>985</v>
      </c>
      <c r="G814" s="1" t="n">
        <v>1</v>
      </c>
      <c r="H814" s="1" t="n">
        <v>1</v>
      </c>
      <c r="I814" s="8" t="n">
        <v>1627</v>
      </c>
      <c r="J814" s="1" t="n">
        <v>2</v>
      </c>
      <c r="K814" s="1" t="s">
        <v>261</v>
      </c>
      <c r="L814" s="1" t="n">
        <v>0</v>
      </c>
      <c r="P814" s="1" t="n">
        <f aca="false">SUM(M814:O814)</f>
        <v>0</v>
      </c>
      <c r="W814" s="1" t="n">
        <f aca="false">SUM(Q814:V814)</f>
        <v>0</v>
      </c>
      <c r="Y814" s="1" t="n">
        <v>1</v>
      </c>
      <c r="AF814" s="9" t="n">
        <f aca="false">SUM(Z814:AE814)</f>
        <v>0</v>
      </c>
      <c r="AG814" s="10"/>
      <c r="AH814" s="11"/>
      <c r="AI814" s="11"/>
      <c r="AJ814" s="11"/>
      <c r="AK814" s="11"/>
      <c r="AL814" s="11"/>
      <c r="AM814" s="11"/>
      <c r="AN814" s="11" t="n">
        <f aca="false">SUM(AH814:AM814)</f>
        <v>0</v>
      </c>
      <c r="AO814" s="1"/>
      <c r="AP814" s="1"/>
      <c r="AQ814" s="1"/>
      <c r="AR814" s="1"/>
    </row>
    <row r="815" customFormat="false" ht="13.8" hidden="false" customHeight="false" outlineLevel="0" collapsed="false">
      <c r="A815" s="1" t="s">
        <v>1004</v>
      </c>
      <c r="B815" s="1" t="n">
        <v>712</v>
      </c>
      <c r="C815" s="1" t="s">
        <v>984</v>
      </c>
      <c r="D815" s="1" t="s">
        <v>304</v>
      </c>
      <c r="E815" s="1" t="s">
        <v>985</v>
      </c>
      <c r="G815" s="1" t="n">
        <v>1</v>
      </c>
      <c r="H815" s="1" t="n">
        <v>1</v>
      </c>
      <c r="I815" s="8" t="n">
        <v>42</v>
      </c>
      <c r="J815" s="1" t="n">
        <v>2</v>
      </c>
      <c r="K815" s="1" t="s">
        <v>261</v>
      </c>
      <c r="L815" s="1" t="n">
        <v>0</v>
      </c>
      <c r="P815" s="1" t="n">
        <f aca="false">SUM(M815:O815)</f>
        <v>0</v>
      </c>
      <c r="W815" s="1" t="n">
        <f aca="false">SUM(Q815:V815)</f>
        <v>0</v>
      </c>
      <c r="Y815" s="1" t="n">
        <v>1</v>
      </c>
      <c r="AF815" s="9" t="n">
        <f aca="false">SUM(Z815:AE815)</f>
        <v>0</v>
      </c>
      <c r="AG815" s="10"/>
      <c r="AH815" s="11"/>
      <c r="AI815" s="11"/>
      <c r="AJ815" s="11"/>
      <c r="AK815" s="11"/>
      <c r="AL815" s="11"/>
      <c r="AM815" s="11"/>
      <c r="AN815" s="11" t="n">
        <f aca="false">SUM(AH815:AM815)</f>
        <v>0</v>
      </c>
      <c r="AO815" s="1"/>
      <c r="AP815" s="1"/>
      <c r="AQ815" s="1"/>
      <c r="AR815" s="1"/>
    </row>
    <row r="816" customFormat="false" ht="13.8" hidden="false" customHeight="false" outlineLevel="0" collapsed="false">
      <c r="A816" s="1" t="s">
        <v>1005</v>
      </c>
      <c r="B816" s="1" t="n">
        <v>931</v>
      </c>
      <c r="C816" s="1" t="s">
        <v>984</v>
      </c>
      <c r="D816" s="1" t="s">
        <v>42</v>
      </c>
      <c r="E816" s="1" t="s">
        <v>985</v>
      </c>
      <c r="F816" s="1" t="n">
        <v>3</v>
      </c>
      <c r="G816" s="1" t="n">
        <v>1</v>
      </c>
      <c r="H816" s="1" t="n">
        <v>4</v>
      </c>
      <c r="I816" s="8" t="n">
        <v>746011</v>
      </c>
      <c r="J816" s="1" t="n">
        <v>3</v>
      </c>
      <c r="K816" s="1" t="s">
        <v>46</v>
      </c>
      <c r="L816" s="1" t="n">
        <v>4</v>
      </c>
      <c r="P816" s="1" t="n">
        <f aca="false">SUM(M816:O816)</f>
        <v>0</v>
      </c>
      <c r="R816" s="1" t="n">
        <v>5</v>
      </c>
      <c r="U816" s="1" t="n">
        <v>20</v>
      </c>
      <c r="W816" s="1" t="n">
        <f aca="false">SUM(Q816:V816)</f>
        <v>25</v>
      </c>
      <c r="AA816" s="9" t="n">
        <f aca="false">(R816)*(1+(J816)*0.2)</f>
        <v>8</v>
      </c>
      <c r="AD816" s="9" t="n">
        <f aca="false">(U816)*(1+(J816)*0.2)</f>
        <v>32</v>
      </c>
      <c r="AF816" s="9" t="n">
        <f aca="false">SUM(Z816:AE816)</f>
        <v>40</v>
      </c>
      <c r="AG816" s="10" t="s">
        <v>53</v>
      </c>
      <c r="AH816" s="11"/>
      <c r="AI816" s="11" t="n">
        <f aca="false">IF(AG816="yes",AA816*1.2,AA816)</f>
        <v>8</v>
      </c>
      <c r="AJ816" s="11"/>
      <c r="AK816" s="11"/>
      <c r="AL816" s="11" t="n">
        <f aca="false">IF(AG816="yes",AD816*1.2,AD816)</f>
        <v>32</v>
      </c>
      <c r="AM816" s="11"/>
      <c r="AN816" s="11" t="n">
        <f aca="false">SUM(AH816:AM816)</f>
        <v>40</v>
      </c>
      <c r="AO816" s="1"/>
      <c r="AP816" s="1"/>
      <c r="AQ816" s="1"/>
      <c r="AR816" s="1"/>
    </row>
    <row r="817" customFormat="false" ht="13.8" hidden="false" customHeight="false" outlineLevel="0" collapsed="false">
      <c r="A817" s="1" t="s">
        <v>1006</v>
      </c>
      <c r="B817" s="1" t="n">
        <v>183</v>
      </c>
      <c r="C817" s="1" t="s">
        <v>984</v>
      </c>
      <c r="D817" s="1" t="s">
        <v>73</v>
      </c>
      <c r="E817" s="1" t="s">
        <v>985</v>
      </c>
      <c r="F817" s="1" t="n">
        <v>8</v>
      </c>
      <c r="G817" s="1" t="n">
        <v>1</v>
      </c>
      <c r="H817" s="1" t="n">
        <v>2</v>
      </c>
      <c r="I817" s="8" t="n">
        <v>348384</v>
      </c>
      <c r="J817" s="1" t="n">
        <v>2</v>
      </c>
      <c r="K817" s="1" t="s">
        <v>44</v>
      </c>
      <c r="L817" s="1" t="n">
        <v>2</v>
      </c>
      <c r="P817" s="1" t="n">
        <f aca="false">SUM(M817:O817)</f>
        <v>0</v>
      </c>
      <c r="V817" s="1" t="n">
        <v>3</v>
      </c>
      <c r="W817" s="1" t="n">
        <f aca="false">SUM(Q817:V817)</f>
        <v>3</v>
      </c>
      <c r="X817" s="1" t="n">
        <v>1</v>
      </c>
      <c r="Y817" s="1" t="n">
        <v>2</v>
      </c>
      <c r="AE817" s="9" t="n">
        <f aca="false">(V817)*(1+(J817)*0.2)</f>
        <v>4.2</v>
      </c>
      <c r="AF817" s="9" t="n">
        <f aca="false">SUM(Z817:AE817)</f>
        <v>4.2</v>
      </c>
      <c r="AG817" s="10" t="s">
        <v>47</v>
      </c>
      <c r="AH817" s="11"/>
      <c r="AI817" s="11"/>
      <c r="AJ817" s="11"/>
      <c r="AK817" s="11"/>
      <c r="AL817" s="11"/>
      <c r="AM817" s="11" t="n">
        <f aca="false">IF(AG817="yes",AE817*1.2,AE817)</f>
        <v>5.04</v>
      </c>
      <c r="AN817" s="11" t="n">
        <f aca="false">SUM(AH817:AM817)</f>
        <v>5.04</v>
      </c>
      <c r="AO817" s="1"/>
      <c r="AP817" s="1"/>
      <c r="AQ817" s="1"/>
      <c r="AR817" s="1"/>
    </row>
    <row r="818" customFormat="false" ht="13.8" hidden="false" customHeight="false" outlineLevel="0" collapsed="false">
      <c r="A818" s="1" t="s">
        <v>1007</v>
      </c>
      <c r="B818" s="1" t="n">
        <v>710</v>
      </c>
      <c r="C818" s="1" t="s">
        <v>984</v>
      </c>
      <c r="D818" s="1" t="s">
        <v>304</v>
      </c>
      <c r="E818" s="1" t="s">
        <v>985</v>
      </c>
      <c r="G818" s="1" t="n">
        <v>1</v>
      </c>
      <c r="H818" s="1" t="n">
        <v>1</v>
      </c>
      <c r="I818" s="8" t="n">
        <v>2150</v>
      </c>
      <c r="J818" s="1" t="n">
        <v>2</v>
      </c>
      <c r="K818" s="1" t="s">
        <v>261</v>
      </c>
      <c r="L818" s="1" t="n">
        <v>0</v>
      </c>
      <c r="P818" s="1" t="n">
        <f aca="false">SUM(M818:O818)</f>
        <v>0</v>
      </c>
      <c r="W818" s="1" t="n">
        <f aca="false">SUM(Q818:V818)</f>
        <v>0</v>
      </c>
      <c r="Y818" s="1" t="n">
        <v>1</v>
      </c>
      <c r="AF818" s="9" t="n">
        <f aca="false">SUM(Z818:AE818)</f>
        <v>0</v>
      </c>
      <c r="AG818" s="10"/>
      <c r="AH818" s="11"/>
      <c r="AI818" s="11"/>
      <c r="AJ818" s="11"/>
      <c r="AK818" s="11"/>
      <c r="AL818" s="11"/>
      <c r="AM818" s="11"/>
      <c r="AN818" s="11" t="n">
        <f aca="false">SUM(AH818:AM818)</f>
        <v>0</v>
      </c>
      <c r="AO818" s="1"/>
      <c r="AP818" s="1"/>
      <c r="AQ818" s="1"/>
      <c r="AR818" s="1"/>
    </row>
    <row r="819" customFormat="false" ht="13.8" hidden="false" customHeight="false" outlineLevel="0" collapsed="false">
      <c r="A819" s="1" t="s">
        <v>1008</v>
      </c>
      <c r="B819" s="1" t="n">
        <v>125</v>
      </c>
      <c r="C819" s="1" t="s">
        <v>984</v>
      </c>
      <c r="D819" s="1" t="s">
        <v>42</v>
      </c>
      <c r="E819" s="1" t="s">
        <v>985</v>
      </c>
      <c r="F819" s="1" t="n">
        <v>5</v>
      </c>
      <c r="G819" s="1" t="n">
        <v>1</v>
      </c>
      <c r="H819" s="1" t="n">
        <v>7</v>
      </c>
      <c r="I819" s="8" t="n">
        <v>1364838</v>
      </c>
      <c r="J819" s="1" t="n">
        <v>4</v>
      </c>
      <c r="K819" s="1" t="s">
        <v>96</v>
      </c>
      <c r="L819" s="1" t="n">
        <v>6</v>
      </c>
      <c r="M819" s="1" t="n">
        <v>1</v>
      </c>
      <c r="O819" s="1" t="n">
        <v>3</v>
      </c>
      <c r="P819" s="1" t="n">
        <f aca="false">SUM(M819:O819)</f>
        <v>4</v>
      </c>
      <c r="W819" s="1" t="n">
        <f aca="false">SUM(Q819:V819)</f>
        <v>0</v>
      </c>
      <c r="X819" s="1" t="n">
        <v>10</v>
      </c>
      <c r="Y819" s="1" t="n">
        <v>3</v>
      </c>
      <c r="AA819" s="9"/>
      <c r="AD819" s="9"/>
      <c r="AF819" s="9" t="n">
        <f aca="false">SUM(Z819:AE819)</f>
        <v>0</v>
      </c>
      <c r="AG819" s="10"/>
      <c r="AH819" s="11"/>
      <c r="AI819" s="11"/>
      <c r="AJ819" s="11"/>
      <c r="AK819" s="11"/>
      <c r="AL819" s="11"/>
      <c r="AM819" s="11"/>
      <c r="AN819" s="11" t="n">
        <f aca="false">SUM(AH819:AM819)</f>
        <v>0</v>
      </c>
      <c r="AO819" s="1"/>
      <c r="AP819" s="1"/>
      <c r="AQ819" s="1"/>
      <c r="AR819" s="1"/>
    </row>
    <row r="820" customFormat="false" ht="13.8" hidden="false" customHeight="false" outlineLevel="0" collapsed="false">
      <c r="A820" s="1" t="s">
        <v>1009</v>
      </c>
      <c r="B820" s="1" t="n">
        <v>129</v>
      </c>
      <c r="C820" s="1" t="s">
        <v>984</v>
      </c>
      <c r="D820" s="1" t="s">
        <v>42</v>
      </c>
      <c r="E820" s="1" t="s">
        <v>985</v>
      </c>
      <c r="F820" s="1" t="n">
        <v>13</v>
      </c>
      <c r="G820" s="1" t="n">
        <v>1</v>
      </c>
      <c r="H820" s="1" t="n">
        <v>7</v>
      </c>
      <c r="I820" s="8" t="n">
        <v>2214721</v>
      </c>
      <c r="J820" s="1" t="n">
        <v>4</v>
      </c>
      <c r="K820" s="1" t="s">
        <v>96</v>
      </c>
      <c r="L820" s="1" t="n">
        <v>6</v>
      </c>
      <c r="M820" s="1" t="n">
        <v>2</v>
      </c>
      <c r="O820" s="1" t="n">
        <v>1</v>
      </c>
      <c r="P820" s="1" t="n">
        <f aca="false">SUM(M820:O820)</f>
        <v>3</v>
      </c>
      <c r="U820" s="1" t="n">
        <v>11</v>
      </c>
      <c r="W820" s="1" t="n">
        <f aca="false">SUM(Q820:V820)</f>
        <v>11</v>
      </c>
      <c r="X820" s="1" t="n">
        <v>5</v>
      </c>
      <c r="AD820" s="9" t="n">
        <f aca="false">(U820)*(1+(J820)*0.2)</f>
        <v>19.8</v>
      </c>
      <c r="AF820" s="9" t="n">
        <f aca="false">SUM(Z820:AE820)</f>
        <v>19.8</v>
      </c>
      <c r="AG820" s="10" t="s">
        <v>53</v>
      </c>
      <c r="AH820" s="11"/>
      <c r="AI820" s="11"/>
      <c r="AJ820" s="11"/>
      <c r="AK820" s="11"/>
      <c r="AL820" s="11" t="n">
        <f aca="false">IF(AG820="yes",AD820*1.2,AD820)</f>
        <v>19.8</v>
      </c>
      <c r="AM820" s="11"/>
      <c r="AN820" s="11" t="n">
        <f aca="false">SUM(AH820:AM820)</f>
        <v>19.8</v>
      </c>
      <c r="AO820" s="1"/>
      <c r="AP820" s="1"/>
      <c r="AQ820" s="1"/>
      <c r="AR820" s="1"/>
    </row>
    <row r="821" customFormat="false" ht="13.8" hidden="false" customHeight="false" outlineLevel="0" collapsed="false">
      <c r="A821" s="1" t="s">
        <v>1010</v>
      </c>
      <c r="B821" s="1" t="n">
        <v>457</v>
      </c>
      <c r="C821" s="1" t="s">
        <v>984</v>
      </c>
      <c r="D821" s="1" t="s">
        <v>73</v>
      </c>
      <c r="E821" s="1" t="s">
        <v>985</v>
      </c>
      <c r="F821" s="1" t="n">
        <v>1</v>
      </c>
      <c r="G821" s="1" t="n">
        <v>1</v>
      </c>
      <c r="H821" s="1" t="n">
        <v>9</v>
      </c>
      <c r="I821" s="8" t="n">
        <v>2197</v>
      </c>
      <c r="J821" s="1" t="n">
        <v>1</v>
      </c>
      <c r="K821" s="1" t="s">
        <v>76</v>
      </c>
      <c r="L821" s="1" t="n">
        <v>0</v>
      </c>
      <c r="P821" s="1" t="n">
        <f aca="false">SUM(M821:O821)</f>
        <v>0</v>
      </c>
      <c r="W821" s="1" t="n">
        <f aca="false">SUM(Q821:V821)</f>
        <v>0</v>
      </c>
      <c r="AF821" s="9" t="n">
        <f aca="false">SUM(Z821:AE821)</f>
        <v>0</v>
      </c>
      <c r="AG821" s="10"/>
      <c r="AH821" s="11"/>
      <c r="AI821" s="11"/>
      <c r="AJ821" s="11"/>
      <c r="AK821" s="11"/>
      <c r="AL821" s="11"/>
      <c r="AM821" s="11"/>
      <c r="AN821" s="11" t="n">
        <f aca="false">SUM(AH821:AM821)</f>
        <v>0</v>
      </c>
      <c r="AO821" s="1"/>
      <c r="AP821" s="1"/>
      <c r="AQ821" s="1"/>
      <c r="AR821" s="1"/>
    </row>
    <row r="822" customFormat="false" ht="13.8" hidden="false" customHeight="false" outlineLevel="0" collapsed="false">
      <c r="A822" s="1" t="s">
        <v>1011</v>
      </c>
      <c r="B822" s="1" t="n">
        <v>643</v>
      </c>
      <c r="C822" s="1" t="s">
        <v>984</v>
      </c>
      <c r="D822" s="1" t="s">
        <v>73</v>
      </c>
      <c r="E822" s="1" t="s">
        <v>985</v>
      </c>
      <c r="G822" s="1" t="n">
        <v>1</v>
      </c>
      <c r="H822" s="1" t="n">
        <v>4</v>
      </c>
      <c r="I822" s="8" t="n">
        <v>494</v>
      </c>
      <c r="J822" s="1" t="n">
        <v>2</v>
      </c>
      <c r="K822" s="1" t="s">
        <v>84</v>
      </c>
      <c r="L822" s="1" t="n">
        <v>1</v>
      </c>
      <c r="P822" s="1" t="n">
        <f aca="false">SUM(M822:O822)</f>
        <v>0</v>
      </c>
      <c r="W822" s="1" t="n">
        <f aca="false">SUM(Q822:V822)</f>
        <v>0</v>
      </c>
      <c r="Y822" s="1" t="n">
        <v>2</v>
      </c>
      <c r="AC822" s="9"/>
      <c r="AF822" s="9" t="n">
        <f aca="false">SUM(Z822:AE822)</f>
        <v>0</v>
      </c>
      <c r="AG822" s="10"/>
      <c r="AH822" s="11"/>
      <c r="AI822" s="11"/>
      <c r="AJ822" s="11"/>
      <c r="AK822" s="11"/>
      <c r="AL822" s="11"/>
      <c r="AM822" s="11"/>
      <c r="AN822" s="11" t="n">
        <f aca="false">SUM(AH822:AM822)</f>
        <v>0</v>
      </c>
      <c r="AO822" s="1"/>
      <c r="AP822" s="1"/>
      <c r="AQ822" s="1"/>
      <c r="AR822" s="1"/>
    </row>
    <row r="823" customFormat="false" ht="13.8" hidden="false" customHeight="false" outlineLevel="0" collapsed="false">
      <c r="A823" s="1" t="s">
        <v>1012</v>
      </c>
      <c r="B823" s="1" t="n">
        <v>299</v>
      </c>
      <c r="C823" s="1" t="s">
        <v>984</v>
      </c>
      <c r="D823" s="1" t="s">
        <v>304</v>
      </c>
      <c r="E823" s="1" t="s">
        <v>985</v>
      </c>
      <c r="F823" s="13" t="n">
        <v>1</v>
      </c>
      <c r="G823" s="1" t="n">
        <v>1</v>
      </c>
      <c r="H823" s="13" t="n">
        <v>2</v>
      </c>
      <c r="I823" s="8" t="n">
        <v>2466</v>
      </c>
      <c r="J823" s="1" t="n">
        <v>1</v>
      </c>
      <c r="K823" s="1" t="s">
        <v>295</v>
      </c>
      <c r="L823" s="1" t="n">
        <v>0</v>
      </c>
      <c r="P823" s="1" t="n">
        <f aca="false">SUM(M823:O823)</f>
        <v>0</v>
      </c>
      <c r="W823" s="1" t="n">
        <f aca="false">SUM(Q823:V823)</f>
        <v>0</v>
      </c>
      <c r="Y823" s="1" t="n">
        <v>1</v>
      </c>
      <c r="AF823" s="9" t="n">
        <f aca="false">SUM(Z823:AE823)</f>
        <v>0</v>
      </c>
      <c r="AG823" s="10"/>
      <c r="AH823" s="11"/>
      <c r="AI823" s="11"/>
      <c r="AJ823" s="11"/>
      <c r="AK823" s="11"/>
      <c r="AL823" s="11"/>
      <c r="AM823" s="11"/>
      <c r="AN823" s="11" t="n">
        <f aca="false">SUM(AH823:AM823)</f>
        <v>0</v>
      </c>
      <c r="AO823" s="1"/>
      <c r="AP823" s="1"/>
      <c r="AQ823" s="1"/>
      <c r="AR823" s="1"/>
    </row>
    <row r="824" customFormat="false" ht="13.8" hidden="false" customHeight="false" outlineLevel="0" collapsed="false">
      <c r="A824" s="1" t="s">
        <v>1013</v>
      </c>
      <c r="B824" s="1" t="n">
        <v>636</v>
      </c>
      <c r="C824" s="1" t="s">
        <v>984</v>
      </c>
      <c r="D824" s="1" t="s">
        <v>73</v>
      </c>
      <c r="E824" s="1" t="s">
        <v>985</v>
      </c>
      <c r="F824" s="1" t="n">
        <v>1</v>
      </c>
      <c r="G824" s="1" t="n">
        <v>1</v>
      </c>
      <c r="H824" s="1" t="n">
        <v>3</v>
      </c>
      <c r="I824" s="8" t="n">
        <v>180220</v>
      </c>
      <c r="J824" s="1" t="n">
        <v>2</v>
      </c>
      <c r="K824" s="1" t="s">
        <v>84</v>
      </c>
      <c r="L824" s="1" t="n">
        <v>1</v>
      </c>
      <c r="P824" s="1" t="n">
        <f aca="false">SUM(M824:O824)</f>
        <v>0</v>
      </c>
      <c r="W824" s="1" t="n">
        <f aca="false">SUM(Q824:V824)</f>
        <v>0</v>
      </c>
      <c r="Y824" s="1" t="n">
        <v>1</v>
      </c>
      <c r="AF824" s="9" t="n">
        <f aca="false">SUM(Z824:AE824)</f>
        <v>0</v>
      </c>
      <c r="AG824" s="10"/>
      <c r="AH824" s="11"/>
      <c r="AI824" s="11"/>
      <c r="AJ824" s="11"/>
      <c r="AK824" s="11"/>
      <c r="AL824" s="11"/>
      <c r="AM824" s="11"/>
      <c r="AN824" s="11" t="n">
        <f aca="false">SUM(AH824:AM824)</f>
        <v>0</v>
      </c>
      <c r="AO824" s="1"/>
      <c r="AP824" s="1"/>
      <c r="AQ824" s="1"/>
      <c r="AR824" s="1"/>
    </row>
    <row r="825" customFormat="false" ht="13.8" hidden="false" customHeight="false" outlineLevel="0" collapsed="false">
      <c r="A825" s="1" t="s">
        <v>1014</v>
      </c>
      <c r="B825" s="1" t="n">
        <v>701</v>
      </c>
      <c r="C825" s="1" t="s">
        <v>984</v>
      </c>
      <c r="D825" s="1" t="s">
        <v>73</v>
      </c>
      <c r="E825" s="1" t="s">
        <v>985</v>
      </c>
      <c r="F825" s="1" t="n">
        <v>1</v>
      </c>
      <c r="G825" s="1" t="n">
        <v>1</v>
      </c>
      <c r="H825" s="1" t="n">
        <v>2</v>
      </c>
      <c r="I825" s="8" t="n">
        <v>199764</v>
      </c>
      <c r="J825" s="1" t="n">
        <v>2</v>
      </c>
      <c r="K825" s="1" t="s">
        <v>295</v>
      </c>
      <c r="L825" s="1" t="n">
        <v>0</v>
      </c>
      <c r="P825" s="1" t="n">
        <f aca="false">SUM(M825:O825)</f>
        <v>0</v>
      </c>
      <c r="W825" s="1" t="n">
        <f aca="false">SUM(Q825:V825)</f>
        <v>0</v>
      </c>
      <c r="Y825" s="1" t="n">
        <v>1</v>
      </c>
      <c r="AC825" s="9"/>
      <c r="AF825" s="9" t="n">
        <f aca="false">SUM(Z825:AE825)</f>
        <v>0</v>
      </c>
      <c r="AG825" s="10"/>
      <c r="AH825" s="11"/>
      <c r="AI825" s="11"/>
      <c r="AJ825" s="11"/>
      <c r="AK825" s="11"/>
      <c r="AL825" s="11"/>
      <c r="AM825" s="11"/>
      <c r="AN825" s="11" t="n">
        <f aca="false">SUM(AH825:AM825)</f>
        <v>0</v>
      </c>
      <c r="AO825" s="1"/>
      <c r="AP825" s="1"/>
      <c r="AQ825" s="1"/>
      <c r="AR825" s="1"/>
    </row>
    <row r="826" customFormat="false" ht="13.8" hidden="false" customHeight="false" outlineLevel="0" collapsed="false">
      <c r="A826" s="1" t="s">
        <v>1015</v>
      </c>
      <c r="B826" s="1" t="n">
        <v>903</v>
      </c>
      <c r="C826" s="1" t="s">
        <v>984</v>
      </c>
      <c r="D826" s="1" t="s">
        <v>73</v>
      </c>
      <c r="E826" s="1" t="s">
        <v>985</v>
      </c>
      <c r="G826" s="1" t="n">
        <v>1</v>
      </c>
      <c r="H826" s="1" t="n">
        <v>4</v>
      </c>
      <c r="I826" s="8" t="n">
        <v>611305</v>
      </c>
      <c r="J826" s="1" t="n">
        <v>1</v>
      </c>
      <c r="K826" s="1" t="s">
        <v>51</v>
      </c>
      <c r="L826" s="1" t="n">
        <v>1</v>
      </c>
      <c r="P826" s="1" t="n">
        <f aca="false">SUM(M826:O826)</f>
        <v>0</v>
      </c>
      <c r="W826" s="1" t="n">
        <f aca="false">SUM(Q826:V826)</f>
        <v>0</v>
      </c>
      <c r="AD826" s="9"/>
      <c r="AF826" s="9" t="n">
        <f aca="false">SUM(Z826:AE826)</f>
        <v>0</v>
      </c>
      <c r="AG826" s="10"/>
      <c r="AH826" s="11"/>
      <c r="AI826" s="11"/>
      <c r="AJ826" s="11"/>
      <c r="AK826" s="11"/>
      <c r="AL826" s="11"/>
      <c r="AM826" s="11"/>
      <c r="AN826" s="11" t="n">
        <f aca="false">SUM(AH826:AM826)</f>
        <v>0</v>
      </c>
      <c r="AO826" s="1"/>
      <c r="AP826" s="1"/>
      <c r="AQ826" s="1"/>
      <c r="AR826" s="1"/>
    </row>
    <row r="827" customFormat="false" ht="13.8" hidden="false" customHeight="false" outlineLevel="0" collapsed="false">
      <c r="A827" s="1" t="s">
        <v>1016</v>
      </c>
      <c r="B827" s="1" t="n">
        <v>274</v>
      </c>
      <c r="C827" s="1" t="s">
        <v>984</v>
      </c>
      <c r="D827" s="1" t="s">
        <v>73</v>
      </c>
      <c r="E827" s="1" t="s">
        <v>985</v>
      </c>
      <c r="F827" s="1" t="n">
        <v>1</v>
      </c>
      <c r="G827" s="1" t="n">
        <v>1</v>
      </c>
      <c r="H827" s="1" t="n">
        <v>7</v>
      </c>
      <c r="I827" s="8" t="n">
        <v>3167462</v>
      </c>
      <c r="J827" s="1" t="n">
        <v>2</v>
      </c>
      <c r="K827" s="1" t="s">
        <v>44</v>
      </c>
      <c r="L827" s="1" t="n">
        <v>2</v>
      </c>
      <c r="P827" s="1" t="n">
        <f aca="false">SUM(M827:O827)</f>
        <v>0</v>
      </c>
      <c r="T827" s="1" t="n">
        <v>8</v>
      </c>
      <c r="U827" s="1" t="n">
        <v>8</v>
      </c>
      <c r="V827" s="1" t="n">
        <v>4</v>
      </c>
      <c r="W827" s="1" t="n">
        <f aca="false">SUM(Q827:V827)</f>
        <v>20</v>
      </c>
      <c r="Y827" s="1" t="n">
        <v>2</v>
      </c>
      <c r="AC827" s="9" t="n">
        <f aca="false">(T827)*(1+(J827)*0.2)</f>
        <v>11.2</v>
      </c>
      <c r="AD827" s="9" t="n">
        <f aca="false">(U827)*(1+(J827)*0.2)</f>
        <v>11.2</v>
      </c>
      <c r="AE827" s="9" t="n">
        <f aca="false">(V827)*(1+(J827)*0.2)</f>
        <v>5.6</v>
      </c>
      <c r="AF827" s="9" t="n">
        <f aca="false">SUM(Z827:AE827)</f>
        <v>28</v>
      </c>
      <c r="AG827" s="21" t="s">
        <v>47</v>
      </c>
      <c r="AH827" s="11"/>
      <c r="AI827" s="11"/>
      <c r="AJ827" s="11"/>
      <c r="AK827" s="11" t="n">
        <f aca="false">IF(AG827="yes",AC827*1.2,AC827)</f>
        <v>13.44</v>
      </c>
      <c r="AL827" s="11" t="n">
        <f aca="false">IF(AG827="yes",AD827*1.2,AD827)</f>
        <v>13.44</v>
      </c>
      <c r="AM827" s="11" t="n">
        <f aca="false">IF(AG827="yes",AE827*1.2,AE827)</f>
        <v>6.72</v>
      </c>
      <c r="AN827" s="11" t="n">
        <f aca="false">SUM(AH827:AM827)</f>
        <v>33.6</v>
      </c>
      <c r="AO827" s="1"/>
      <c r="AP827" s="1"/>
      <c r="AQ827" s="1"/>
      <c r="AR827" s="1"/>
    </row>
    <row r="828" customFormat="false" ht="13.8" hidden="false" customHeight="false" outlineLevel="0" collapsed="false">
      <c r="A828" s="1" t="s">
        <v>1017</v>
      </c>
      <c r="B828" s="1" t="n">
        <v>118</v>
      </c>
      <c r="C828" s="1" t="s">
        <v>984</v>
      </c>
      <c r="D828" s="1" t="s">
        <v>304</v>
      </c>
      <c r="E828" s="1" t="s">
        <v>985</v>
      </c>
      <c r="F828" s="1" t="n">
        <v>10</v>
      </c>
      <c r="G828" s="1" t="n">
        <v>1</v>
      </c>
      <c r="H828" s="1" t="n">
        <v>1</v>
      </c>
      <c r="I828" s="8" t="n">
        <v>21398</v>
      </c>
      <c r="J828" s="1" t="n">
        <v>3</v>
      </c>
      <c r="K828" s="1" t="s">
        <v>295</v>
      </c>
      <c r="L828" s="1" t="n">
        <v>0</v>
      </c>
      <c r="P828" s="1" t="n">
        <f aca="false">SUM(M828:O828)</f>
        <v>0</v>
      </c>
      <c r="W828" s="1" t="n">
        <f aca="false">SUM(Q828:V828)</f>
        <v>0</v>
      </c>
      <c r="X828" s="1" t="n">
        <v>2</v>
      </c>
      <c r="Y828" s="1" t="n">
        <v>5</v>
      </c>
      <c r="AF828" s="9" t="n">
        <f aca="false">SUM(Z828:AE828)</f>
        <v>0</v>
      </c>
      <c r="AG828" s="10"/>
      <c r="AH828" s="11"/>
      <c r="AI828" s="11"/>
      <c r="AJ828" s="11"/>
      <c r="AK828" s="11"/>
      <c r="AL828" s="11"/>
      <c r="AM828" s="11"/>
      <c r="AN828" s="11" t="n">
        <f aca="false">SUM(AH828:AM828)</f>
        <v>0</v>
      </c>
      <c r="AO828" s="1"/>
      <c r="AP828" s="1"/>
      <c r="AQ828" s="1"/>
      <c r="AR828" s="1"/>
    </row>
    <row r="829" customFormat="false" ht="13.8" hidden="false" customHeight="false" outlineLevel="0" collapsed="false">
      <c r="A829" s="1" t="s">
        <v>1018</v>
      </c>
      <c r="B829" s="1" t="n">
        <v>639</v>
      </c>
      <c r="C829" s="1" t="s">
        <v>984</v>
      </c>
      <c r="D829" s="1" t="s">
        <v>73</v>
      </c>
      <c r="E829" s="1" t="s">
        <v>985</v>
      </c>
      <c r="F829" s="1" t="n">
        <v>1</v>
      </c>
      <c r="G829" s="1" t="n">
        <v>1</v>
      </c>
      <c r="H829" s="1" t="n">
        <v>5</v>
      </c>
      <c r="I829" s="8" t="n">
        <v>1036</v>
      </c>
      <c r="J829" s="1" t="n">
        <v>2</v>
      </c>
      <c r="K829" s="1" t="s">
        <v>84</v>
      </c>
      <c r="L829" s="1" t="n">
        <v>1</v>
      </c>
      <c r="P829" s="1" t="n">
        <f aca="false">SUM(M829:O829)</f>
        <v>0</v>
      </c>
      <c r="W829" s="1" t="n">
        <f aca="false">SUM(Q829:V829)</f>
        <v>0</v>
      </c>
      <c r="Y829" s="1" t="n">
        <v>4</v>
      </c>
      <c r="AE829" s="20"/>
      <c r="AF829" s="9" t="n">
        <f aca="false">SUM(Z829:AE829)</f>
        <v>0</v>
      </c>
      <c r="AG829" s="10"/>
      <c r="AH829" s="11"/>
      <c r="AI829" s="11"/>
      <c r="AJ829" s="11"/>
      <c r="AK829" s="11"/>
      <c r="AL829" s="11"/>
      <c r="AM829" s="11"/>
      <c r="AN829" s="11" t="n">
        <f aca="false">SUM(AH829:AM829)</f>
        <v>0</v>
      </c>
      <c r="AO829" s="1"/>
      <c r="AP829" s="1"/>
      <c r="AQ829" s="1"/>
      <c r="AR829" s="1"/>
    </row>
    <row r="830" customFormat="false" ht="13.8" hidden="false" customHeight="false" outlineLevel="0" collapsed="false">
      <c r="A830" s="1" t="s">
        <v>1019</v>
      </c>
      <c r="B830" s="1" t="n">
        <v>338</v>
      </c>
      <c r="C830" s="1" t="s">
        <v>984</v>
      </c>
      <c r="D830" s="1" t="s">
        <v>42</v>
      </c>
      <c r="E830" s="1" t="s">
        <v>985</v>
      </c>
      <c r="F830" s="1" t="n">
        <v>5</v>
      </c>
      <c r="G830" s="1" t="n">
        <v>1</v>
      </c>
      <c r="H830" s="1" t="n">
        <v>6</v>
      </c>
      <c r="I830" s="8" t="n">
        <v>1802813</v>
      </c>
      <c r="J830" s="1" t="n">
        <v>4</v>
      </c>
      <c r="K830" s="1" t="s">
        <v>96</v>
      </c>
      <c r="L830" s="1" t="n">
        <v>6</v>
      </c>
      <c r="M830" s="1" t="n">
        <v>1</v>
      </c>
      <c r="O830" s="1" t="n">
        <v>1</v>
      </c>
      <c r="P830" s="1" t="n">
        <f aca="false">SUM(M830:O830)</f>
        <v>2</v>
      </c>
      <c r="U830" s="1" t="n">
        <v>9</v>
      </c>
      <c r="W830" s="1" t="n">
        <f aca="false">SUM(Q830:V830)</f>
        <v>9</v>
      </c>
      <c r="X830" s="1" t="n">
        <v>2</v>
      </c>
      <c r="Y830" s="1" t="n">
        <v>2</v>
      </c>
      <c r="AD830" s="9" t="n">
        <f aca="false">(U830)*(1+(J830)*0.2)</f>
        <v>16.2</v>
      </c>
      <c r="AF830" s="9" t="n">
        <f aca="false">SUM(Z830:AE830)</f>
        <v>16.2</v>
      </c>
      <c r="AG830" s="10" t="s">
        <v>47</v>
      </c>
      <c r="AH830" s="11"/>
      <c r="AI830" s="11"/>
      <c r="AJ830" s="11"/>
      <c r="AK830" s="11"/>
      <c r="AL830" s="11" t="n">
        <f aca="false">IF(AG830="yes",AD830*1.2,AD830)</f>
        <v>19.44</v>
      </c>
      <c r="AM830" s="11"/>
      <c r="AN830" s="11" t="n">
        <f aca="false">SUM(AH830:AM830)</f>
        <v>19.44</v>
      </c>
      <c r="AO830" s="1"/>
      <c r="AP830" s="1"/>
      <c r="AQ830" s="1"/>
      <c r="AR830" s="1"/>
    </row>
    <row r="831" customFormat="false" ht="13.8" hidden="false" customHeight="false" outlineLevel="0" collapsed="false">
      <c r="A831" s="1" t="s">
        <v>1020</v>
      </c>
      <c r="B831" s="1" t="n">
        <v>126</v>
      </c>
      <c r="C831" s="1" t="s">
        <v>984</v>
      </c>
      <c r="D831" s="1" t="s">
        <v>42</v>
      </c>
      <c r="E831" s="1" t="s">
        <v>985</v>
      </c>
      <c r="F831" s="1" t="n">
        <v>50</v>
      </c>
      <c r="G831" s="1" t="n">
        <v>1</v>
      </c>
      <c r="H831" s="1" t="n">
        <v>4</v>
      </c>
      <c r="I831" s="8" t="n">
        <v>9836289</v>
      </c>
      <c r="J831" s="1" t="n">
        <v>5</v>
      </c>
      <c r="K831" s="1" t="s">
        <v>381</v>
      </c>
      <c r="L831" s="1" t="n">
        <v>12</v>
      </c>
      <c r="M831" s="1" t="n">
        <v>3</v>
      </c>
      <c r="N831" s="1" t="n">
        <v>1</v>
      </c>
      <c r="O831" s="1" t="n">
        <v>3</v>
      </c>
      <c r="P831" s="1" t="n">
        <f aca="false">SUM(M831:O831)</f>
        <v>7</v>
      </c>
      <c r="W831" s="1" t="n">
        <f aca="false">SUM(Q831:V831)</f>
        <v>0</v>
      </c>
      <c r="X831" s="1" t="n">
        <v>10</v>
      </c>
      <c r="Y831" s="1" t="n">
        <v>10</v>
      </c>
      <c r="AF831" s="9" t="n">
        <f aca="false">SUM(Z831:AE831)</f>
        <v>0</v>
      </c>
      <c r="AG831" s="10"/>
      <c r="AH831" s="11"/>
      <c r="AI831" s="11"/>
      <c r="AJ831" s="11"/>
      <c r="AK831" s="11"/>
      <c r="AL831" s="11"/>
      <c r="AM831" s="11"/>
      <c r="AN831" s="11" t="n">
        <f aca="false">SUM(AH831:AM831)</f>
        <v>0</v>
      </c>
      <c r="AO831" s="1"/>
      <c r="AP831" s="1"/>
      <c r="AQ831" s="1"/>
      <c r="AR831" s="1"/>
    </row>
    <row r="832" customFormat="false" ht="13.8" hidden="false" customHeight="false" outlineLevel="0" collapsed="false">
      <c r="A832" s="1" t="s">
        <v>1021</v>
      </c>
      <c r="B832" s="1" t="n">
        <v>326</v>
      </c>
      <c r="C832" s="1" t="s">
        <v>984</v>
      </c>
      <c r="D832" s="1" t="s">
        <v>73</v>
      </c>
      <c r="E832" s="1" t="s">
        <v>985</v>
      </c>
      <c r="F832" s="1" t="n">
        <v>3</v>
      </c>
      <c r="G832" s="1" t="n">
        <v>1</v>
      </c>
      <c r="H832" s="1" t="n">
        <v>1</v>
      </c>
      <c r="I832" s="8" t="n">
        <v>1144912</v>
      </c>
      <c r="J832" s="1" t="n">
        <v>3</v>
      </c>
      <c r="K832" s="1" t="s">
        <v>120</v>
      </c>
      <c r="L832" s="1" t="n">
        <v>5</v>
      </c>
      <c r="P832" s="1" t="n">
        <f aca="false">SUM(M832:O832)</f>
        <v>0</v>
      </c>
      <c r="W832" s="1" t="n">
        <f aca="false">SUM(Q832:V832)</f>
        <v>0</v>
      </c>
      <c r="X832" s="1" t="n">
        <v>1</v>
      </c>
      <c r="Y832" s="1" t="n">
        <v>6</v>
      </c>
      <c r="AF832" s="9" t="n">
        <f aca="false">SUM(Z832:AE832)</f>
        <v>0</v>
      </c>
      <c r="AG832" s="10"/>
      <c r="AH832" s="11"/>
      <c r="AI832" s="11"/>
      <c r="AJ832" s="11"/>
      <c r="AK832" s="11"/>
      <c r="AL832" s="11"/>
      <c r="AM832" s="11"/>
      <c r="AN832" s="11" t="n">
        <f aca="false">SUM(AH832:AM832)</f>
        <v>0</v>
      </c>
      <c r="AO832" s="1"/>
      <c r="AP832" s="1"/>
      <c r="AQ832" s="1"/>
      <c r="AR832" s="1"/>
    </row>
    <row r="833" customFormat="false" ht="13.8" hidden="false" customHeight="false" outlineLevel="0" collapsed="false">
      <c r="A833" s="1" t="s">
        <v>1022</v>
      </c>
      <c r="B833" s="1" t="n">
        <v>932</v>
      </c>
      <c r="C833" s="1" t="s">
        <v>984</v>
      </c>
      <c r="D833" s="1" t="s">
        <v>42</v>
      </c>
      <c r="E833" s="1" t="s">
        <v>985</v>
      </c>
      <c r="F833" s="1" t="n">
        <v>1</v>
      </c>
      <c r="G833" s="1" t="n">
        <v>1</v>
      </c>
      <c r="H833" s="1" t="n">
        <v>1</v>
      </c>
      <c r="I833" s="8" t="n">
        <v>51062</v>
      </c>
      <c r="J833" s="1" t="n">
        <v>3</v>
      </c>
      <c r="K833" s="1" t="s">
        <v>84</v>
      </c>
      <c r="L833" s="1" t="n">
        <v>1</v>
      </c>
      <c r="P833" s="1" t="n">
        <f aca="false">SUM(M833:O833)</f>
        <v>0</v>
      </c>
      <c r="W833" s="1" t="n">
        <f aca="false">SUM(Q833:V833)</f>
        <v>0</v>
      </c>
      <c r="Y833" s="1" t="n">
        <v>1</v>
      </c>
      <c r="AF833" s="9" t="n">
        <f aca="false">SUM(Z833:AE833)</f>
        <v>0</v>
      </c>
      <c r="AG833" s="10"/>
      <c r="AH833" s="11"/>
      <c r="AI833" s="11"/>
      <c r="AJ833" s="11"/>
      <c r="AK833" s="11"/>
      <c r="AL833" s="11"/>
      <c r="AM833" s="11"/>
      <c r="AN833" s="11" t="n">
        <f aca="false">SUM(AH833:AM833)</f>
        <v>0</v>
      </c>
      <c r="AO833" s="1"/>
      <c r="AP833" s="1"/>
      <c r="AQ833" s="1"/>
      <c r="AR833" s="1"/>
    </row>
    <row r="834" customFormat="false" ht="13.8" hidden="false" customHeight="false" outlineLevel="0" collapsed="false">
      <c r="A834" s="1" t="s">
        <v>1023</v>
      </c>
      <c r="B834" s="1" t="n">
        <v>689</v>
      </c>
      <c r="C834" s="1" t="s">
        <v>984</v>
      </c>
      <c r="D834" s="1" t="s">
        <v>73</v>
      </c>
      <c r="E834" s="1" t="s">
        <v>985</v>
      </c>
      <c r="F834" s="1" t="n">
        <v>1</v>
      </c>
      <c r="G834" s="1" t="n">
        <v>1</v>
      </c>
      <c r="H834" s="1" t="n">
        <v>2</v>
      </c>
      <c r="I834" s="8" t="n">
        <v>1076312</v>
      </c>
      <c r="J834" s="1" t="n">
        <v>2</v>
      </c>
      <c r="K834" s="1" t="s">
        <v>46</v>
      </c>
      <c r="L834" s="1" t="n">
        <v>4</v>
      </c>
      <c r="P834" s="1" t="n">
        <f aca="false">SUM(M834:O834)</f>
        <v>0</v>
      </c>
      <c r="W834" s="1" t="n">
        <f aca="false">SUM(Q834:V834)</f>
        <v>0</v>
      </c>
      <c r="Y834" s="1" t="n">
        <v>1</v>
      </c>
      <c r="AF834" s="9" t="n">
        <f aca="false">SUM(Z834:AE834)</f>
        <v>0</v>
      </c>
      <c r="AG834" s="10"/>
      <c r="AH834" s="11"/>
      <c r="AI834" s="11"/>
      <c r="AJ834" s="11"/>
      <c r="AK834" s="11"/>
      <c r="AL834" s="11"/>
      <c r="AM834" s="11"/>
      <c r="AN834" s="11" t="n">
        <f aca="false">SUM(AH834:AM834)</f>
        <v>0</v>
      </c>
      <c r="AO834" s="1"/>
      <c r="AP834" s="1"/>
      <c r="AQ834" s="1"/>
      <c r="AR834" s="1"/>
    </row>
    <row r="835" customFormat="false" ht="13.8" hidden="false" customHeight="false" outlineLevel="0" collapsed="false">
      <c r="A835" s="1" t="s">
        <v>1024</v>
      </c>
      <c r="B835" s="1" t="n">
        <v>455</v>
      </c>
      <c r="C835" s="1" t="s">
        <v>984</v>
      </c>
      <c r="D835" s="1" t="s">
        <v>73</v>
      </c>
      <c r="E835" s="1" t="s">
        <v>985</v>
      </c>
      <c r="F835" s="1" t="n">
        <v>2</v>
      </c>
      <c r="G835" s="1" t="n">
        <v>1</v>
      </c>
      <c r="H835" s="1" t="n">
        <v>13</v>
      </c>
      <c r="I835" s="8" t="n">
        <v>933138</v>
      </c>
      <c r="J835" s="1" t="n">
        <v>2</v>
      </c>
      <c r="K835" s="1" t="s">
        <v>44</v>
      </c>
      <c r="L835" s="1" t="n">
        <v>2</v>
      </c>
      <c r="O835" s="1" t="n">
        <v>1</v>
      </c>
      <c r="P835" s="1" t="n">
        <f aca="false">SUM(M835:O835)</f>
        <v>1</v>
      </c>
      <c r="W835" s="1" t="n">
        <f aca="false">SUM(Q835:V835)</f>
        <v>0</v>
      </c>
      <c r="AF835" s="9" t="n">
        <f aca="false">SUM(Z835:AE835)</f>
        <v>0</v>
      </c>
      <c r="AG835" s="10"/>
      <c r="AH835" s="11"/>
      <c r="AI835" s="11"/>
      <c r="AJ835" s="11"/>
      <c r="AK835" s="11"/>
      <c r="AL835" s="11"/>
      <c r="AM835" s="11"/>
      <c r="AN835" s="11" t="n">
        <f aca="false">SUM(AH835:AM835)</f>
        <v>0</v>
      </c>
      <c r="AO835" s="1"/>
      <c r="AP835" s="1"/>
      <c r="AQ835" s="1"/>
      <c r="AR835" s="1"/>
    </row>
    <row r="836" customFormat="false" ht="13.8" hidden="false" customHeight="false" outlineLevel="0" collapsed="false">
      <c r="A836" s="1" t="s">
        <v>1025</v>
      </c>
      <c r="B836" s="1" t="n">
        <v>883</v>
      </c>
      <c r="C836" s="1" t="s">
        <v>984</v>
      </c>
      <c r="D836" s="1" t="s">
        <v>73</v>
      </c>
      <c r="E836" s="1" t="s">
        <v>985</v>
      </c>
      <c r="F836" s="1" t="n">
        <v>1</v>
      </c>
      <c r="G836" s="1" t="n">
        <v>1</v>
      </c>
      <c r="H836" s="1" t="n">
        <v>5</v>
      </c>
      <c r="I836" s="8" t="n">
        <v>512026</v>
      </c>
      <c r="J836" s="1" t="n">
        <v>1</v>
      </c>
      <c r="K836" s="1" t="s">
        <v>44</v>
      </c>
      <c r="L836" s="1" t="n">
        <v>2</v>
      </c>
      <c r="P836" s="1" t="n">
        <f aca="false">SUM(M836:O836)</f>
        <v>0</v>
      </c>
      <c r="W836" s="1" t="n">
        <f aca="false">SUM(Q836:V836)</f>
        <v>0</v>
      </c>
      <c r="Y836" s="1" t="n">
        <v>3</v>
      </c>
      <c r="AF836" s="9" t="n">
        <f aca="false">SUM(Z836:AE836)</f>
        <v>0</v>
      </c>
      <c r="AG836" s="10"/>
      <c r="AH836" s="11"/>
      <c r="AI836" s="11"/>
      <c r="AJ836" s="11"/>
      <c r="AK836" s="11"/>
      <c r="AL836" s="11"/>
      <c r="AM836" s="11"/>
      <c r="AN836" s="11" t="n">
        <f aca="false">SUM(AH836:AM836)</f>
        <v>0</v>
      </c>
      <c r="AO836" s="1"/>
      <c r="AP836" s="1"/>
      <c r="AQ836" s="1"/>
      <c r="AR836" s="1"/>
    </row>
    <row r="837" customFormat="false" ht="13.8" hidden="false" customHeight="false" outlineLevel="0" collapsed="false">
      <c r="A837" s="1" t="s">
        <v>1026</v>
      </c>
      <c r="B837" s="1" t="n">
        <v>551</v>
      </c>
      <c r="C837" s="1" t="s">
        <v>984</v>
      </c>
      <c r="D837" s="1" t="s">
        <v>73</v>
      </c>
      <c r="E837" s="1" t="s">
        <v>985</v>
      </c>
      <c r="F837" s="1" t="n">
        <v>3</v>
      </c>
      <c r="G837" s="1" t="n">
        <v>1</v>
      </c>
      <c r="H837" s="1" t="n">
        <v>13</v>
      </c>
      <c r="I837" s="8" t="n">
        <v>822005</v>
      </c>
      <c r="J837" s="1" t="n">
        <v>1</v>
      </c>
      <c r="K837" s="1" t="s">
        <v>44</v>
      </c>
      <c r="L837" s="1" t="n">
        <v>2</v>
      </c>
      <c r="O837" s="1" t="n">
        <v>1</v>
      </c>
      <c r="P837" s="1" t="n">
        <f aca="false">SUM(M837:O837)</f>
        <v>1</v>
      </c>
      <c r="W837" s="1" t="n">
        <f aca="false">SUM(Q837:V837)</f>
        <v>0</v>
      </c>
      <c r="X837" s="1" t="n">
        <v>2</v>
      </c>
      <c r="AF837" s="9" t="n">
        <f aca="false">SUM(Z837:AE837)</f>
        <v>0</v>
      </c>
      <c r="AG837" s="10"/>
      <c r="AH837" s="11"/>
      <c r="AI837" s="11"/>
      <c r="AJ837" s="11"/>
      <c r="AK837" s="11"/>
      <c r="AL837" s="11"/>
      <c r="AM837" s="11"/>
      <c r="AN837" s="11" t="n">
        <f aca="false">SUM(AH837:AM837)</f>
        <v>0</v>
      </c>
      <c r="AO837" s="1"/>
      <c r="AP837" s="1"/>
      <c r="AQ837" s="1"/>
      <c r="AR837" s="1"/>
    </row>
    <row r="838" customFormat="false" ht="13.8" hidden="false" customHeight="false" outlineLevel="0" collapsed="false">
      <c r="A838" s="1" t="s">
        <v>1027</v>
      </c>
      <c r="B838" s="1" t="n">
        <v>549</v>
      </c>
      <c r="C838" s="1" t="s">
        <v>984</v>
      </c>
      <c r="D838" s="1" t="s">
        <v>73</v>
      </c>
      <c r="E838" s="1" t="s">
        <v>985</v>
      </c>
      <c r="F838" s="13"/>
      <c r="G838" s="1" t="n">
        <v>1</v>
      </c>
      <c r="H838" s="1" t="n">
        <v>9</v>
      </c>
      <c r="I838" s="8" t="n">
        <v>1804332</v>
      </c>
      <c r="J838" s="1" t="n">
        <v>2</v>
      </c>
      <c r="K838" s="1" t="s">
        <v>44</v>
      </c>
      <c r="L838" s="1" t="n">
        <v>2</v>
      </c>
      <c r="P838" s="1" t="n">
        <f aca="false">SUM(M838:O838)</f>
        <v>0</v>
      </c>
      <c r="W838" s="1" t="n">
        <f aca="false">SUM(Q838:V838)</f>
        <v>0</v>
      </c>
      <c r="AA838" s="9"/>
      <c r="AF838" s="9" t="n">
        <f aca="false">SUM(Z838:AE838)</f>
        <v>0</v>
      </c>
      <c r="AG838" s="10"/>
      <c r="AH838" s="11"/>
      <c r="AI838" s="11"/>
      <c r="AJ838" s="11"/>
      <c r="AK838" s="11"/>
      <c r="AL838" s="11"/>
      <c r="AM838" s="11"/>
      <c r="AN838" s="11" t="n">
        <f aca="false">SUM(AH838:AM838)</f>
        <v>0</v>
      </c>
      <c r="AO838" s="1"/>
      <c r="AP838" s="1"/>
      <c r="AQ838" s="1"/>
      <c r="AR838" s="1"/>
    </row>
    <row r="839" customFormat="false" ht="13.8" hidden="false" customHeight="false" outlineLevel="0" collapsed="false">
      <c r="A839" s="1" t="s">
        <v>1028</v>
      </c>
      <c r="B839" s="1" t="n">
        <v>656</v>
      </c>
      <c r="C839" s="1" t="s">
        <v>984</v>
      </c>
      <c r="D839" s="1" t="s">
        <v>73</v>
      </c>
      <c r="E839" s="1" t="s">
        <v>985</v>
      </c>
      <c r="F839" s="1" t="n">
        <v>1</v>
      </c>
      <c r="G839" s="1" t="n">
        <v>1</v>
      </c>
      <c r="H839" s="1" t="n">
        <v>1</v>
      </c>
      <c r="I839" s="8" t="n">
        <v>80098</v>
      </c>
      <c r="J839" s="1" t="n">
        <v>2</v>
      </c>
      <c r="K839" s="1" t="s">
        <v>44</v>
      </c>
      <c r="L839" s="1" t="n">
        <v>2</v>
      </c>
      <c r="P839" s="1" t="n">
        <f aca="false">SUM(M839:O839)</f>
        <v>0</v>
      </c>
      <c r="W839" s="1" t="n">
        <f aca="false">SUM(Q839:V839)</f>
        <v>0</v>
      </c>
      <c r="Y839" s="1" t="n">
        <v>4</v>
      </c>
      <c r="AF839" s="9" t="n">
        <f aca="false">SUM(Z839:AE839)</f>
        <v>0</v>
      </c>
      <c r="AG839" s="10"/>
      <c r="AH839" s="11"/>
      <c r="AI839" s="11"/>
      <c r="AJ839" s="11"/>
      <c r="AK839" s="11"/>
      <c r="AL839" s="11"/>
      <c r="AM839" s="11"/>
      <c r="AN839" s="11" t="n">
        <f aca="false">SUM(AH839:AM839)</f>
        <v>0</v>
      </c>
      <c r="AO839" s="1"/>
      <c r="AP839" s="1"/>
      <c r="AQ839" s="1"/>
      <c r="AR839" s="1"/>
    </row>
    <row r="840" customFormat="false" ht="13.8" hidden="false" customHeight="false" outlineLevel="0" collapsed="false">
      <c r="A840" s="1" t="s">
        <v>1029</v>
      </c>
      <c r="B840" s="1" t="n">
        <v>332</v>
      </c>
      <c r="C840" s="1" t="s">
        <v>984</v>
      </c>
      <c r="D840" s="1" t="s">
        <v>73</v>
      </c>
      <c r="E840" s="1" t="s">
        <v>985</v>
      </c>
      <c r="G840" s="1" t="n">
        <v>1</v>
      </c>
      <c r="H840" s="1" t="n">
        <v>7</v>
      </c>
      <c r="I840" s="8" t="n">
        <v>22206</v>
      </c>
      <c r="J840" s="1" t="n">
        <v>1</v>
      </c>
      <c r="K840" s="1" t="s">
        <v>76</v>
      </c>
      <c r="L840" s="1" t="n">
        <v>0</v>
      </c>
      <c r="P840" s="1" t="n">
        <f aca="false">SUM(M840:O840)</f>
        <v>0</v>
      </c>
      <c r="W840" s="1" t="n">
        <f aca="false">SUM(Q840:V840)</f>
        <v>0</v>
      </c>
      <c r="Y840" s="1" t="n">
        <v>1</v>
      </c>
      <c r="AF840" s="9" t="n">
        <f aca="false">SUM(Z840:AE840)</f>
        <v>0</v>
      </c>
      <c r="AG840" s="10"/>
      <c r="AH840" s="11"/>
      <c r="AI840" s="11"/>
      <c r="AJ840" s="11"/>
      <c r="AK840" s="11"/>
      <c r="AL840" s="11"/>
      <c r="AM840" s="11"/>
      <c r="AN840" s="11" t="n">
        <f aca="false">SUM(AH840:AM840)</f>
        <v>0</v>
      </c>
      <c r="AO840" s="1"/>
      <c r="AP840" s="1"/>
      <c r="AQ840" s="1"/>
      <c r="AR840" s="1"/>
    </row>
    <row r="841" customFormat="false" ht="13.8" hidden="false" customHeight="false" outlineLevel="0" collapsed="false">
      <c r="A841" s="1" t="s">
        <v>1030</v>
      </c>
      <c r="B841" s="1" t="n">
        <v>558</v>
      </c>
      <c r="C841" s="1" t="s">
        <v>984</v>
      </c>
      <c r="D841" s="1" t="s">
        <v>73</v>
      </c>
      <c r="E841" s="1" t="s">
        <v>985</v>
      </c>
      <c r="F841" s="1" t="n">
        <v>1</v>
      </c>
      <c r="G841" s="1" t="n">
        <v>1</v>
      </c>
      <c r="H841" s="1" t="n">
        <v>5</v>
      </c>
      <c r="I841" s="8" t="n">
        <v>19781117</v>
      </c>
      <c r="J841" s="1" t="n">
        <v>2</v>
      </c>
      <c r="K841" s="1" t="s">
        <v>44</v>
      </c>
      <c r="L841" s="1" t="n">
        <v>2</v>
      </c>
      <c r="M841" s="1" t="n">
        <v>0</v>
      </c>
      <c r="O841" s="1" t="n">
        <v>1</v>
      </c>
      <c r="P841" s="1" t="n">
        <f aca="false">SUM(M841:O841)</f>
        <v>1</v>
      </c>
      <c r="S841" s="1" t="n">
        <v>2</v>
      </c>
      <c r="W841" s="1" t="n">
        <f aca="false">SUM(Q841:V841)</f>
        <v>2</v>
      </c>
      <c r="Y841" s="1" t="n">
        <v>3</v>
      </c>
      <c r="AB841" s="9" t="n">
        <f aca="false">(S841)*(1+(J841)*0.2)</f>
        <v>2.8</v>
      </c>
      <c r="AF841" s="9" t="n">
        <f aca="false">SUM(Z841:AE841)</f>
        <v>2.8</v>
      </c>
      <c r="AG841" s="10" t="s">
        <v>47</v>
      </c>
      <c r="AH841" s="11"/>
      <c r="AI841" s="11"/>
      <c r="AJ841" s="11" t="n">
        <f aca="false">IF(AG841="yes",AB841*1.2,AB841)</f>
        <v>3.36</v>
      </c>
      <c r="AK841" s="11"/>
      <c r="AL841" s="11"/>
      <c r="AM841" s="11"/>
      <c r="AN841" s="11" t="n">
        <f aca="false">SUM(AH841:AM841)</f>
        <v>3.36</v>
      </c>
      <c r="AO841" s="1"/>
      <c r="AP841" s="1"/>
      <c r="AQ841" s="1"/>
      <c r="AR841" s="1"/>
    </row>
    <row r="842" customFormat="false" ht="13.8" hidden="false" customHeight="false" outlineLevel="0" collapsed="false">
      <c r="A842" s="1" t="s">
        <v>1031</v>
      </c>
      <c r="B842" s="1" t="n">
        <v>133</v>
      </c>
      <c r="C842" s="1" t="s">
        <v>984</v>
      </c>
      <c r="D842" s="1" t="s">
        <v>42</v>
      </c>
      <c r="E842" s="1" t="s">
        <v>985</v>
      </c>
      <c r="F842" s="1" t="n">
        <v>16</v>
      </c>
      <c r="G842" s="1" t="n">
        <v>1</v>
      </c>
      <c r="H842" s="1" t="n">
        <v>8</v>
      </c>
      <c r="I842" s="8" t="n">
        <v>2260479</v>
      </c>
      <c r="J842" s="1" t="n">
        <v>4</v>
      </c>
      <c r="K842" s="1" t="s">
        <v>96</v>
      </c>
      <c r="L842" s="1" t="n">
        <v>6</v>
      </c>
      <c r="N842" s="1" t="n">
        <v>4</v>
      </c>
      <c r="O842" s="1" t="n">
        <v>1</v>
      </c>
      <c r="P842" s="1" t="n">
        <f aca="false">SUM(M842:O842)</f>
        <v>5</v>
      </c>
      <c r="U842" s="1" t="n">
        <v>21</v>
      </c>
      <c r="W842" s="1" t="n">
        <f aca="false">SUM(Q842:V842)</f>
        <v>21</v>
      </c>
      <c r="X842" s="1" t="n">
        <v>3</v>
      </c>
      <c r="Y842" s="1" t="n">
        <v>2</v>
      </c>
      <c r="AD842" s="9" t="n">
        <f aca="false">(U842)*(1+(J842)*0.2)</f>
        <v>37.8</v>
      </c>
      <c r="AF842" s="9" t="n">
        <f aca="false">SUM(Z842:AE842)</f>
        <v>37.8</v>
      </c>
      <c r="AG842" s="10" t="s">
        <v>47</v>
      </c>
      <c r="AH842" s="11"/>
      <c r="AI842" s="11"/>
      <c r="AJ842" s="11"/>
      <c r="AK842" s="11"/>
      <c r="AL842" s="11" t="n">
        <f aca="false">IF(AG842="yes",AD842*1.2,AD842)</f>
        <v>45.36</v>
      </c>
      <c r="AM842" s="11"/>
      <c r="AN842" s="11" t="n">
        <f aca="false">SUM(AH842:AM842)</f>
        <v>45.36</v>
      </c>
      <c r="AO842" s="1"/>
      <c r="AP842" s="1"/>
      <c r="AQ842" s="1"/>
      <c r="AR842" s="1"/>
    </row>
    <row r="843" customFormat="false" ht="13.8" hidden="false" customHeight="false" outlineLevel="0" collapsed="false">
      <c r="A843" s="1" t="s">
        <v>1032</v>
      </c>
      <c r="B843" s="1" t="n">
        <v>132</v>
      </c>
      <c r="C843" s="1" t="s">
        <v>984</v>
      </c>
      <c r="D843" s="1" t="s">
        <v>42</v>
      </c>
      <c r="E843" s="1" t="s">
        <v>985</v>
      </c>
      <c r="F843" s="1" t="n">
        <v>35</v>
      </c>
      <c r="G843" s="1" t="n">
        <v>1</v>
      </c>
      <c r="H843" s="1" t="n">
        <v>4</v>
      </c>
      <c r="I843" s="8" t="n">
        <v>5777498</v>
      </c>
      <c r="J843" s="1" t="n">
        <v>4</v>
      </c>
      <c r="K843" s="1" t="s">
        <v>109</v>
      </c>
      <c r="L843" s="1" t="n">
        <v>10</v>
      </c>
      <c r="M843" s="1" t="n">
        <v>1</v>
      </c>
      <c r="N843" s="1" t="n">
        <v>3</v>
      </c>
      <c r="O843" s="1" t="n">
        <v>1</v>
      </c>
      <c r="P843" s="1" t="n">
        <f aca="false">SUM(M843:O843)</f>
        <v>5</v>
      </c>
      <c r="R843" s="1" t="n">
        <v>2</v>
      </c>
      <c r="U843" s="1" t="n">
        <v>31</v>
      </c>
      <c r="W843" s="1" t="n">
        <f aca="false">SUM(Q843:V843)</f>
        <v>33</v>
      </c>
      <c r="X843" s="1" t="n">
        <v>3</v>
      </c>
      <c r="Y843" s="1" t="n">
        <v>5</v>
      </c>
      <c r="AA843" s="9" t="n">
        <f aca="false">(R843)*(1+(J843)*0.2)</f>
        <v>3.6</v>
      </c>
      <c r="AD843" s="9" t="n">
        <f aca="false">(U843)*(1+(J843)*0.2)</f>
        <v>55.8</v>
      </c>
      <c r="AF843" s="9" t="n">
        <f aca="false">SUM(Z843:AE843)</f>
        <v>59.4</v>
      </c>
      <c r="AG843" s="10" t="s">
        <v>47</v>
      </c>
      <c r="AH843" s="11"/>
      <c r="AI843" s="11" t="n">
        <f aca="false">IF(AG843="yes",AA843*1.2,AA843)</f>
        <v>4.32</v>
      </c>
      <c r="AJ843" s="11"/>
      <c r="AK843" s="11"/>
      <c r="AL843" s="11" t="n">
        <f aca="false">IF(AG843="yes",AD843*1.2,AD843)</f>
        <v>66.96</v>
      </c>
      <c r="AM843" s="11"/>
      <c r="AN843" s="11" t="n">
        <f aca="false">SUM(AH843:AM843)</f>
        <v>71.28</v>
      </c>
      <c r="AO843" s="1"/>
      <c r="AP843" s="1"/>
      <c r="AQ843" s="1"/>
      <c r="AR843" s="1"/>
    </row>
    <row r="844" customFormat="false" ht="13.8" hidden="false" customHeight="false" outlineLevel="0" collapsed="false">
      <c r="A844" s="1" t="s">
        <v>1033</v>
      </c>
      <c r="B844" s="1" t="n">
        <v>308</v>
      </c>
      <c r="C844" s="1" t="s">
        <v>984</v>
      </c>
      <c r="D844" s="1" t="s">
        <v>73</v>
      </c>
      <c r="E844" s="1" t="s">
        <v>985</v>
      </c>
      <c r="G844" s="1" t="n">
        <v>1</v>
      </c>
      <c r="H844" s="1" t="n">
        <v>2</v>
      </c>
      <c r="I844" s="8" t="n">
        <v>25709</v>
      </c>
      <c r="J844" s="1" t="n">
        <v>2</v>
      </c>
      <c r="K844" s="1" t="s">
        <v>261</v>
      </c>
      <c r="L844" s="1" t="n">
        <v>0</v>
      </c>
      <c r="P844" s="1" t="n">
        <f aca="false">SUM(M844:O844)</f>
        <v>0</v>
      </c>
      <c r="W844" s="1" t="n">
        <f aca="false">SUM(Q844:V844)</f>
        <v>0</v>
      </c>
      <c r="Y844" s="1" t="n">
        <v>2</v>
      </c>
      <c r="AF844" s="9" t="n">
        <f aca="false">SUM(Z844:AE844)</f>
        <v>0</v>
      </c>
      <c r="AG844" s="10"/>
      <c r="AH844" s="11"/>
      <c r="AI844" s="11"/>
      <c r="AJ844" s="11"/>
      <c r="AK844" s="11"/>
      <c r="AL844" s="11"/>
      <c r="AM844" s="11"/>
      <c r="AN844" s="11" t="n">
        <f aca="false">SUM(AH844:AM844)</f>
        <v>0</v>
      </c>
      <c r="AO844" s="1"/>
      <c r="AP844" s="1"/>
      <c r="AQ844" s="1"/>
      <c r="AR844" s="1"/>
    </row>
    <row r="845" customFormat="false" ht="13.8" hidden="false" customHeight="false" outlineLevel="0" collapsed="false">
      <c r="A845" s="1" t="s">
        <v>1034</v>
      </c>
      <c r="B845" s="1" t="n">
        <v>121</v>
      </c>
      <c r="C845" s="1" t="s">
        <v>984</v>
      </c>
      <c r="D845" s="1" t="s">
        <v>42</v>
      </c>
      <c r="E845" s="1" t="s">
        <v>985</v>
      </c>
      <c r="F845" s="1" t="n">
        <v>11</v>
      </c>
      <c r="G845" s="1" t="n">
        <v>1</v>
      </c>
      <c r="H845" s="1" t="n">
        <v>6</v>
      </c>
      <c r="I845" s="8" t="n">
        <v>1433372</v>
      </c>
      <c r="J845" s="1" t="n">
        <v>4</v>
      </c>
      <c r="K845" s="1" t="s">
        <v>96</v>
      </c>
      <c r="L845" s="1" t="n">
        <v>6</v>
      </c>
      <c r="N845" s="1" t="n">
        <v>1</v>
      </c>
      <c r="O845" s="1" t="n">
        <v>1</v>
      </c>
      <c r="P845" s="1" t="n">
        <f aca="false">SUM(M845:O845)</f>
        <v>2</v>
      </c>
      <c r="W845" s="1" t="n">
        <f aca="false">SUM(Q845:V845)</f>
        <v>0</v>
      </c>
      <c r="X845" s="1" t="n">
        <v>3</v>
      </c>
      <c r="Y845" s="1" t="n">
        <v>5</v>
      </c>
      <c r="AF845" s="9" t="n">
        <f aca="false">SUM(Z845:AE845)</f>
        <v>0</v>
      </c>
      <c r="AG845" s="10"/>
      <c r="AH845" s="11"/>
      <c r="AI845" s="11"/>
      <c r="AJ845" s="11"/>
      <c r="AK845" s="11"/>
      <c r="AL845" s="11"/>
      <c r="AM845" s="11"/>
      <c r="AN845" s="11" t="n">
        <f aca="false">SUM(AH845:AM845)</f>
        <v>0</v>
      </c>
      <c r="AO845" s="1"/>
      <c r="AP845" s="1"/>
      <c r="AQ845" s="1"/>
      <c r="AR845" s="1"/>
    </row>
    <row r="846" customFormat="false" ht="13.8" hidden="false" customHeight="false" outlineLevel="0" collapsed="false">
      <c r="A846" s="1" t="s">
        <v>1035</v>
      </c>
      <c r="B846" s="1" t="n">
        <v>770</v>
      </c>
      <c r="C846" s="1" t="s">
        <v>984</v>
      </c>
      <c r="D846" s="1" t="s">
        <v>73</v>
      </c>
      <c r="E846" s="1" t="s">
        <v>985</v>
      </c>
      <c r="F846" s="1" t="n">
        <v>1</v>
      </c>
      <c r="G846" s="1" t="n">
        <v>1</v>
      </c>
      <c r="H846" s="1" t="n">
        <v>4</v>
      </c>
      <c r="I846" s="8" t="n">
        <v>1605933</v>
      </c>
      <c r="J846" s="1" t="n">
        <v>2</v>
      </c>
      <c r="K846" s="1" t="s">
        <v>51</v>
      </c>
      <c r="L846" s="1" t="n">
        <v>1</v>
      </c>
      <c r="P846" s="1" t="n">
        <f aca="false">SUM(M846:O846)</f>
        <v>0</v>
      </c>
      <c r="W846" s="1" t="n">
        <f aca="false">SUM(Q846:V846)</f>
        <v>0</v>
      </c>
      <c r="AF846" s="9" t="n">
        <f aca="false">SUM(Z846:AE846)</f>
        <v>0</v>
      </c>
      <c r="AG846" s="10"/>
      <c r="AH846" s="11"/>
      <c r="AI846" s="11"/>
      <c r="AJ846" s="11"/>
      <c r="AK846" s="11"/>
      <c r="AL846" s="11"/>
      <c r="AM846" s="11"/>
      <c r="AN846" s="11" t="n">
        <f aca="false">SUM(AH846:AM846)</f>
        <v>0</v>
      </c>
      <c r="AO846" s="1"/>
      <c r="AP846" s="1"/>
      <c r="AQ846" s="1"/>
      <c r="AR846" s="1"/>
    </row>
    <row r="847" customFormat="false" ht="13.8" hidden="false" customHeight="false" outlineLevel="0" collapsed="false">
      <c r="A847" s="1" t="s">
        <v>1036</v>
      </c>
      <c r="B847" s="1" t="n">
        <v>281</v>
      </c>
      <c r="C847" s="1" t="s">
        <v>984</v>
      </c>
      <c r="D847" s="1" t="s">
        <v>73</v>
      </c>
      <c r="E847" s="1" t="s">
        <v>985</v>
      </c>
      <c r="F847" s="1" t="n">
        <v>1</v>
      </c>
      <c r="G847" s="1" t="n">
        <v>1</v>
      </c>
      <c r="H847" s="1" t="n">
        <v>1</v>
      </c>
      <c r="I847" s="8" t="n">
        <v>79397</v>
      </c>
      <c r="J847" s="1" t="n">
        <v>2</v>
      </c>
      <c r="K847" s="1" t="s">
        <v>295</v>
      </c>
      <c r="L847" s="1" t="n">
        <v>0</v>
      </c>
      <c r="P847" s="1" t="n">
        <f aca="false">SUM(M847:O847)</f>
        <v>0</v>
      </c>
      <c r="W847" s="1" t="n">
        <f aca="false">SUM(Q847:V847)</f>
        <v>0</v>
      </c>
      <c r="Y847" s="1" t="n">
        <v>1</v>
      </c>
      <c r="AF847" s="9" t="n">
        <f aca="false">SUM(Z847:AE847)</f>
        <v>0</v>
      </c>
      <c r="AG847" s="10"/>
      <c r="AH847" s="11"/>
      <c r="AI847" s="11"/>
      <c r="AJ847" s="11"/>
      <c r="AK847" s="11"/>
      <c r="AL847" s="11"/>
      <c r="AM847" s="11"/>
      <c r="AN847" s="11" t="n">
        <f aca="false">SUM(AH847:AM847)</f>
        <v>0</v>
      </c>
      <c r="AO847" s="1"/>
      <c r="AP847" s="1"/>
      <c r="AQ847" s="1"/>
      <c r="AR847" s="1"/>
    </row>
    <row r="848" customFormat="false" ht="13.8" hidden="false" customHeight="false" outlineLevel="0" collapsed="false">
      <c r="A848" s="1" t="s">
        <v>1037</v>
      </c>
      <c r="B848" s="1" t="n">
        <v>116</v>
      </c>
      <c r="C848" s="1" t="s">
        <v>984</v>
      </c>
      <c r="D848" s="1" t="s">
        <v>73</v>
      </c>
      <c r="E848" s="1" t="s">
        <v>985</v>
      </c>
      <c r="F848" s="1" t="n">
        <v>5</v>
      </c>
      <c r="G848" s="1" t="n">
        <v>1</v>
      </c>
      <c r="H848" s="1" t="n">
        <v>1</v>
      </c>
      <c r="I848" s="8" t="n">
        <v>241916</v>
      </c>
      <c r="J848" s="1" t="n">
        <v>2</v>
      </c>
      <c r="K848" s="1" t="s">
        <v>84</v>
      </c>
      <c r="L848" s="1" t="n">
        <v>1</v>
      </c>
      <c r="P848" s="1" t="n">
        <f aca="false">SUM(M848:O848)</f>
        <v>0</v>
      </c>
      <c r="W848" s="1" t="n">
        <f aca="false">SUM(Q848:V848)</f>
        <v>0</v>
      </c>
      <c r="X848" s="1" t="n">
        <v>3</v>
      </c>
      <c r="Y848" s="1" t="n">
        <v>3</v>
      </c>
      <c r="AF848" s="9" t="n">
        <f aca="false">SUM(Z848:AE848)</f>
        <v>0</v>
      </c>
      <c r="AG848" s="10"/>
      <c r="AH848" s="11"/>
      <c r="AI848" s="11"/>
      <c r="AJ848" s="11"/>
      <c r="AK848" s="11"/>
      <c r="AL848" s="11"/>
      <c r="AM848" s="11"/>
      <c r="AN848" s="11" t="n">
        <f aca="false">SUM(AH848:AM848)</f>
        <v>0</v>
      </c>
      <c r="AO848" s="1"/>
      <c r="AP848" s="1"/>
      <c r="AQ848" s="1"/>
      <c r="AR848" s="1"/>
    </row>
    <row r="849" customFormat="false" ht="13.8" hidden="false" customHeight="false" outlineLevel="0" collapsed="false">
      <c r="A849" s="1" t="s">
        <v>1038</v>
      </c>
      <c r="B849" s="1" t="n">
        <v>452</v>
      </c>
      <c r="C849" s="1" t="s">
        <v>984</v>
      </c>
      <c r="D849" s="1" t="s">
        <v>73</v>
      </c>
      <c r="E849" s="1" t="s">
        <v>985</v>
      </c>
      <c r="F849" s="1" t="n">
        <v>3</v>
      </c>
      <c r="G849" s="1" t="n">
        <v>1</v>
      </c>
      <c r="H849" s="1" t="n">
        <v>9</v>
      </c>
      <c r="I849" s="8" t="n">
        <v>52620</v>
      </c>
      <c r="J849" s="1" t="n">
        <v>2</v>
      </c>
      <c r="K849" s="1" t="s">
        <v>76</v>
      </c>
      <c r="L849" s="1" t="n">
        <v>0</v>
      </c>
      <c r="P849" s="1" t="n">
        <f aca="false">SUM(M849:O849)</f>
        <v>0</v>
      </c>
      <c r="W849" s="1" t="n">
        <f aca="false">SUM(Q849:V849)</f>
        <v>0</v>
      </c>
      <c r="AF849" s="9" t="n">
        <f aca="false">SUM(Z849:AE849)</f>
        <v>0</v>
      </c>
      <c r="AG849" s="10"/>
      <c r="AH849" s="11"/>
      <c r="AI849" s="11"/>
      <c r="AJ849" s="11"/>
      <c r="AK849" s="11"/>
      <c r="AL849" s="11"/>
      <c r="AM849" s="11"/>
      <c r="AN849" s="11" t="n">
        <f aca="false">SUM(AH849:AM849)</f>
        <v>0</v>
      </c>
      <c r="AO849" s="1"/>
      <c r="AP849" s="1"/>
      <c r="AQ849" s="1"/>
      <c r="AR849" s="1"/>
    </row>
    <row r="850" customFormat="false" ht="13.8" hidden="false" customHeight="false" outlineLevel="0" collapsed="false">
      <c r="A850" s="1" t="s">
        <v>1039</v>
      </c>
      <c r="B850" s="1" t="n">
        <v>707</v>
      </c>
      <c r="C850" s="1" t="s">
        <v>984</v>
      </c>
      <c r="D850" s="1" t="s">
        <v>304</v>
      </c>
      <c r="E850" s="1" t="s">
        <v>985</v>
      </c>
      <c r="G850" s="1" t="n">
        <v>1</v>
      </c>
      <c r="H850" s="1" t="n">
        <v>1</v>
      </c>
      <c r="I850" s="8" t="n">
        <v>404952</v>
      </c>
      <c r="J850" s="1" t="n">
        <v>2</v>
      </c>
      <c r="K850" s="1" t="s">
        <v>84</v>
      </c>
      <c r="L850" s="1" t="n">
        <v>1</v>
      </c>
      <c r="P850" s="1" t="n">
        <f aca="false">SUM(M850:O850)</f>
        <v>0</v>
      </c>
      <c r="W850" s="1" t="n">
        <f aca="false">SUM(Q850:V850)</f>
        <v>0</v>
      </c>
      <c r="Y850" s="1" t="n">
        <v>1</v>
      </c>
      <c r="AF850" s="9" t="n">
        <f aca="false">SUM(Z850:AE850)</f>
        <v>0</v>
      </c>
      <c r="AG850" s="10"/>
      <c r="AH850" s="11"/>
      <c r="AI850" s="11"/>
      <c r="AJ850" s="11"/>
      <c r="AK850" s="11"/>
      <c r="AL850" s="11"/>
      <c r="AM850" s="11"/>
      <c r="AN850" s="11" t="n">
        <f aca="false">SUM(AH850:AM850)</f>
        <v>0</v>
      </c>
      <c r="AO850" s="1"/>
      <c r="AP850" s="1"/>
      <c r="AQ850" s="1"/>
      <c r="AR850" s="1"/>
    </row>
    <row r="851" customFormat="false" ht="13.8" hidden="false" customHeight="false" outlineLevel="0" collapsed="false">
      <c r="A851" s="1" t="s">
        <v>1040</v>
      </c>
      <c r="B851" s="1" t="n">
        <v>905</v>
      </c>
      <c r="C851" s="1" t="s">
        <v>984</v>
      </c>
      <c r="D851" s="1" t="s">
        <v>73</v>
      </c>
      <c r="E851" s="1" t="s">
        <v>985</v>
      </c>
      <c r="F851" s="1" t="n">
        <v>1</v>
      </c>
      <c r="G851" s="1" t="n">
        <v>1</v>
      </c>
      <c r="H851" s="1" t="n">
        <v>3</v>
      </c>
      <c r="I851" s="8" t="n">
        <v>1018842</v>
      </c>
      <c r="J851" s="1" t="n">
        <v>2</v>
      </c>
      <c r="K851" s="1" t="s">
        <v>51</v>
      </c>
      <c r="L851" s="1" t="n">
        <v>1</v>
      </c>
      <c r="P851" s="1" t="n">
        <f aca="false">SUM(M851:O851)</f>
        <v>0</v>
      </c>
      <c r="W851" s="1" t="n">
        <f aca="false">SUM(Q851:V851)</f>
        <v>0</v>
      </c>
      <c r="Y851" s="1" t="n">
        <v>2</v>
      </c>
      <c r="AF851" s="9" t="n">
        <f aca="false">SUM(Z851:AE851)</f>
        <v>0</v>
      </c>
      <c r="AG851" s="10"/>
      <c r="AH851" s="11"/>
      <c r="AI851" s="11"/>
      <c r="AJ851" s="11"/>
      <c r="AK851" s="11"/>
      <c r="AL851" s="11"/>
      <c r="AM851" s="11"/>
      <c r="AN851" s="11" t="n">
        <f aca="false">SUM(AH851:AM851)</f>
        <v>0</v>
      </c>
      <c r="AO851" s="1"/>
      <c r="AP851" s="1"/>
      <c r="AQ851" s="1"/>
      <c r="AR851" s="1"/>
    </row>
    <row r="852" customFormat="false" ht="13.8" hidden="false" customHeight="false" outlineLevel="0" collapsed="false">
      <c r="A852" s="1" t="s">
        <v>1041</v>
      </c>
      <c r="B852" s="1" t="n">
        <v>547</v>
      </c>
      <c r="C852" s="1" t="s">
        <v>984</v>
      </c>
      <c r="D852" s="1" t="s">
        <v>73</v>
      </c>
      <c r="E852" s="1" t="s">
        <v>985</v>
      </c>
      <c r="F852" s="1" t="n">
        <v>2</v>
      </c>
      <c r="G852" s="1" t="n">
        <v>1</v>
      </c>
      <c r="H852" s="1" t="n">
        <v>5</v>
      </c>
      <c r="I852" s="8" t="n">
        <v>1086765</v>
      </c>
      <c r="J852" s="1" t="n">
        <v>2</v>
      </c>
      <c r="K852" s="1" t="s">
        <v>44</v>
      </c>
      <c r="L852" s="1" t="n">
        <v>2</v>
      </c>
      <c r="O852" s="1" t="n">
        <v>1</v>
      </c>
      <c r="P852" s="1" t="n">
        <f aca="false">SUM(M852:O852)</f>
        <v>1</v>
      </c>
      <c r="W852" s="1" t="n">
        <f aca="false">SUM(Q852:V852)</f>
        <v>0</v>
      </c>
      <c r="AF852" s="9" t="n">
        <f aca="false">SUM(Z852:AE852)</f>
        <v>0</v>
      </c>
      <c r="AG852" s="10"/>
      <c r="AH852" s="11"/>
      <c r="AI852" s="11"/>
      <c r="AJ852" s="11"/>
      <c r="AK852" s="11"/>
      <c r="AL852" s="11"/>
      <c r="AM852" s="11"/>
      <c r="AN852" s="11" t="n">
        <f aca="false">SUM(AH852:AM852)</f>
        <v>0</v>
      </c>
      <c r="AO852" s="1"/>
      <c r="AP852" s="1"/>
      <c r="AQ852" s="1"/>
      <c r="AR852" s="1"/>
    </row>
    <row r="853" customFormat="false" ht="13.8" hidden="false" customHeight="false" outlineLevel="0" collapsed="false">
      <c r="A853" s="1" t="s">
        <v>1042</v>
      </c>
      <c r="B853" s="1" t="n">
        <v>725</v>
      </c>
      <c r="C853" s="1" t="s">
        <v>984</v>
      </c>
      <c r="D853" s="1" t="s">
        <v>73</v>
      </c>
      <c r="E853" s="1" t="s">
        <v>985</v>
      </c>
      <c r="F853" s="1" t="n">
        <v>1</v>
      </c>
      <c r="G853" s="1" t="n">
        <v>1</v>
      </c>
      <c r="H853" s="1" t="n">
        <v>1</v>
      </c>
      <c r="I853" s="8" t="n">
        <v>5792</v>
      </c>
      <c r="J853" s="1" t="n">
        <v>2</v>
      </c>
      <c r="K853" s="1" t="s">
        <v>261</v>
      </c>
      <c r="L853" s="1" t="n">
        <v>0</v>
      </c>
      <c r="P853" s="1" t="n">
        <f aca="false">SUM(M853:O853)</f>
        <v>0</v>
      </c>
      <c r="W853" s="1" t="n">
        <f aca="false">SUM(Q853:V853)</f>
        <v>0</v>
      </c>
      <c r="Y853" s="1" t="n">
        <v>1</v>
      </c>
      <c r="AF853" s="9" t="n">
        <f aca="false">SUM(Z853:AE853)</f>
        <v>0</v>
      </c>
      <c r="AG853" s="10"/>
      <c r="AH853" s="11"/>
      <c r="AI853" s="11"/>
      <c r="AJ853" s="11"/>
      <c r="AK853" s="11"/>
      <c r="AL853" s="11"/>
      <c r="AM853" s="11"/>
      <c r="AN853" s="11" t="n">
        <f aca="false">SUM(AH853:AM853)</f>
        <v>0</v>
      </c>
      <c r="AO853" s="1"/>
      <c r="AP853" s="1"/>
      <c r="AQ853" s="1"/>
      <c r="AR853" s="1"/>
    </row>
    <row r="854" customFormat="false" ht="13.8" hidden="false" customHeight="false" outlineLevel="0" collapsed="false">
      <c r="A854" s="1" t="s">
        <v>1043</v>
      </c>
      <c r="B854" s="1" t="n">
        <v>331</v>
      </c>
      <c r="C854" s="1" t="s">
        <v>984</v>
      </c>
      <c r="D854" s="1" t="s">
        <v>73</v>
      </c>
      <c r="E854" s="1" t="s">
        <v>985</v>
      </c>
      <c r="F854" s="13" t="n">
        <v>2</v>
      </c>
      <c r="G854" s="1" t="n">
        <v>1</v>
      </c>
      <c r="H854" s="1" t="n">
        <v>5</v>
      </c>
      <c r="I854" s="8" t="n">
        <v>255371</v>
      </c>
      <c r="J854" s="1" t="n">
        <v>2</v>
      </c>
      <c r="K854" s="1" t="s">
        <v>44</v>
      </c>
      <c r="L854" s="1" t="n">
        <v>2</v>
      </c>
      <c r="O854" s="1" t="n">
        <v>1</v>
      </c>
      <c r="P854" s="1" t="n">
        <f aca="false">SUM(M854:O854)</f>
        <v>1</v>
      </c>
      <c r="W854" s="1" t="n">
        <f aca="false">SUM(Q854:V854)</f>
        <v>0</v>
      </c>
      <c r="Y854" s="1" t="n">
        <v>1</v>
      </c>
      <c r="AF854" s="9" t="n">
        <f aca="false">SUM(Z854:AE854)</f>
        <v>0</v>
      </c>
      <c r="AG854" s="10"/>
      <c r="AH854" s="11"/>
      <c r="AI854" s="11"/>
      <c r="AJ854" s="11"/>
      <c r="AK854" s="11"/>
      <c r="AL854" s="11"/>
      <c r="AM854" s="11"/>
      <c r="AN854" s="11" t="n">
        <f aca="false">SUM(AH854:AM854)</f>
        <v>0</v>
      </c>
      <c r="AO854" s="1"/>
      <c r="AP854" s="1"/>
      <c r="AQ854" s="1"/>
      <c r="AR854" s="1"/>
    </row>
    <row r="855" customFormat="false" ht="13.8" hidden="false" customHeight="false" outlineLevel="0" collapsed="false">
      <c r="A855" s="1" t="s">
        <v>1044</v>
      </c>
      <c r="B855" s="1" t="n">
        <v>767</v>
      </c>
      <c r="C855" s="1" t="s">
        <v>984</v>
      </c>
      <c r="D855" s="1" t="s">
        <v>304</v>
      </c>
      <c r="E855" s="1" t="s">
        <v>985</v>
      </c>
      <c r="G855" s="1" t="n">
        <v>1</v>
      </c>
      <c r="H855" s="1" t="n">
        <v>3</v>
      </c>
      <c r="I855" s="8" t="n">
        <v>8153</v>
      </c>
      <c r="J855" s="1" t="n">
        <v>0</v>
      </c>
      <c r="K855" s="1" t="s">
        <v>76</v>
      </c>
      <c r="L855" s="1" t="n">
        <v>0</v>
      </c>
      <c r="P855" s="1" t="n">
        <f aca="false">SUM(M855:O855)</f>
        <v>0</v>
      </c>
      <c r="W855" s="1" t="n">
        <f aca="false">SUM(Q855:V855)</f>
        <v>0</v>
      </c>
      <c r="Z855" s="12"/>
      <c r="AF855" s="9" t="n">
        <f aca="false">SUM(Z855:AE855)</f>
        <v>0</v>
      </c>
      <c r="AG855" s="10"/>
      <c r="AH855" s="11"/>
      <c r="AI855" s="11"/>
      <c r="AJ855" s="11"/>
      <c r="AK855" s="11"/>
      <c r="AL855" s="11"/>
      <c r="AM855" s="11"/>
      <c r="AN855" s="11" t="n">
        <f aca="false">SUM(AH855:AM855)</f>
        <v>0</v>
      </c>
      <c r="AO855" s="1"/>
      <c r="AP855" s="1"/>
      <c r="AQ855" s="1"/>
      <c r="AR855" s="1"/>
    </row>
    <row r="856" customFormat="false" ht="13.8" hidden="false" customHeight="false" outlineLevel="0" collapsed="false">
      <c r="A856" s="1" t="s">
        <v>1045</v>
      </c>
      <c r="B856" s="1" t="n">
        <v>690</v>
      </c>
      <c r="C856" s="1" t="s">
        <v>984</v>
      </c>
      <c r="D856" s="1" t="s">
        <v>73</v>
      </c>
      <c r="E856" s="1" t="s">
        <v>985</v>
      </c>
      <c r="F856" s="1" t="n">
        <v>1</v>
      </c>
      <c r="G856" s="1" t="n">
        <v>1</v>
      </c>
      <c r="H856" s="1" t="n">
        <v>3</v>
      </c>
      <c r="I856" s="8" t="n">
        <v>40049</v>
      </c>
      <c r="J856" s="1" t="n">
        <v>2</v>
      </c>
      <c r="K856" s="1" t="s">
        <v>261</v>
      </c>
      <c r="L856" s="1" t="n">
        <v>0</v>
      </c>
      <c r="P856" s="1" t="n">
        <f aca="false">SUM(M856:O856)</f>
        <v>0</v>
      </c>
      <c r="W856" s="1" t="n">
        <f aca="false">SUM(Q856:V856)</f>
        <v>0</v>
      </c>
      <c r="Y856" s="1" t="n">
        <v>3</v>
      </c>
      <c r="AF856" s="9" t="n">
        <f aca="false">SUM(Z856:AE856)</f>
        <v>0</v>
      </c>
      <c r="AG856" s="10"/>
      <c r="AH856" s="11"/>
      <c r="AI856" s="11"/>
      <c r="AJ856" s="11"/>
      <c r="AK856" s="11"/>
      <c r="AL856" s="11"/>
      <c r="AM856" s="11"/>
      <c r="AN856" s="11" t="n">
        <f aca="false">SUM(AH856:AM856)</f>
        <v>0</v>
      </c>
      <c r="AO856" s="1"/>
      <c r="AP856" s="1"/>
      <c r="AQ856" s="1"/>
      <c r="AR856" s="1"/>
    </row>
    <row r="857" customFormat="false" ht="13.8" hidden="false" customHeight="false" outlineLevel="0" collapsed="false">
      <c r="A857" s="1" t="s">
        <v>1046</v>
      </c>
      <c r="B857" s="1" t="n">
        <v>119</v>
      </c>
      <c r="C857" s="1" t="s">
        <v>984</v>
      </c>
      <c r="D857" s="1" t="s">
        <v>42</v>
      </c>
      <c r="E857" s="1" t="s">
        <v>985</v>
      </c>
      <c r="F857" s="1" t="n">
        <v>6</v>
      </c>
      <c r="G857" s="1" t="n">
        <v>1</v>
      </c>
      <c r="H857" s="1" t="n">
        <v>7</v>
      </c>
      <c r="I857" s="8" t="n">
        <v>1200000</v>
      </c>
      <c r="J857" s="1" t="n">
        <v>3</v>
      </c>
      <c r="K857" s="1" t="s">
        <v>96</v>
      </c>
      <c r="L857" s="1" t="n">
        <v>6</v>
      </c>
      <c r="M857" s="1" t="n">
        <v>1</v>
      </c>
      <c r="N857" s="1" t="n">
        <v>2</v>
      </c>
      <c r="O857" s="1" t="n">
        <v>2</v>
      </c>
      <c r="P857" s="1" t="n">
        <f aca="false">SUM(M857:O857)</f>
        <v>5</v>
      </c>
      <c r="R857" s="1" t="n">
        <v>2</v>
      </c>
      <c r="W857" s="1" t="n">
        <f aca="false">SUM(Q857:V857)</f>
        <v>2</v>
      </c>
      <c r="X857" s="1" t="n">
        <v>1</v>
      </c>
      <c r="Y857" s="1" t="n">
        <v>4</v>
      </c>
      <c r="AA857" s="9" t="n">
        <f aca="false">(R857)*(1+(J857)*0.2)</f>
        <v>3.2</v>
      </c>
      <c r="AF857" s="9" t="n">
        <f aca="false">SUM(Z857:AE857)</f>
        <v>3.2</v>
      </c>
      <c r="AG857" s="10" t="s">
        <v>47</v>
      </c>
      <c r="AH857" s="11"/>
      <c r="AI857" s="11" t="n">
        <f aca="false">IF(AG857="yes",AA857*1.2,AA857)</f>
        <v>3.84</v>
      </c>
      <c r="AJ857" s="11"/>
      <c r="AK857" s="11"/>
      <c r="AL857" s="11"/>
      <c r="AM857" s="11"/>
      <c r="AN857" s="11" t="n">
        <f aca="false">SUM(AH857:AM857)</f>
        <v>3.84</v>
      </c>
      <c r="AO857" s="1"/>
      <c r="AP857" s="1"/>
      <c r="AQ857" s="1"/>
      <c r="AR857" s="1"/>
    </row>
    <row r="858" customFormat="false" ht="13.8" hidden="false" customHeight="false" outlineLevel="0" collapsed="false">
      <c r="A858" s="1" t="s">
        <v>1047</v>
      </c>
      <c r="B858" s="1" t="n">
        <v>131</v>
      </c>
      <c r="C858" s="1" t="s">
        <v>984</v>
      </c>
      <c r="D858" s="1" t="s">
        <v>42</v>
      </c>
      <c r="E858" s="1" t="s">
        <v>985</v>
      </c>
      <c r="F858" s="1" t="n">
        <v>8</v>
      </c>
      <c r="G858" s="1" t="n">
        <v>1</v>
      </c>
      <c r="H858" s="1" t="n">
        <v>3</v>
      </c>
      <c r="I858" s="8" t="n">
        <v>2131459</v>
      </c>
      <c r="J858" s="1" t="n">
        <v>3</v>
      </c>
      <c r="K858" s="1" t="s">
        <v>96</v>
      </c>
      <c r="L858" s="1" t="n">
        <v>6</v>
      </c>
      <c r="N858" s="1" t="n">
        <v>4</v>
      </c>
      <c r="O858" s="1" t="n">
        <v>1</v>
      </c>
      <c r="P858" s="1" t="n">
        <f aca="false">SUM(M858:O858)</f>
        <v>5</v>
      </c>
      <c r="U858" s="1" t="n">
        <v>18</v>
      </c>
      <c r="W858" s="1" t="n">
        <f aca="false">SUM(Q858:V858)</f>
        <v>18</v>
      </c>
      <c r="X858" s="1" t="n">
        <v>6</v>
      </c>
      <c r="Y858" s="1" t="n">
        <v>6</v>
      </c>
      <c r="AD858" s="9" t="n">
        <f aca="false">(U858)*(1+(J858)*0.2)</f>
        <v>28.8</v>
      </c>
      <c r="AF858" s="9" t="n">
        <f aca="false">SUM(Z858:AE858)</f>
        <v>28.8</v>
      </c>
      <c r="AG858" s="10" t="s">
        <v>47</v>
      </c>
      <c r="AH858" s="11"/>
      <c r="AI858" s="11"/>
      <c r="AJ858" s="11"/>
      <c r="AK858" s="11"/>
      <c r="AL858" s="11" t="n">
        <f aca="false">IF(AG858="yes",AD858*1.2,AD858)</f>
        <v>34.56</v>
      </c>
      <c r="AM858" s="11"/>
      <c r="AN858" s="11" t="n">
        <f aca="false">SUM(AH858:AM858)</f>
        <v>34.56</v>
      </c>
      <c r="AO858" s="1"/>
      <c r="AP858" s="1"/>
      <c r="AQ858" s="1"/>
      <c r="AR858" s="1"/>
    </row>
    <row r="859" customFormat="false" ht="13.8" hidden="false" customHeight="false" outlineLevel="0" collapsed="false">
      <c r="A859" s="1" t="s">
        <v>1048</v>
      </c>
      <c r="B859" s="1" t="n">
        <v>904</v>
      </c>
      <c r="C859" s="1" t="s">
        <v>984</v>
      </c>
      <c r="D859" s="1" t="s">
        <v>73</v>
      </c>
      <c r="E859" s="1" t="s">
        <v>985</v>
      </c>
      <c r="G859" s="1" t="n">
        <v>1</v>
      </c>
      <c r="H859" s="1" t="n">
        <v>3</v>
      </c>
      <c r="I859" s="8" t="n">
        <v>679228</v>
      </c>
      <c r="J859" s="1" t="n">
        <v>1</v>
      </c>
      <c r="K859" s="1" t="s">
        <v>51</v>
      </c>
      <c r="L859" s="1" t="n">
        <v>1</v>
      </c>
      <c r="P859" s="1" t="n">
        <f aca="false">SUM(M859:O859)</f>
        <v>0</v>
      </c>
      <c r="W859" s="1" t="n">
        <f aca="false">SUM(Q859:V859)</f>
        <v>0</v>
      </c>
      <c r="Z859" s="12"/>
      <c r="AF859" s="9" t="n">
        <f aca="false">SUM(Z859:AE859)</f>
        <v>0</v>
      </c>
      <c r="AG859" s="10"/>
      <c r="AH859" s="11"/>
      <c r="AI859" s="11"/>
      <c r="AJ859" s="11"/>
      <c r="AK859" s="11"/>
      <c r="AL859" s="11"/>
      <c r="AM859" s="11"/>
      <c r="AN859" s="11" t="n">
        <f aca="false">SUM(AH859:AM859)</f>
        <v>0</v>
      </c>
      <c r="AO859" s="1"/>
      <c r="AP859" s="1"/>
      <c r="AQ859" s="1"/>
      <c r="AR859" s="1"/>
    </row>
    <row r="860" customFormat="false" ht="13.8" hidden="false" customHeight="false" outlineLevel="0" collapsed="false">
      <c r="A860" s="1" t="s">
        <v>1049</v>
      </c>
      <c r="B860" s="1" t="n">
        <v>454</v>
      </c>
      <c r="C860" s="1" t="s">
        <v>984</v>
      </c>
      <c r="D860" s="1" t="s">
        <v>73</v>
      </c>
      <c r="E860" s="1" t="s">
        <v>985</v>
      </c>
      <c r="F860" s="1" t="n">
        <v>3</v>
      </c>
      <c r="G860" s="1" t="n">
        <v>1</v>
      </c>
      <c r="H860" s="1" t="n">
        <v>10</v>
      </c>
      <c r="I860" s="8" t="n">
        <v>934281</v>
      </c>
      <c r="J860" s="1" t="n">
        <v>3</v>
      </c>
      <c r="K860" s="1" t="s">
        <v>44</v>
      </c>
      <c r="L860" s="1" t="n">
        <v>2</v>
      </c>
      <c r="O860" s="1" t="n">
        <v>1</v>
      </c>
      <c r="P860" s="1" t="n">
        <f aca="false">SUM(M860:O860)</f>
        <v>1</v>
      </c>
      <c r="W860" s="1" t="n">
        <f aca="false">SUM(Q860:V860)</f>
        <v>0</v>
      </c>
      <c r="X860" s="1" t="n">
        <v>2</v>
      </c>
      <c r="Y860" s="1" t="n">
        <v>3</v>
      </c>
      <c r="AF860" s="9" t="n">
        <f aca="false">SUM(Z860:AE860)</f>
        <v>0</v>
      </c>
      <c r="AG860" s="10"/>
      <c r="AH860" s="11"/>
      <c r="AI860" s="11"/>
      <c r="AJ860" s="11"/>
      <c r="AK860" s="11"/>
      <c r="AL860" s="11"/>
      <c r="AM860" s="11"/>
      <c r="AN860" s="11" t="n">
        <f aca="false">SUM(AH860:AM860)</f>
        <v>0</v>
      </c>
      <c r="AO860" s="1"/>
      <c r="AP860" s="1"/>
      <c r="AQ860" s="1"/>
      <c r="AR860" s="1"/>
    </row>
    <row r="861" customFormat="false" ht="13.8" hidden="false" customHeight="false" outlineLevel="0" collapsed="false">
      <c r="A861" s="1" t="s">
        <v>1050</v>
      </c>
      <c r="B861" s="1" t="n">
        <v>270</v>
      </c>
      <c r="C861" s="1" t="s">
        <v>984</v>
      </c>
      <c r="D861" s="1" t="s">
        <v>304</v>
      </c>
      <c r="E861" s="1" t="s">
        <v>985</v>
      </c>
      <c r="G861" s="1" t="n">
        <v>1</v>
      </c>
      <c r="H861" s="1" t="n">
        <v>1</v>
      </c>
      <c r="I861" s="8" t="n">
        <v>40</v>
      </c>
      <c r="J861" s="1" t="n">
        <v>1</v>
      </c>
      <c r="K861" s="1" t="s">
        <v>295</v>
      </c>
      <c r="L861" s="1" t="n">
        <v>0</v>
      </c>
      <c r="P861" s="1" t="n">
        <f aca="false">SUM(M861:O861)</f>
        <v>0</v>
      </c>
      <c r="W861" s="1" t="n">
        <f aca="false">SUM(Q861:V861)</f>
        <v>0</v>
      </c>
      <c r="Y861" s="1" t="n">
        <v>1</v>
      </c>
      <c r="AE861" s="20"/>
      <c r="AF861" s="9" t="n">
        <f aca="false">SUM(Z861:AE861)</f>
        <v>0</v>
      </c>
      <c r="AG861" s="10"/>
      <c r="AH861" s="11"/>
      <c r="AI861" s="11"/>
      <c r="AJ861" s="11"/>
      <c r="AK861" s="11"/>
      <c r="AL861" s="11"/>
      <c r="AM861" s="11"/>
      <c r="AN861" s="11" t="n">
        <f aca="false">SUM(AH861:AM861)</f>
        <v>0</v>
      </c>
      <c r="AO861" s="1"/>
      <c r="AP861" s="1"/>
      <c r="AQ861" s="1"/>
      <c r="AR861" s="1"/>
    </row>
    <row r="862" customFormat="false" ht="13.8" hidden="false" customHeight="false" outlineLevel="0" collapsed="false">
      <c r="A862" s="1" t="s">
        <v>1051</v>
      </c>
      <c r="B862" s="1" t="n">
        <v>765</v>
      </c>
      <c r="C862" s="1" t="s">
        <v>984</v>
      </c>
      <c r="D862" s="1" t="s">
        <v>73</v>
      </c>
      <c r="E862" s="1" t="s">
        <v>985</v>
      </c>
      <c r="F862" s="13" t="n">
        <v>3</v>
      </c>
      <c r="G862" s="1" t="n">
        <v>1</v>
      </c>
      <c r="H862" s="13" t="n">
        <v>2</v>
      </c>
      <c r="I862" s="8" t="n">
        <v>51663</v>
      </c>
      <c r="J862" s="1" t="n">
        <v>1</v>
      </c>
      <c r="K862" s="1" t="s">
        <v>51</v>
      </c>
      <c r="L862" s="1" t="n">
        <v>1</v>
      </c>
      <c r="P862" s="1" t="n">
        <f aca="false">SUM(M862:O862)</f>
        <v>0</v>
      </c>
      <c r="W862" s="1" t="n">
        <f aca="false">SUM(Q862:V862)</f>
        <v>0</v>
      </c>
      <c r="Y862" s="13" t="n">
        <v>4</v>
      </c>
      <c r="AE862" s="20"/>
      <c r="AF862" s="9" t="n">
        <f aca="false">SUM(Z862:AE862)</f>
        <v>0</v>
      </c>
      <c r="AG862" s="10"/>
      <c r="AH862" s="11"/>
      <c r="AI862" s="11"/>
      <c r="AJ862" s="11"/>
      <c r="AK862" s="11"/>
      <c r="AL862" s="11"/>
      <c r="AM862" s="11"/>
      <c r="AN862" s="11" t="n">
        <f aca="false">SUM(AH862:AM862)</f>
        <v>0</v>
      </c>
      <c r="AO862" s="1"/>
      <c r="AP862" s="1"/>
      <c r="AQ862" s="1"/>
      <c r="AR862" s="1"/>
    </row>
    <row r="863" customFormat="false" ht="13.8" hidden="false" customHeight="false" outlineLevel="0" collapsed="false">
      <c r="A863" s="1" t="s">
        <v>1052</v>
      </c>
      <c r="B863" s="1" t="n">
        <v>545</v>
      </c>
      <c r="C863" s="1" t="s">
        <v>984</v>
      </c>
      <c r="D863" s="1" t="s">
        <v>73</v>
      </c>
      <c r="E863" s="1" t="s">
        <v>985</v>
      </c>
      <c r="F863" s="1" t="n">
        <v>1</v>
      </c>
      <c r="G863" s="1" t="n">
        <v>1</v>
      </c>
      <c r="H863" s="1" t="n">
        <v>6</v>
      </c>
      <c r="I863" s="8" t="n">
        <v>1172766</v>
      </c>
      <c r="J863" s="1" t="n">
        <v>2</v>
      </c>
      <c r="K863" s="1" t="s">
        <v>51</v>
      </c>
      <c r="L863" s="1" t="n">
        <v>1</v>
      </c>
      <c r="P863" s="1" t="n">
        <f aca="false">SUM(M863:O863)</f>
        <v>0</v>
      </c>
      <c r="W863" s="1" t="n">
        <f aca="false">SUM(Q863:V863)</f>
        <v>0</v>
      </c>
      <c r="AC863" s="9"/>
      <c r="AD863" s="9"/>
      <c r="AF863" s="9" t="n">
        <f aca="false">SUM(Z863:AE863)</f>
        <v>0</v>
      </c>
      <c r="AG863" s="10"/>
      <c r="AH863" s="11"/>
      <c r="AI863" s="11"/>
      <c r="AJ863" s="11"/>
      <c r="AK863" s="11"/>
      <c r="AL863" s="11"/>
      <c r="AM863" s="11"/>
      <c r="AN863" s="11" t="n">
        <f aca="false">SUM(AH863:AM863)</f>
        <v>0</v>
      </c>
      <c r="AO863" s="1"/>
      <c r="AP863" s="1"/>
      <c r="AQ863" s="1"/>
      <c r="AR863" s="1"/>
    </row>
    <row r="864" customFormat="false" ht="13.8" hidden="false" customHeight="false" outlineLevel="0" collapsed="false">
      <c r="A864" s="1" t="s">
        <v>1053</v>
      </c>
      <c r="B864" s="1" t="n">
        <v>704</v>
      </c>
      <c r="C864" s="1" t="s">
        <v>984</v>
      </c>
      <c r="D864" s="1" t="s">
        <v>304</v>
      </c>
      <c r="E864" s="1" t="s">
        <v>985</v>
      </c>
      <c r="G864" s="1" t="n">
        <v>1</v>
      </c>
      <c r="H864" s="1" t="n">
        <v>1</v>
      </c>
      <c r="I864" s="8" t="n">
        <v>2488</v>
      </c>
      <c r="J864" s="1" t="n">
        <v>1</v>
      </c>
      <c r="K864" s="1" t="s">
        <v>261</v>
      </c>
      <c r="L864" s="1" t="n">
        <v>0</v>
      </c>
      <c r="P864" s="1" t="n">
        <f aca="false">SUM(M864:O864)</f>
        <v>0</v>
      </c>
      <c r="W864" s="1" t="n">
        <f aca="false">SUM(Q864:V864)</f>
        <v>0</v>
      </c>
      <c r="Y864" s="1" t="n">
        <v>1</v>
      </c>
      <c r="AF864" s="9" t="n">
        <f aca="false">SUM(Z864:AE864)</f>
        <v>0</v>
      </c>
      <c r="AG864" s="10"/>
      <c r="AH864" s="11"/>
      <c r="AI864" s="11"/>
      <c r="AJ864" s="11"/>
      <c r="AK864" s="11"/>
      <c r="AL864" s="11"/>
      <c r="AM864" s="11"/>
      <c r="AN864" s="11" t="n">
        <f aca="false">SUM(AH864:AM864)</f>
        <v>0</v>
      </c>
      <c r="AO864" s="1"/>
      <c r="AP864" s="1"/>
      <c r="AQ864" s="1"/>
      <c r="AR864" s="1"/>
    </row>
    <row r="865" customFormat="false" ht="13.8" hidden="false" customHeight="false" outlineLevel="0" collapsed="false">
      <c r="A865" s="1" t="s">
        <v>1054</v>
      </c>
      <c r="B865" s="1" t="n">
        <v>120</v>
      </c>
      <c r="C865" s="1" t="s">
        <v>984</v>
      </c>
      <c r="D865" s="1" t="s">
        <v>42</v>
      </c>
      <c r="E865" s="1" t="s">
        <v>985</v>
      </c>
      <c r="F865" s="1" t="n">
        <v>4</v>
      </c>
      <c r="G865" s="1" t="n">
        <v>1</v>
      </c>
      <c r="H865" s="1" t="n">
        <v>16</v>
      </c>
      <c r="I865" s="8" t="n">
        <v>248176</v>
      </c>
      <c r="J865" s="1" t="n">
        <v>2</v>
      </c>
      <c r="K865" s="1" t="s">
        <v>44</v>
      </c>
      <c r="L865" s="1" t="n">
        <v>2</v>
      </c>
      <c r="O865" s="1" t="n">
        <v>1</v>
      </c>
      <c r="P865" s="1" t="n">
        <f aca="false">SUM(M865:O865)</f>
        <v>1</v>
      </c>
      <c r="R865" s="1" t="n">
        <v>9</v>
      </c>
      <c r="T865" s="1" t="n">
        <v>16</v>
      </c>
      <c r="V865" s="1" t="n">
        <v>1</v>
      </c>
      <c r="W865" s="1" t="n">
        <f aca="false">SUM(Q865:V865)</f>
        <v>26</v>
      </c>
      <c r="X865" s="1" t="n">
        <v>1</v>
      </c>
      <c r="Y865" s="1" t="n">
        <v>8</v>
      </c>
      <c r="AA865" s="9" t="n">
        <f aca="false">(R865)*(1+(J865)*0.2)</f>
        <v>12.6</v>
      </c>
      <c r="AC865" s="9" t="n">
        <f aca="false">(T865)*(1+(J865)*0.2)</f>
        <v>22.4</v>
      </c>
      <c r="AE865" s="9" t="n">
        <f aca="false">(V865)*(1+(J865)*0.2)</f>
        <v>1.4</v>
      </c>
      <c r="AF865" s="9" t="n">
        <f aca="false">SUM(Z865:AE865)</f>
        <v>36.4</v>
      </c>
      <c r="AG865" s="10" t="s">
        <v>47</v>
      </c>
      <c r="AH865" s="11"/>
      <c r="AI865" s="11" t="n">
        <f aca="false">IF(AG865="yes",AA865*1.2,AA865)</f>
        <v>15.12</v>
      </c>
      <c r="AJ865" s="11"/>
      <c r="AK865" s="11" t="n">
        <f aca="false">IF(AG865="yes",AC865*1.2,AC865)</f>
        <v>26.88</v>
      </c>
      <c r="AL865" s="11"/>
      <c r="AM865" s="11" t="n">
        <f aca="false">IF(AG865="yes",AE865*1.2,AE865)</f>
        <v>1.68</v>
      </c>
      <c r="AN865" s="11" t="n">
        <f aca="false">SUM(AH865:AM865)</f>
        <v>43.68</v>
      </c>
      <c r="AO865" s="1"/>
      <c r="AP865" s="1"/>
      <c r="AQ865" s="1"/>
      <c r="AR865" s="1"/>
    </row>
    <row r="866" customFormat="false" ht="13.8" hidden="false" customHeight="false" outlineLevel="0" collapsed="false">
      <c r="A866" s="1" t="s">
        <v>1055</v>
      </c>
      <c r="B866" s="1" t="n">
        <v>709</v>
      </c>
      <c r="C866" s="1" t="s">
        <v>984</v>
      </c>
      <c r="D866" s="1" t="s">
        <v>304</v>
      </c>
      <c r="E866" s="1" t="s">
        <v>985</v>
      </c>
      <c r="G866" s="1" t="n">
        <v>1</v>
      </c>
      <c r="H866" s="1" t="n">
        <v>1</v>
      </c>
      <c r="I866" s="8" t="n">
        <v>126858</v>
      </c>
      <c r="J866" s="1" t="n">
        <v>2</v>
      </c>
      <c r="K866" s="1" t="s">
        <v>84</v>
      </c>
      <c r="L866" s="1" t="n">
        <v>1</v>
      </c>
      <c r="P866" s="1" t="n">
        <f aca="false">SUM(M866:O866)</f>
        <v>0</v>
      </c>
      <c r="W866" s="1" t="n">
        <f aca="false">SUM(Q866:V866)</f>
        <v>0</v>
      </c>
      <c r="Y866" s="1" t="n">
        <v>1</v>
      </c>
      <c r="AF866" s="9" t="n">
        <f aca="false">SUM(Z866:AE866)</f>
        <v>0</v>
      </c>
      <c r="AG866" s="10"/>
      <c r="AH866" s="11"/>
      <c r="AI866" s="11"/>
      <c r="AJ866" s="11"/>
      <c r="AK866" s="11"/>
      <c r="AL866" s="11"/>
      <c r="AM866" s="11"/>
      <c r="AN866" s="11" t="n">
        <f aca="false">SUM(AH866:AM866)</f>
        <v>0</v>
      </c>
      <c r="AO866" s="1"/>
      <c r="AP866" s="1"/>
      <c r="AQ866" s="1"/>
      <c r="AR866" s="1"/>
    </row>
    <row r="867" customFormat="false" ht="13.8" hidden="false" customHeight="false" outlineLevel="0" collapsed="false">
      <c r="A867" s="1" t="s">
        <v>1056</v>
      </c>
      <c r="B867" s="1" t="n">
        <v>933</v>
      </c>
      <c r="C867" s="1" t="s">
        <v>984</v>
      </c>
      <c r="D867" s="1" t="s">
        <v>42</v>
      </c>
      <c r="E867" s="1" t="s">
        <v>985</v>
      </c>
      <c r="G867" s="1" t="n">
        <v>1</v>
      </c>
      <c r="H867" s="1" t="n">
        <v>1</v>
      </c>
      <c r="I867" s="8" t="n">
        <v>18022</v>
      </c>
      <c r="J867" s="1" t="n">
        <v>1</v>
      </c>
      <c r="K867" s="1" t="s">
        <v>261</v>
      </c>
      <c r="L867" s="1" t="n">
        <v>0</v>
      </c>
      <c r="P867" s="1" t="n">
        <f aca="false">SUM(M867:O867)</f>
        <v>0</v>
      </c>
      <c r="W867" s="1" t="n">
        <f aca="false">SUM(Q867:V867)</f>
        <v>0</v>
      </c>
      <c r="Y867" s="1" t="n">
        <v>1</v>
      </c>
      <c r="AF867" s="9" t="n">
        <f aca="false">SUM(Z867:AE867)</f>
        <v>0</v>
      </c>
      <c r="AG867" s="10"/>
      <c r="AH867" s="11"/>
      <c r="AI867" s="11"/>
      <c r="AJ867" s="11"/>
      <c r="AK867" s="11"/>
      <c r="AL867" s="11"/>
      <c r="AM867" s="11"/>
      <c r="AN867" s="11" t="n">
        <f aca="false">SUM(AH867:AM867)</f>
        <v>0</v>
      </c>
      <c r="AO867" s="1"/>
      <c r="AP867" s="1"/>
      <c r="AQ867" s="1"/>
      <c r="AR867" s="1"/>
    </row>
    <row r="868" customFormat="false" ht="13.8" hidden="false" customHeight="false" outlineLevel="0" collapsed="false">
      <c r="A868" s="1" t="s">
        <v>1057</v>
      </c>
      <c r="B868" s="1" t="n">
        <v>700</v>
      </c>
      <c r="C868" s="1" t="s">
        <v>984</v>
      </c>
      <c r="D868" s="1" t="s">
        <v>73</v>
      </c>
      <c r="E868" s="1" t="s">
        <v>985</v>
      </c>
      <c r="F868" s="1" t="n">
        <v>1</v>
      </c>
      <c r="G868" s="1" t="n">
        <v>1</v>
      </c>
      <c r="H868" s="1" t="n">
        <v>2</v>
      </c>
      <c r="I868" s="8" t="n">
        <v>1770659</v>
      </c>
      <c r="J868" s="1" t="n">
        <v>2</v>
      </c>
      <c r="K868" s="1" t="s">
        <v>51</v>
      </c>
      <c r="L868" s="1" t="n">
        <v>1</v>
      </c>
      <c r="P868" s="1" t="n">
        <f aca="false">SUM(M868:O868)</f>
        <v>0</v>
      </c>
      <c r="U868" s="1" t="n">
        <v>32</v>
      </c>
      <c r="W868" s="1" t="n">
        <f aca="false">SUM(Q868:V868)</f>
        <v>32</v>
      </c>
      <c r="Y868" s="1" t="n">
        <v>3</v>
      </c>
      <c r="AD868" s="9" t="n">
        <f aca="false">(U868)*(1+(J868)*0.2)</f>
        <v>44.8</v>
      </c>
      <c r="AF868" s="9" t="n">
        <f aca="false">SUM(Z868:AE868)</f>
        <v>44.8</v>
      </c>
      <c r="AG868" s="21" t="s">
        <v>47</v>
      </c>
      <c r="AH868" s="11"/>
      <c r="AI868" s="11"/>
      <c r="AJ868" s="11"/>
      <c r="AK868" s="11"/>
      <c r="AL868" s="11" t="n">
        <f aca="false">IF(AG868="yes",AD868*1.2,AD868)</f>
        <v>53.76</v>
      </c>
      <c r="AM868" s="11"/>
      <c r="AN868" s="11" t="n">
        <f aca="false">SUM(AH868:AM868)</f>
        <v>53.76</v>
      </c>
      <c r="AO868" s="1"/>
      <c r="AP868" s="1"/>
      <c r="AQ868" s="1"/>
      <c r="AR868" s="1"/>
    </row>
    <row r="869" customFormat="false" ht="13.8" hidden="false" customHeight="false" outlineLevel="0" collapsed="false">
      <c r="A869" s="1" t="s">
        <v>1058</v>
      </c>
      <c r="B869" s="1" t="n">
        <v>453</v>
      </c>
      <c r="C869" s="1" t="s">
        <v>984</v>
      </c>
      <c r="D869" s="1" t="s">
        <v>73</v>
      </c>
      <c r="E869" s="1" t="s">
        <v>985</v>
      </c>
      <c r="F869" s="1" t="n">
        <v>4</v>
      </c>
      <c r="G869" s="1" t="n">
        <v>1</v>
      </c>
      <c r="H869" s="1" t="n">
        <v>7</v>
      </c>
      <c r="I869" s="8" t="n">
        <v>15378</v>
      </c>
      <c r="J869" s="1" t="n">
        <v>1</v>
      </c>
      <c r="K869" s="1" t="s">
        <v>76</v>
      </c>
      <c r="L869" s="1" t="n">
        <v>0</v>
      </c>
      <c r="P869" s="1" t="n">
        <f aca="false">SUM(M869:O869)</f>
        <v>0</v>
      </c>
      <c r="W869" s="1" t="n">
        <f aca="false">SUM(Q869:V869)</f>
        <v>0</v>
      </c>
      <c r="AF869" s="9" t="n">
        <f aca="false">SUM(Z869:AE869)</f>
        <v>0</v>
      </c>
      <c r="AG869" s="10"/>
      <c r="AH869" s="11"/>
      <c r="AI869" s="11"/>
      <c r="AJ869" s="11"/>
      <c r="AK869" s="11"/>
      <c r="AL869" s="11"/>
      <c r="AM869" s="11"/>
      <c r="AN869" s="11" t="n">
        <f aca="false">SUM(AH869:AM869)</f>
        <v>0</v>
      </c>
      <c r="AO869" s="1"/>
      <c r="AP869" s="1"/>
      <c r="AQ869" s="1"/>
      <c r="AR869" s="1"/>
    </row>
    <row r="870" customFormat="false" ht="13.8" hidden="false" customHeight="false" outlineLevel="0" collapsed="false">
      <c r="A870" s="1" t="s">
        <v>1059</v>
      </c>
      <c r="B870" s="1" t="n">
        <v>906</v>
      </c>
      <c r="C870" s="1" t="s">
        <v>984</v>
      </c>
      <c r="D870" s="1" t="s">
        <v>73</v>
      </c>
      <c r="E870" s="1" t="s">
        <v>985</v>
      </c>
      <c r="G870" s="1" t="n">
        <v>1</v>
      </c>
      <c r="H870" s="1" t="n">
        <v>1</v>
      </c>
      <c r="I870" s="8" t="n">
        <v>21329</v>
      </c>
      <c r="J870" s="1" t="n">
        <v>1</v>
      </c>
      <c r="K870" s="1" t="s">
        <v>84</v>
      </c>
      <c r="L870" s="1" t="n">
        <v>1</v>
      </c>
      <c r="P870" s="1" t="n">
        <f aca="false">SUM(M870:O870)</f>
        <v>0</v>
      </c>
      <c r="W870" s="1" t="n">
        <f aca="false">SUM(Q870:V870)</f>
        <v>0</v>
      </c>
      <c r="Y870" s="1" t="n">
        <v>1</v>
      </c>
      <c r="AF870" s="9" t="n">
        <f aca="false">SUM(Z870:AE870)</f>
        <v>0</v>
      </c>
      <c r="AG870" s="10"/>
      <c r="AH870" s="11"/>
      <c r="AI870" s="11"/>
      <c r="AJ870" s="11"/>
      <c r="AK870" s="11"/>
      <c r="AL870" s="11"/>
      <c r="AM870" s="11"/>
      <c r="AN870" s="11" t="n">
        <f aca="false">SUM(AH870:AM870)</f>
        <v>0</v>
      </c>
      <c r="AO870" s="1"/>
      <c r="AP870" s="1"/>
      <c r="AQ870" s="1"/>
      <c r="AR870" s="1"/>
    </row>
    <row r="871" customFormat="false" ht="13.8" hidden="false" customHeight="false" outlineLevel="0" collapsed="false">
      <c r="A871" s="1" t="s">
        <v>1060</v>
      </c>
      <c r="B871" s="1" t="n">
        <v>902</v>
      </c>
      <c r="C871" s="1" t="s">
        <v>984</v>
      </c>
      <c r="D871" s="1" t="s">
        <v>73</v>
      </c>
      <c r="E871" s="1" t="s">
        <v>985</v>
      </c>
      <c r="G871" s="1" t="n">
        <v>1</v>
      </c>
      <c r="H871" s="1" t="n">
        <v>7</v>
      </c>
      <c r="I871" s="8" t="n">
        <v>332885</v>
      </c>
      <c r="J871" s="1" t="n">
        <v>1</v>
      </c>
      <c r="K871" s="1" t="s">
        <v>51</v>
      </c>
      <c r="L871" s="1" t="n">
        <v>1</v>
      </c>
      <c r="P871" s="1" t="n">
        <f aca="false">SUM(M871:O871)</f>
        <v>0</v>
      </c>
      <c r="W871" s="1" t="n">
        <f aca="false">SUM(Q871:V871)</f>
        <v>0</v>
      </c>
      <c r="AB871" s="9"/>
      <c r="AF871" s="9" t="n">
        <f aca="false">SUM(Z871:AE871)</f>
        <v>0</v>
      </c>
      <c r="AG871" s="21"/>
      <c r="AH871" s="11"/>
      <c r="AI871" s="11"/>
      <c r="AJ871" s="11"/>
      <c r="AK871" s="11"/>
      <c r="AL871" s="11"/>
      <c r="AM871" s="11"/>
      <c r="AN871" s="11" t="n">
        <f aca="false">SUM(AH871:AM871)</f>
        <v>0</v>
      </c>
      <c r="AO871" s="1"/>
      <c r="AP871" s="1"/>
      <c r="AQ871" s="1"/>
      <c r="AR871" s="1"/>
    </row>
    <row r="872" customFormat="false" ht="13.8" hidden="false" customHeight="false" outlineLevel="0" collapsed="false">
      <c r="A872" s="1" t="s">
        <v>1061</v>
      </c>
      <c r="B872" s="1" t="n">
        <v>887</v>
      </c>
      <c r="C872" s="1" t="s">
        <v>984</v>
      </c>
      <c r="D872" s="1" t="s">
        <v>73</v>
      </c>
      <c r="E872" s="1" t="s">
        <v>985</v>
      </c>
      <c r="G872" s="1" t="n">
        <v>1</v>
      </c>
      <c r="H872" s="1" t="n">
        <v>3</v>
      </c>
      <c r="I872" s="8" t="n">
        <v>302389</v>
      </c>
      <c r="J872" s="1" t="n">
        <v>1</v>
      </c>
      <c r="K872" s="1" t="s">
        <v>76</v>
      </c>
      <c r="L872" s="1" t="n">
        <v>0</v>
      </c>
      <c r="P872" s="1" t="n">
        <f aca="false">SUM(M872:O872)</f>
        <v>0</v>
      </c>
      <c r="W872" s="1" t="n">
        <f aca="false">SUM(Q872:V872)</f>
        <v>0</v>
      </c>
      <c r="AB872" s="9"/>
      <c r="AF872" s="9" t="n">
        <f aca="false">SUM(Z872:AE872)</f>
        <v>0</v>
      </c>
      <c r="AG872" s="21"/>
      <c r="AH872" s="11"/>
      <c r="AI872" s="11"/>
      <c r="AJ872" s="11"/>
      <c r="AK872" s="11"/>
      <c r="AL872" s="11"/>
      <c r="AM872" s="11"/>
      <c r="AN872" s="11" t="n">
        <f aca="false">SUM(AH872:AM872)</f>
        <v>0</v>
      </c>
      <c r="AO872" s="1"/>
      <c r="AP872" s="1"/>
      <c r="AQ872" s="1"/>
      <c r="AR872" s="1"/>
    </row>
    <row r="873" customFormat="false" ht="13.8" hidden="false" customHeight="false" outlineLevel="0" collapsed="false">
      <c r="A873" s="1" t="s">
        <v>1062</v>
      </c>
      <c r="B873" s="1" t="n">
        <v>720</v>
      </c>
      <c r="C873" s="1" t="s">
        <v>984</v>
      </c>
      <c r="D873" s="1" t="s">
        <v>304</v>
      </c>
      <c r="E873" s="1" t="s">
        <v>985</v>
      </c>
      <c r="G873" s="1" t="n">
        <v>1</v>
      </c>
      <c r="H873" s="1" t="n">
        <v>1</v>
      </c>
      <c r="I873" s="8" t="n">
        <v>30</v>
      </c>
      <c r="J873" s="1" t="n">
        <v>1</v>
      </c>
      <c r="K873" s="1" t="s">
        <v>261</v>
      </c>
      <c r="L873" s="1" t="n">
        <v>0</v>
      </c>
      <c r="P873" s="1" t="n">
        <f aca="false">SUM(M873:O873)</f>
        <v>0</v>
      </c>
      <c r="W873" s="1" t="n">
        <f aca="false">SUM(Q873:V873)</f>
        <v>0</v>
      </c>
      <c r="Y873" s="1" t="n">
        <v>1</v>
      </c>
      <c r="AF873" s="9" t="n">
        <f aca="false">SUM(Z873:AE873)</f>
        <v>0</v>
      </c>
      <c r="AG873" s="10"/>
      <c r="AH873" s="11"/>
      <c r="AI873" s="11"/>
      <c r="AJ873" s="11"/>
      <c r="AK873" s="11"/>
      <c r="AL873" s="11"/>
      <c r="AM873" s="11"/>
      <c r="AN873" s="11" t="n">
        <f aca="false">SUM(AH873:AM873)</f>
        <v>0</v>
      </c>
      <c r="AO873" s="1"/>
      <c r="AP873" s="1"/>
      <c r="AQ873" s="1"/>
      <c r="AR873" s="1"/>
    </row>
    <row r="874" customFormat="false" ht="13.8" hidden="false" customHeight="false" outlineLevel="0" collapsed="false">
      <c r="A874" s="1" t="s">
        <v>1063</v>
      </c>
      <c r="B874" s="1" t="n">
        <v>123</v>
      </c>
      <c r="C874" s="1" t="s">
        <v>984</v>
      </c>
      <c r="D874" s="1" t="s">
        <v>42</v>
      </c>
      <c r="E874" s="1" t="s">
        <v>985</v>
      </c>
      <c r="F874" s="1" t="n">
        <v>11</v>
      </c>
      <c r="G874" s="1" t="n">
        <v>1</v>
      </c>
      <c r="H874" s="1" t="n">
        <v>6</v>
      </c>
      <c r="I874" s="8" t="n">
        <v>1222503</v>
      </c>
      <c r="J874" s="1" t="n">
        <v>4</v>
      </c>
      <c r="K874" s="1" t="s">
        <v>46</v>
      </c>
      <c r="L874" s="1" t="n">
        <v>4</v>
      </c>
      <c r="O874" s="1" t="n">
        <v>1</v>
      </c>
      <c r="P874" s="1" t="n">
        <f aca="false">SUM(M874:O874)</f>
        <v>1</v>
      </c>
      <c r="W874" s="1" t="n">
        <f aca="false">SUM(Q874:V874)</f>
        <v>0</v>
      </c>
      <c r="X874" s="1" t="n">
        <v>6</v>
      </c>
      <c r="Y874" s="1" t="n">
        <v>8</v>
      </c>
      <c r="AF874" s="9" t="n">
        <f aca="false">SUM(Z874:AE874)</f>
        <v>0</v>
      </c>
      <c r="AG874" s="10"/>
      <c r="AH874" s="11"/>
      <c r="AI874" s="11"/>
      <c r="AJ874" s="11"/>
      <c r="AK874" s="11"/>
      <c r="AL874" s="11"/>
      <c r="AM874" s="11"/>
      <c r="AN874" s="11" t="n">
        <f aca="false">SUM(AH874:AM874)</f>
        <v>0</v>
      </c>
      <c r="AO874" s="1"/>
      <c r="AP874" s="1"/>
      <c r="AQ874" s="1"/>
      <c r="AR874" s="1"/>
    </row>
    <row r="875" customFormat="false" ht="13.8" hidden="false" customHeight="false" outlineLevel="0" collapsed="false">
      <c r="A875" s="1" t="s">
        <v>1064</v>
      </c>
      <c r="B875" s="1" t="n">
        <v>693</v>
      </c>
      <c r="C875" s="1" t="s">
        <v>984</v>
      </c>
      <c r="D875" s="1" t="s">
        <v>73</v>
      </c>
      <c r="E875" s="1" t="s">
        <v>985</v>
      </c>
      <c r="G875" s="1" t="n">
        <v>1</v>
      </c>
      <c r="H875" s="1" t="n">
        <v>2</v>
      </c>
      <c r="I875" s="8" t="n">
        <v>15018</v>
      </c>
      <c r="J875" s="1" t="n">
        <v>2</v>
      </c>
      <c r="K875" s="1" t="s">
        <v>261</v>
      </c>
      <c r="L875" s="1" t="n">
        <v>0</v>
      </c>
      <c r="P875" s="1" t="n">
        <f aca="false">SUM(M875:O875)</f>
        <v>0</v>
      </c>
      <c r="W875" s="1" t="n">
        <f aca="false">SUM(Q875:V875)</f>
        <v>0</v>
      </c>
      <c r="Y875" s="1" t="n">
        <v>2</v>
      </c>
      <c r="AF875" s="9" t="n">
        <f aca="false">SUM(Z875:AE875)</f>
        <v>0</v>
      </c>
      <c r="AG875" s="10"/>
      <c r="AH875" s="11"/>
      <c r="AI875" s="11"/>
      <c r="AJ875" s="11"/>
      <c r="AK875" s="11"/>
      <c r="AL875" s="11"/>
      <c r="AM875" s="11"/>
      <c r="AN875" s="11" t="n">
        <f aca="false">SUM(AH875:AM875)</f>
        <v>0</v>
      </c>
      <c r="AO875" s="1"/>
      <c r="AP875" s="1"/>
      <c r="AQ875" s="1"/>
      <c r="AR875" s="1"/>
    </row>
    <row r="876" customFormat="false" ht="13.8" hidden="false" customHeight="false" outlineLevel="0" collapsed="false">
      <c r="A876" s="1" t="s">
        <v>1065</v>
      </c>
      <c r="B876" s="1" t="n">
        <v>446</v>
      </c>
      <c r="C876" s="1" t="s">
        <v>984</v>
      </c>
      <c r="D876" s="1" t="s">
        <v>73</v>
      </c>
      <c r="E876" s="1" t="s">
        <v>985</v>
      </c>
      <c r="F876" s="1" t="n">
        <v>8</v>
      </c>
      <c r="G876" s="1" t="n">
        <v>1</v>
      </c>
      <c r="H876" s="1" t="n">
        <v>4</v>
      </c>
      <c r="I876" s="8" t="n">
        <v>131893</v>
      </c>
      <c r="J876" s="1" t="n">
        <v>3</v>
      </c>
      <c r="K876" s="1" t="s">
        <v>76</v>
      </c>
      <c r="L876" s="1" t="n">
        <v>0</v>
      </c>
      <c r="P876" s="1" t="n">
        <f aca="false">SUM(M876:O876)</f>
        <v>0</v>
      </c>
      <c r="W876" s="1" t="n">
        <f aca="false">SUM(Q876:V876)</f>
        <v>0</v>
      </c>
      <c r="Y876" s="13" t="n">
        <v>3</v>
      </c>
      <c r="AF876" s="9" t="n">
        <f aca="false">SUM(Z876:AE876)</f>
        <v>0</v>
      </c>
      <c r="AG876" s="10"/>
      <c r="AH876" s="11"/>
      <c r="AI876" s="11"/>
      <c r="AJ876" s="11"/>
      <c r="AK876" s="11"/>
      <c r="AL876" s="11"/>
      <c r="AM876" s="11"/>
      <c r="AN876" s="11" t="n">
        <f aca="false">SUM(AH876:AM876)</f>
        <v>0</v>
      </c>
      <c r="AO876" s="1"/>
      <c r="AP876" s="1"/>
      <c r="AQ876" s="1"/>
      <c r="AR876" s="1"/>
    </row>
    <row r="877" customFormat="false" ht="13.8" hidden="false" customHeight="false" outlineLevel="0" collapsed="false">
      <c r="A877" s="1" t="s">
        <v>1066</v>
      </c>
      <c r="B877" s="1" t="n">
        <v>127</v>
      </c>
      <c r="C877" s="1" t="s">
        <v>984</v>
      </c>
      <c r="D877" s="1" t="s">
        <v>42</v>
      </c>
      <c r="E877" s="1" t="s">
        <v>985</v>
      </c>
      <c r="F877" s="1" t="n">
        <v>35</v>
      </c>
      <c r="G877" s="1" t="n">
        <v>1</v>
      </c>
      <c r="H877" s="1" t="n">
        <v>6</v>
      </c>
      <c r="I877" s="8" t="n">
        <v>3197281</v>
      </c>
      <c r="J877" s="1" t="n">
        <v>4</v>
      </c>
      <c r="K877" s="1" t="s">
        <v>57</v>
      </c>
      <c r="L877" s="1" t="n">
        <v>8</v>
      </c>
      <c r="M877" s="1" t="n">
        <v>1</v>
      </c>
      <c r="N877" s="1" t="n">
        <v>2</v>
      </c>
      <c r="O877" s="1" t="n">
        <v>1</v>
      </c>
      <c r="P877" s="1" t="n">
        <f aca="false">SUM(M877:O877)</f>
        <v>4</v>
      </c>
      <c r="W877" s="1" t="n">
        <f aca="false">SUM(Q877:V877)</f>
        <v>0</v>
      </c>
      <c r="X877" s="1" t="n">
        <v>10</v>
      </c>
      <c r="Y877" s="1" t="n">
        <v>16</v>
      </c>
      <c r="AF877" s="9" t="n">
        <f aca="false">SUM(Z877:AE877)</f>
        <v>0</v>
      </c>
      <c r="AG877" s="10"/>
      <c r="AH877" s="11"/>
      <c r="AI877" s="11"/>
      <c r="AJ877" s="11"/>
      <c r="AK877" s="11"/>
      <c r="AL877" s="11"/>
      <c r="AM877" s="11"/>
      <c r="AN877" s="11" t="n">
        <f aca="false">SUM(AH877:AM877)</f>
        <v>0</v>
      </c>
      <c r="AO877" s="1"/>
      <c r="AP877" s="1"/>
      <c r="AQ877" s="1"/>
      <c r="AR877" s="1"/>
    </row>
    <row r="878" customFormat="false" ht="13.8" hidden="false" customHeight="false" outlineLevel="0" collapsed="false">
      <c r="A878" s="1" t="s">
        <v>1067</v>
      </c>
      <c r="B878" s="1" t="n">
        <v>546</v>
      </c>
      <c r="C878" s="1" t="s">
        <v>984</v>
      </c>
      <c r="D878" s="1" t="s">
        <v>73</v>
      </c>
      <c r="E878" s="1" t="s">
        <v>985</v>
      </c>
      <c r="F878" s="1" t="n">
        <v>1</v>
      </c>
      <c r="G878" s="1" t="n">
        <v>1</v>
      </c>
      <c r="H878" s="1" t="n">
        <v>20</v>
      </c>
      <c r="I878" s="8" t="n">
        <v>5305469</v>
      </c>
      <c r="J878" s="1" t="n">
        <v>2</v>
      </c>
      <c r="K878" s="1" t="s">
        <v>44</v>
      </c>
      <c r="L878" s="1" t="n">
        <v>2</v>
      </c>
      <c r="P878" s="1" t="n">
        <f aca="false">SUM(M878:O878)</f>
        <v>0</v>
      </c>
      <c r="S878" s="1" t="n">
        <v>2</v>
      </c>
      <c r="W878" s="1" t="n">
        <f aca="false">SUM(Q878:V878)</f>
        <v>2</v>
      </c>
      <c r="Y878" s="1" t="n">
        <v>2</v>
      </c>
      <c r="AB878" s="9" t="n">
        <f aca="false">(S878)*(1+(J878)*0.2)</f>
        <v>2.8</v>
      </c>
      <c r="AF878" s="9" t="n">
        <f aca="false">SUM(Z878:AE878)</f>
        <v>2.8</v>
      </c>
      <c r="AG878" s="10" t="s">
        <v>47</v>
      </c>
      <c r="AH878" s="11"/>
      <c r="AI878" s="11"/>
      <c r="AJ878" s="11" t="n">
        <f aca="false">IF(AG878="yes",AB878*1.2,AB878)</f>
        <v>3.36</v>
      </c>
      <c r="AK878" s="11"/>
      <c r="AL878" s="11"/>
      <c r="AM878" s="11"/>
      <c r="AN878" s="11" t="n">
        <f aca="false">SUM(AH878:AM878)</f>
        <v>3.36</v>
      </c>
      <c r="AO878" s="1"/>
      <c r="AP878" s="1"/>
      <c r="AQ878" s="1"/>
      <c r="AR878" s="1"/>
    </row>
    <row r="879" customFormat="false" ht="13.8" hidden="false" customHeight="false" outlineLevel="0" collapsed="false">
      <c r="A879" s="1" t="s">
        <v>1068</v>
      </c>
      <c r="B879" s="1" t="n">
        <v>691</v>
      </c>
      <c r="C879" s="1" t="s">
        <v>984</v>
      </c>
      <c r="D879" s="1" t="s">
        <v>73</v>
      </c>
      <c r="E879" s="1" t="s">
        <v>985</v>
      </c>
      <c r="F879" s="1" t="n">
        <v>1</v>
      </c>
      <c r="G879" s="1" t="n">
        <v>1</v>
      </c>
      <c r="H879" s="1" t="n">
        <v>2</v>
      </c>
      <c r="I879" s="8" t="n">
        <v>413623</v>
      </c>
      <c r="J879" s="1" t="n">
        <v>2</v>
      </c>
      <c r="K879" s="1" t="s">
        <v>44</v>
      </c>
      <c r="L879" s="1" t="n">
        <v>2</v>
      </c>
      <c r="P879" s="1" t="n">
        <f aca="false">SUM(M879:O879)</f>
        <v>0</v>
      </c>
      <c r="Q879" s="1" t="n">
        <v>12</v>
      </c>
      <c r="W879" s="1" t="n">
        <f aca="false">SUM(Q879:V879)</f>
        <v>12</v>
      </c>
      <c r="Y879" s="1" t="n">
        <v>1</v>
      </c>
      <c r="Z879" s="9" t="n">
        <f aca="false">(Q879)*(1+(J879)*0.2)</f>
        <v>16.8</v>
      </c>
      <c r="AA879" s="9"/>
      <c r="AF879" s="9" t="n">
        <f aca="false">SUM(Z879:AE879)</f>
        <v>16.8</v>
      </c>
      <c r="AG879" s="10" t="s">
        <v>47</v>
      </c>
      <c r="AH879" s="11" t="n">
        <f aca="false">IF(AG879="yes",Z879*1.2,Z879)</f>
        <v>20.16</v>
      </c>
      <c r="AI879" s="11"/>
      <c r="AJ879" s="11"/>
      <c r="AK879" s="11"/>
      <c r="AL879" s="11"/>
      <c r="AM879" s="11"/>
      <c r="AN879" s="11" t="n">
        <f aca="false">SUM(AH879:AM879)</f>
        <v>20.16</v>
      </c>
      <c r="AO879" s="1"/>
      <c r="AP879" s="1"/>
      <c r="AQ879" s="1"/>
      <c r="AR879" s="1"/>
    </row>
    <row r="880" customFormat="false" ht="13.8" hidden="false" customHeight="false" outlineLevel="0" collapsed="false">
      <c r="A880" s="1" t="s">
        <v>1069</v>
      </c>
      <c r="B880" s="1" t="n">
        <v>548</v>
      </c>
      <c r="C880" s="1" t="s">
        <v>984</v>
      </c>
      <c r="D880" s="1" t="s">
        <v>73</v>
      </c>
      <c r="E880" s="1" t="s">
        <v>985</v>
      </c>
      <c r="F880" s="1" t="n">
        <v>1</v>
      </c>
      <c r="G880" s="1" t="n">
        <v>1</v>
      </c>
      <c r="H880" s="1" t="n">
        <v>7</v>
      </c>
      <c r="I880" s="8" t="n">
        <v>3519917</v>
      </c>
      <c r="J880" s="1" t="n">
        <v>2</v>
      </c>
      <c r="K880" s="1" t="s">
        <v>44</v>
      </c>
      <c r="L880" s="1" t="n">
        <v>2</v>
      </c>
      <c r="P880" s="1" t="n">
        <f aca="false">SUM(M880:O880)</f>
        <v>0</v>
      </c>
      <c r="S880" s="1" t="n">
        <v>3</v>
      </c>
      <c r="W880" s="1" t="n">
        <f aca="false">SUM(Q880:V880)</f>
        <v>3</v>
      </c>
      <c r="AA880" s="9"/>
      <c r="AB880" s="9" t="n">
        <f aca="false">(S880)*(1+(J880)*0.2)</f>
        <v>4.2</v>
      </c>
      <c r="AF880" s="9" t="n">
        <f aca="false">SUM(Z880:AE880)</f>
        <v>4.2</v>
      </c>
      <c r="AG880" s="10" t="s">
        <v>53</v>
      </c>
      <c r="AH880" s="11"/>
      <c r="AI880" s="11"/>
      <c r="AJ880" s="11" t="n">
        <f aca="false">IF(AG880="yes",AB880*1.2,AB880)</f>
        <v>4.2</v>
      </c>
      <c r="AK880" s="11"/>
      <c r="AL880" s="11"/>
      <c r="AM880" s="11"/>
      <c r="AN880" s="11" t="n">
        <f aca="false">SUM(AH880:AM880)</f>
        <v>4.2</v>
      </c>
      <c r="AO880" s="1"/>
      <c r="AP880" s="1"/>
      <c r="AQ880" s="1"/>
      <c r="AR880" s="1"/>
    </row>
    <row r="881" customFormat="false" ht="13.8" hidden="false" customHeight="false" outlineLevel="0" collapsed="false">
      <c r="A881" s="1" t="s">
        <v>1070</v>
      </c>
      <c r="B881" s="1" t="n">
        <v>884</v>
      </c>
      <c r="C881" s="1" t="s">
        <v>984</v>
      </c>
      <c r="D881" s="1" t="s">
        <v>73</v>
      </c>
      <c r="E881" s="1" t="s">
        <v>985</v>
      </c>
      <c r="F881" s="13" t="n">
        <v>1</v>
      </c>
      <c r="G881" s="1" t="n">
        <v>1</v>
      </c>
      <c r="H881" s="1" t="n">
        <v>4</v>
      </c>
      <c r="I881" s="8" t="n">
        <v>1041391</v>
      </c>
      <c r="J881" s="1" t="n">
        <v>2</v>
      </c>
      <c r="K881" s="1" t="s">
        <v>51</v>
      </c>
      <c r="L881" s="1" t="n">
        <v>1</v>
      </c>
      <c r="P881" s="1" t="n">
        <f aca="false">SUM(M881:O881)</f>
        <v>0</v>
      </c>
      <c r="W881" s="1" t="n">
        <f aca="false">SUM(Q881:V881)</f>
        <v>0</v>
      </c>
      <c r="AF881" s="9" t="n">
        <f aca="false">SUM(Z881:AE881)</f>
        <v>0</v>
      </c>
      <c r="AG881" s="10"/>
      <c r="AH881" s="11"/>
      <c r="AI881" s="11"/>
      <c r="AJ881" s="11"/>
      <c r="AK881" s="11"/>
      <c r="AL881" s="11"/>
      <c r="AM881" s="11"/>
      <c r="AN881" s="11" t="n">
        <f aca="false">SUM(AH881:AM881)</f>
        <v>0</v>
      </c>
      <c r="AO881" s="1"/>
      <c r="AP881" s="1"/>
      <c r="AQ881" s="1"/>
      <c r="AR881" s="1"/>
    </row>
    <row r="882" customFormat="false" ht="13.8" hidden="false" customHeight="false" outlineLevel="0" collapsed="false">
      <c r="A882" s="1" t="s">
        <v>1071</v>
      </c>
      <c r="B882" s="1" t="n">
        <v>122</v>
      </c>
      <c r="C882" s="1" t="s">
        <v>984</v>
      </c>
      <c r="D882" s="1" t="s">
        <v>42</v>
      </c>
      <c r="E882" s="1" t="s">
        <v>985</v>
      </c>
      <c r="F882" s="1" t="n">
        <v>9</v>
      </c>
      <c r="G882" s="1" t="n">
        <v>1</v>
      </c>
      <c r="H882" s="1" t="n">
        <v>8</v>
      </c>
      <c r="I882" s="8" t="n">
        <v>2312049</v>
      </c>
      <c r="J882" s="1" t="n">
        <v>3</v>
      </c>
      <c r="K882" s="1" t="s">
        <v>96</v>
      </c>
      <c r="L882" s="1" t="n">
        <v>6</v>
      </c>
      <c r="O882" s="1" t="n">
        <v>1</v>
      </c>
      <c r="P882" s="1" t="n">
        <f aca="false">SUM(M882:O882)</f>
        <v>1</v>
      </c>
      <c r="R882" s="1" t="n">
        <v>3</v>
      </c>
      <c r="U882" s="1" t="n">
        <v>11</v>
      </c>
      <c r="W882" s="1" t="n">
        <f aca="false">SUM(Q882:V882)</f>
        <v>14</v>
      </c>
      <c r="Y882" s="1" t="n">
        <v>3</v>
      </c>
      <c r="AA882" s="9" t="n">
        <f aca="false">(R882)*(1+(J882)*0.2)</f>
        <v>4.8</v>
      </c>
      <c r="AD882" s="9" t="n">
        <f aca="false">(U882)*(1+(J882)*0.2)</f>
        <v>17.6</v>
      </c>
      <c r="AF882" s="9" t="n">
        <f aca="false">SUM(Z882:AE882)</f>
        <v>22.4</v>
      </c>
      <c r="AG882" s="10" t="s">
        <v>47</v>
      </c>
      <c r="AH882" s="11"/>
      <c r="AI882" s="11" t="n">
        <f aca="false">IF(AG882="yes",AA882*1.2,AA882)</f>
        <v>5.76</v>
      </c>
      <c r="AJ882" s="11"/>
      <c r="AK882" s="11"/>
      <c r="AL882" s="11" t="n">
        <f aca="false">IF(AG882="yes",AD882*1.2,AD882)</f>
        <v>21.12</v>
      </c>
      <c r="AM882" s="11"/>
      <c r="AN882" s="11" t="n">
        <f aca="false">SUM(AH882:AM882)</f>
        <v>26.88</v>
      </c>
      <c r="AO882" s="1"/>
      <c r="AP882" s="1"/>
      <c r="AQ882" s="1"/>
      <c r="AR882" s="1"/>
    </row>
    <row r="883" customFormat="false" ht="13.8" hidden="false" customHeight="false" outlineLevel="0" collapsed="false">
      <c r="A883" s="1" t="s">
        <v>1072</v>
      </c>
      <c r="B883" s="1" t="n">
        <v>128</v>
      </c>
      <c r="C883" s="1" t="s">
        <v>984</v>
      </c>
      <c r="D883" s="1" t="s">
        <v>42</v>
      </c>
      <c r="E883" s="1" t="s">
        <v>985</v>
      </c>
      <c r="F883" s="1" t="n">
        <v>25</v>
      </c>
      <c r="G883" s="1" t="n">
        <v>1</v>
      </c>
      <c r="H883" s="1" t="n">
        <v>7</v>
      </c>
      <c r="I883" s="8" t="n">
        <v>3689734</v>
      </c>
      <c r="J883" s="1" t="n">
        <v>4</v>
      </c>
      <c r="K883" s="1" t="s">
        <v>109</v>
      </c>
      <c r="L883" s="1" t="n">
        <v>10</v>
      </c>
      <c r="M883" s="1" t="n">
        <v>2</v>
      </c>
      <c r="O883" s="1" t="n">
        <v>3</v>
      </c>
      <c r="P883" s="1" t="n">
        <f aca="false">SUM(M883:O883)</f>
        <v>5</v>
      </c>
      <c r="U883" s="1" t="n">
        <v>27</v>
      </c>
      <c r="W883" s="1" t="n">
        <f aca="false">SUM(Q883:V883)</f>
        <v>27</v>
      </c>
      <c r="X883" s="1" t="n">
        <v>6</v>
      </c>
      <c r="AD883" s="9" t="n">
        <f aca="false">(U883)*(1+(J883)*0.2)</f>
        <v>48.6</v>
      </c>
      <c r="AF883" s="9" t="n">
        <f aca="false">SUM(Z883:AE883)</f>
        <v>48.6</v>
      </c>
      <c r="AG883" s="10" t="s">
        <v>47</v>
      </c>
      <c r="AH883" s="11"/>
      <c r="AI883" s="11"/>
      <c r="AJ883" s="11"/>
      <c r="AK883" s="11"/>
      <c r="AL883" s="11" t="n">
        <f aca="false">IF(AG883="yes",AD883*1.2,AD883)</f>
        <v>58.32</v>
      </c>
      <c r="AM883" s="11"/>
      <c r="AN883" s="11" t="n">
        <f aca="false">SUM(AH883:AM883)</f>
        <v>58.32</v>
      </c>
      <c r="AO883" s="1"/>
      <c r="AP883" s="1"/>
      <c r="AQ883" s="1"/>
      <c r="AR883" s="1"/>
    </row>
    <row r="884" customFormat="false" ht="13.8" hidden="false" customHeight="false" outlineLevel="0" collapsed="false">
      <c r="A884" s="1" t="s">
        <v>1073</v>
      </c>
      <c r="B884" s="1" t="n">
        <v>552</v>
      </c>
      <c r="C884" s="1" t="s">
        <v>984</v>
      </c>
      <c r="D884" s="1" t="s">
        <v>304</v>
      </c>
      <c r="E884" s="1" t="s">
        <v>985</v>
      </c>
      <c r="G884" s="1" t="n">
        <v>1</v>
      </c>
      <c r="H884" s="1" t="n">
        <v>10</v>
      </c>
      <c r="I884" s="8" t="n">
        <v>18562</v>
      </c>
      <c r="J884" s="1" t="n">
        <v>0</v>
      </c>
      <c r="K884" s="1" t="s">
        <v>76</v>
      </c>
      <c r="L884" s="1" t="n">
        <v>0</v>
      </c>
      <c r="P884" s="1" t="n">
        <f aca="false">SUM(M884:O884)</f>
        <v>0</v>
      </c>
      <c r="W884" s="1" t="n">
        <f aca="false">SUM(Q884:V884)</f>
        <v>0</v>
      </c>
      <c r="AF884" s="9" t="n">
        <f aca="false">SUM(Z884:AE884)</f>
        <v>0</v>
      </c>
      <c r="AG884" s="10"/>
      <c r="AH884" s="11"/>
      <c r="AI884" s="11"/>
      <c r="AJ884" s="11"/>
      <c r="AK884" s="11"/>
      <c r="AL884" s="11"/>
      <c r="AM884" s="11"/>
      <c r="AN884" s="11" t="n">
        <f aca="false">SUM(AH884:AM884)</f>
        <v>0</v>
      </c>
      <c r="AO884" s="1"/>
      <c r="AP884" s="1"/>
      <c r="AQ884" s="1"/>
      <c r="AR884" s="1"/>
    </row>
    <row r="885" customFormat="false" ht="13.8" hidden="false" customHeight="false" outlineLevel="0" collapsed="false">
      <c r="A885" s="1" t="s">
        <v>1074</v>
      </c>
      <c r="B885" s="1" t="n">
        <v>692</v>
      </c>
      <c r="C885" s="1" t="s">
        <v>984</v>
      </c>
      <c r="D885" s="1" t="s">
        <v>73</v>
      </c>
      <c r="E885" s="1" t="s">
        <v>985</v>
      </c>
      <c r="F885" s="1" t="n">
        <v>1</v>
      </c>
      <c r="G885" s="1" t="n">
        <v>1</v>
      </c>
      <c r="H885" s="1" t="n">
        <v>4</v>
      </c>
      <c r="I885" s="8" t="n">
        <v>76578</v>
      </c>
      <c r="J885" s="1" t="n">
        <v>2</v>
      </c>
      <c r="K885" s="1" t="s">
        <v>84</v>
      </c>
      <c r="L885" s="1" t="n">
        <v>1</v>
      </c>
      <c r="P885" s="1" t="n">
        <f aca="false">SUM(M885:O885)</f>
        <v>0</v>
      </c>
      <c r="W885" s="1" t="n">
        <f aca="false">SUM(Q885:V885)</f>
        <v>0</v>
      </c>
      <c r="Y885" s="1" t="n">
        <v>1</v>
      </c>
      <c r="AF885" s="9" t="n">
        <f aca="false">SUM(Z885:AE885)</f>
        <v>0</v>
      </c>
      <c r="AG885" s="10"/>
      <c r="AH885" s="11"/>
      <c r="AI885" s="11"/>
      <c r="AJ885" s="11"/>
      <c r="AK885" s="11"/>
      <c r="AL885" s="11"/>
      <c r="AM885" s="11"/>
      <c r="AN885" s="11" t="n">
        <f aca="false">SUM(AH885:AM885)</f>
        <v>0</v>
      </c>
      <c r="AO885" s="1"/>
      <c r="AP885" s="1"/>
      <c r="AQ885" s="1"/>
      <c r="AR885" s="1"/>
    </row>
    <row r="886" customFormat="false" ht="13.8" hidden="false" customHeight="false" outlineLevel="0" collapsed="false">
      <c r="A886" s="1" t="s">
        <v>1075</v>
      </c>
      <c r="B886" s="1" t="n">
        <v>130</v>
      </c>
      <c r="C886" s="1" t="s">
        <v>984</v>
      </c>
      <c r="D886" s="1" t="s">
        <v>42</v>
      </c>
      <c r="E886" s="1" t="s">
        <v>985</v>
      </c>
      <c r="F886" s="1" t="n">
        <v>30</v>
      </c>
      <c r="G886" s="1" t="n">
        <v>1</v>
      </c>
      <c r="H886" s="1" t="n">
        <v>9</v>
      </c>
      <c r="I886" s="8" t="n">
        <v>4768309</v>
      </c>
      <c r="J886" s="1" t="n">
        <v>4</v>
      </c>
      <c r="K886" s="1" t="s">
        <v>109</v>
      </c>
      <c r="L886" s="1" t="n">
        <v>10</v>
      </c>
      <c r="M886" s="1" t="n">
        <v>2</v>
      </c>
      <c r="O886" s="1" t="n">
        <v>3</v>
      </c>
      <c r="P886" s="1" t="n">
        <f aca="false">SUM(M886:O886)</f>
        <v>5</v>
      </c>
      <c r="U886" s="1" t="n">
        <v>71</v>
      </c>
      <c r="W886" s="1" t="n">
        <f aca="false">SUM(Q886:V886)</f>
        <v>71</v>
      </c>
      <c r="X886" s="1" t="n">
        <v>10</v>
      </c>
      <c r="Y886" s="1" t="n">
        <v>5</v>
      </c>
      <c r="AD886" s="9" t="n">
        <f aca="false">(U886)*(1+(J886)*0.2)</f>
        <v>127.8</v>
      </c>
      <c r="AF886" s="9" t="n">
        <f aca="false">SUM(Z886:AE886)</f>
        <v>127.8</v>
      </c>
      <c r="AG886" s="10" t="s">
        <v>47</v>
      </c>
      <c r="AH886" s="11"/>
      <c r="AI886" s="11"/>
      <c r="AJ886" s="11"/>
      <c r="AK886" s="11"/>
      <c r="AL886" s="11" t="n">
        <f aca="false">IF(AG886="yes",AD886*1.2,AD886)</f>
        <v>153.36</v>
      </c>
      <c r="AM886" s="11"/>
      <c r="AN886" s="11" t="n">
        <f aca="false">SUM(AH886:AM886)</f>
        <v>153.36</v>
      </c>
      <c r="AO886" s="1"/>
      <c r="AP886" s="1"/>
      <c r="AQ886" s="1"/>
      <c r="AR886" s="1"/>
    </row>
    <row r="887" customFormat="false" ht="13.8" hidden="false" customHeight="false" outlineLevel="0" collapsed="false">
      <c r="A887" s="1" t="s">
        <v>1076</v>
      </c>
      <c r="B887" s="1" t="n">
        <v>771</v>
      </c>
      <c r="C887" s="1" t="s">
        <v>984</v>
      </c>
      <c r="D887" s="1" t="s">
        <v>73</v>
      </c>
      <c r="E887" s="1" t="s">
        <v>985</v>
      </c>
      <c r="F887" s="1" t="n">
        <v>1</v>
      </c>
      <c r="G887" s="1" t="n">
        <v>1</v>
      </c>
      <c r="H887" s="1" t="n">
        <v>11</v>
      </c>
      <c r="I887" s="8" t="n">
        <v>1381774</v>
      </c>
      <c r="J887" s="1" t="n">
        <v>2</v>
      </c>
      <c r="K887" s="1" t="s">
        <v>44</v>
      </c>
      <c r="L887" s="1" t="n">
        <v>2</v>
      </c>
      <c r="P887" s="1" t="n">
        <f aca="false">SUM(M887:O887)</f>
        <v>0</v>
      </c>
      <c r="T887" s="1" t="n">
        <v>8</v>
      </c>
      <c r="V887" s="1" t="n">
        <v>35</v>
      </c>
      <c r="W887" s="1" t="n">
        <f aca="false">SUM(Q887:V887)</f>
        <v>43</v>
      </c>
      <c r="AC887" s="9" t="n">
        <f aca="false">(T887)*(1+(J887)*0.2)</f>
        <v>11.2</v>
      </c>
      <c r="AE887" s="9" t="n">
        <f aca="false">(V887)*(1+(J887)*0.2)</f>
        <v>49</v>
      </c>
      <c r="AF887" s="9" t="n">
        <f aca="false">SUM(Z887:AE887)</f>
        <v>60.2</v>
      </c>
      <c r="AG887" s="10" t="s">
        <v>47</v>
      </c>
      <c r="AH887" s="11"/>
      <c r="AI887" s="11"/>
      <c r="AJ887" s="11"/>
      <c r="AK887" s="11" t="n">
        <f aca="false">IF(AG887="yes",AC887*1.2,AC887)</f>
        <v>13.44</v>
      </c>
      <c r="AL887" s="11"/>
      <c r="AM887" s="11" t="n">
        <f aca="false">IF(AG887="yes",AE887*1.2,AE887)</f>
        <v>58.8</v>
      </c>
      <c r="AN887" s="11" t="n">
        <f aca="false">SUM(AH887:AM887)</f>
        <v>72.24</v>
      </c>
      <c r="AO887" s="1"/>
      <c r="AP887" s="1"/>
      <c r="AQ887" s="1"/>
      <c r="AR887" s="1"/>
    </row>
    <row r="888" customFormat="false" ht="13.8" hidden="false" customHeight="false" outlineLevel="0" collapsed="false">
      <c r="A888" s="1" t="s">
        <v>1077</v>
      </c>
      <c r="B888" s="1" t="n">
        <v>367</v>
      </c>
      <c r="C888" s="1" t="s">
        <v>1078</v>
      </c>
      <c r="D888" s="1" t="s">
        <v>42</v>
      </c>
      <c r="E888" s="1" t="s">
        <v>1079</v>
      </c>
      <c r="F888" s="1" t="n">
        <v>2</v>
      </c>
      <c r="G888" s="1" t="n">
        <v>1</v>
      </c>
      <c r="H888" s="1" t="n">
        <v>16</v>
      </c>
      <c r="I888" s="8" t="n">
        <v>2649477</v>
      </c>
      <c r="J888" s="1" t="n">
        <v>3</v>
      </c>
      <c r="K888" s="1" t="s">
        <v>96</v>
      </c>
      <c r="L888" s="1" t="n">
        <v>6</v>
      </c>
      <c r="O888" s="1" t="n">
        <v>3</v>
      </c>
      <c r="P888" s="1" t="n">
        <f aca="false">SUM(M888:O888)</f>
        <v>3</v>
      </c>
      <c r="W888" s="1" t="n">
        <f aca="false">SUM(Q888:V888)</f>
        <v>0</v>
      </c>
      <c r="Y888" s="1" t="n">
        <v>3</v>
      </c>
      <c r="AF888" s="9" t="n">
        <f aca="false">SUM(Z888:AE888)</f>
        <v>0</v>
      </c>
      <c r="AG888" s="10"/>
      <c r="AH888" s="11"/>
      <c r="AI888" s="11"/>
      <c r="AJ888" s="11"/>
      <c r="AK888" s="11"/>
      <c r="AL888" s="11"/>
      <c r="AM888" s="11"/>
      <c r="AN888" s="11" t="n">
        <f aca="false">SUM(AH888:AM888)</f>
        <v>0</v>
      </c>
      <c r="AO888" s="1"/>
      <c r="AP888" s="1"/>
      <c r="AQ888" s="1"/>
      <c r="AR888" s="1"/>
    </row>
    <row r="889" customFormat="false" ht="13.8" hidden="false" customHeight="false" outlineLevel="0" collapsed="false">
      <c r="A889" s="1" t="s">
        <v>1080</v>
      </c>
      <c r="B889" s="1" t="n">
        <v>463</v>
      </c>
      <c r="C889" s="1" t="s">
        <v>1078</v>
      </c>
      <c r="D889" s="1" t="s">
        <v>304</v>
      </c>
      <c r="E889" s="1" t="s">
        <v>1079</v>
      </c>
      <c r="F889" s="1" t="n">
        <v>4</v>
      </c>
      <c r="G889" s="1" t="n">
        <v>1</v>
      </c>
      <c r="H889" s="1" t="n">
        <v>15</v>
      </c>
      <c r="I889" s="8" t="n">
        <v>67582</v>
      </c>
      <c r="J889" s="1" t="n">
        <v>1</v>
      </c>
      <c r="K889" s="1" t="s">
        <v>44</v>
      </c>
      <c r="L889" s="1" t="n">
        <v>2</v>
      </c>
      <c r="P889" s="1" t="n">
        <f aca="false">SUM(M889:O889)</f>
        <v>0</v>
      </c>
      <c r="W889" s="1" t="n">
        <f aca="false">SUM(Q889:V889)</f>
        <v>0</v>
      </c>
      <c r="X889" s="1" t="n">
        <v>1</v>
      </c>
      <c r="Y889" s="1" t="n">
        <v>1</v>
      </c>
      <c r="AF889" s="9" t="n">
        <f aca="false">SUM(Z889:AE889)</f>
        <v>0</v>
      </c>
      <c r="AG889" s="10"/>
      <c r="AH889" s="11"/>
      <c r="AI889" s="11"/>
      <c r="AJ889" s="11"/>
      <c r="AK889" s="11"/>
      <c r="AL889" s="11"/>
      <c r="AM889" s="11"/>
      <c r="AN889" s="11" t="n">
        <f aca="false">SUM(AH889:AM889)</f>
        <v>0</v>
      </c>
      <c r="AO889" s="1"/>
      <c r="AP889" s="1"/>
      <c r="AQ889" s="1"/>
      <c r="AR889" s="1"/>
    </row>
    <row r="890" customFormat="false" ht="13.8" hidden="false" customHeight="false" outlineLevel="0" collapsed="false">
      <c r="A890" s="1" t="s">
        <v>1081</v>
      </c>
      <c r="B890" s="1" t="n">
        <v>377</v>
      </c>
      <c r="C890" s="1" t="s">
        <v>1078</v>
      </c>
      <c r="D890" s="1" t="s">
        <v>42</v>
      </c>
      <c r="E890" s="1" t="s">
        <v>1079</v>
      </c>
      <c r="F890" s="1" t="n">
        <v>3</v>
      </c>
      <c r="G890" s="1" t="n">
        <v>1</v>
      </c>
      <c r="H890" s="1" t="n">
        <v>14</v>
      </c>
      <c r="I890" s="8" t="n">
        <v>436104</v>
      </c>
      <c r="J890" s="1" t="n">
        <v>2</v>
      </c>
      <c r="K890" s="1" t="s">
        <v>44</v>
      </c>
      <c r="L890" s="1" t="n">
        <v>2</v>
      </c>
      <c r="O890" s="1" t="n">
        <v>1</v>
      </c>
      <c r="P890" s="1" t="n">
        <f aca="false">SUM(M890:O890)</f>
        <v>1</v>
      </c>
      <c r="Q890" s="1" t="n">
        <v>5</v>
      </c>
      <c r="R890" s="1" t="n">
        <v>8</v>
      </c>
      <c r="U890" s="1" t="n">
        <v>20</v>
      </c>
      <c r="W890" s="1" t="n">
        <f aca="false">SUM(Q890:V890)</f>
        <v>33</v>
      </c>
      <c r="X890" s="1" t="n">
        <v>2</v>
      </c>
      <c r="Z890" s="9" t="n">
        <f aca="false">(Q890)*(1+(J890)*0.2)</f>
        <v>7</v>
      </c>
      <c r="AA890" s="9" t="n">
        <f aca="false">(R890)*(1+(J890)*0.2)</f>
        <v>11.2</v>
      </c>
      <c r="AD890" s="9" t="n">
        <f aca="false">(U890)*(1+(J890)*0.2)</f>
        <v>28</v>
      </c>
      <c r="AF890" s="9" t="n">
        <f aca="false">SUM(Z890:AE890)</f>
        <v>46.2</v>
      </c>
      <c r="AG890" s="10" t="s">
        <v>47</v>
      </c>
      <c r="AH890" s="11" t="n">
        <f aca="false">IF(AG890="yes",Z890*1.2,Z890)</f>
        <v>8.4</v>
      </c>
      <c r="AI890" s="11" t="n">
        <f aca="false">IF(AG890="yes",AA890*1.2,AA890)</f>
        <v>13.44</v>
      </c>
      <c r="AJ890" s="11"/>
      <c r="AK890" s="11"/>
      <c r="AL890" s="11" t="n">
        <f aca="false">IF(AG890="yes",AD890*1.2,AD890)</f>
        <v>33.6</v>
      </c>
      <c r="AM890" s="11"/>
      <c r="AN890" s="11" t="n">
        <f aca="false">SUM(AH890:AM890)</f>
        <v>55.44</v>
      </c>
      <c r="AO890" s="1"/>
      <c r="AP890" s="1"/>
      <c r="AQ890" s="1"/>
      <c r="AR890" s="1"/>
    </row>
    <row r="891" customFormat="false" ht="13.8" hidden="false" customHeight="false" outlineLevel="0" collapsed="false">
      <c r="A891" s="1" t="s">
        <v>1082</v>
      </c>
      <c r="B891" s="1" t="n">
        <v>372</v>
      </c>
      <c r="C891" s="1" t="s">
        <v>1078</v>
      </c>
      <c r="D891" s="1" t="s">
        <v>42</v>
      </c>
      <c r="E891" s="1" t="s">
        <v>1079</v>
      </c>
      <c r="F891" s="1" t="n">
        <v>1</v>
      </c>
      <c r="G891" s="1" t="n">
        <v>1</v>
      </c>
      <c r="H891" s="1" t="n">
        <v>14</v>
      </c>
      <c r="I891" s="8" t="n">
        <v>1856745</v>
      </c>
      <c r="J891" s="1" t="n">
        <v>2</v>
      </c>
      <c r="K891" s="1" t="s">
        <v>46</v>
      </c>
      <c r="L891" s="1" t="n">
        <v>4</v>
      </c>
      <c r="O891" s="1" t="n">
        <v>2</v>
      </c>
      <c r="P891" s="1" t="n">
        <f aca="false">SUM(M891:O891)</f>
        <v>2</v>
      </c>
      <c r="R891" s="1" t="n">
        <v>14</v>
      </c>
      <c r="W891" s="1" t="n">
        <f aca="false">SUM(Q891:V891)</f>
        <v>14</v>
      </c>
      <c r="AA891" s="9" t="n">
        <f aca="false">(R891)*(1+(J891)*0.2)</f>
        <v>19.6</v>
      </c>
      <c r="AF891" s="9" t="n">
        <f aca="false">SUM(Z891:AE891)</f>
        <v>19.6</v>
      </c>
      <c r="AG891" s="10" t="s">
        <v>47</v>
      </c>
      <c r="AH891" s="11"/>
      <c r="AI891" s="11" t="n">
        <f aca="false">IF(AG891="yes",AA891*1.2,AA891)</f>
        <v>23.52</v>
      </c>
      <c r="AJ891" s="11"/>
      <c r="AK891" s="11"/>
      <c r="AL891" s="11"/>
      <c r="AM891" s="11"/>
      <c r="AN891" s="11" t="n">
        <f aca="false">SUM(AH891:AM891)</f>
        <v>23.52</v>
      </c>
      <c r="AO891" s="1"/>
      <c r="AP891" s="1"/>
      <c r="AQ891" s="1"/>
      <c r="AR891" s="1"/>
    </row>
    <row r="892" customFormat="false" ht="13.8" hidden="false" customHeight="false" outlineLevel="0" collapsed="false">
      <c r="A892" s="1" t="s">
        <v>1083</v>
      </c>
      <c r="B892" s="1" t="n">
        <v>650</v>
      </c>
      <c r="C892" s="1" t="s">
        <v>1078</v>
      </c>
      <c r="D892" s="1" t="s">
        <v>304</v>
      </c>
      <c r="E892" s="1" t="s">
        <v>1079</v>
      </c>
      <c r="F892" s="1" t="n">
        <v>1</v>
      </c>
      <c r="G892" s="1" t="n">
        <v>1</v>
      </c>
      <c r="H892" s="1" t="n">
        <v>1</v>
      </c>
      <c r="I892" s="8" t="n">
        <v>20</v>
      </c>
      <c r="J892" s="1" t="n">
        <v>1</v>
      </c>
      <c r="K892" s="1" t="s">
        <v>261</v>
      </c>
      <c r="L892" s="1" t="n">
        <v>0</v>
      </c>
      <c r="P892" s="1" t="n">
        <f aca="false">SUM(M892:O892)</f>
        <v>0</v>
      </c>
      <c r="W892" s="1" t="n">
        <f aca="false">SUM(Q892:V892)</f>
        <v>0</v>
      </c>
      <c r="Y892" s="1" t="n">
        <v>1</v>
      </c>
      <c r="AF892" s="9" t="n">
        <f aca="false">SUM(Z892:AE892)</f>
        <v>0</v>
      </c>
      <c r="AG892" s="10"/>
      <c r="AH892" s="11"/>
      <c r="AI892" s="11"/>
      <c r="AJ892" s="11"/>
      <c r="AK892" s="11"/>
      <c r="AL892" s="11"/>
      <c r="AM892" s="11"/>
      <c r="AN892" s="11" t="n">
        <f aca="false">SUM(AH892:AM892)</f>
        <v>0</v>
      </c>
      <c r="AO892" s="1"/>
      <c r="AP892" s="1"/>
      <c r="AQ892" s="1"/>
      <c r="AR892" s="1"/>
    </row>
    <row r="893" customFormat="false" ht="13.8" hidden="false" customHeight="false" outlineLevel="0" collapsed="false">
      <c r="A893" s="1" t="s">
        <v>1084</v>
      </c>
      <c r="B893" s="1" t="n">
        <v>378</v>
      </c>
      <c r="C893" s="1" t="s">
        <v>1078</v>
      </c>
      <c r="D893" s="1" t="s">
        <v>42</v>
      </c>
      <c r="E893" s="1" t="s">
        <v>1079</v>
      </c>
      <c r="F893" s="1" t="n">
        <v>71</v>
      </c>
      <c r="G893" s="1" t="n">
        <v>1</v>
      </c>
      <c r="H893" s="1" t="n">
        <v>57</v>
      </c>
      <c r="I893" s="8" t="n">
        <v>5684178</v>
      </c>
      <c r="J893" s="1" t="n">
        <v>3</v>
      </c>
      <c r="K893" s="1" t="s">
        <v>109</v>
      </c>
      <c r="L893" s="1" t="n">
        <v>10</v>
      </c>
      <c r="M893" s="1" t="n">
        <v>2</v>
      </c>
      <c r="N893" s="1" t="n">
        <v>2</v>
      </c>
      <c r="O893" s="1" t="n">
        <v>6</v>
      </c>
      <c r="P893" s="1" t="n">
        <f aca="false">SUM(M893:O893)</f>
        <v>10</v>
      </c>
      <c r="Q893" s="1" t="n">
        <v>180</v>
      </c>
      <c r="R893" s="1" t="n">
        <v>8</v>
      </c>
      <c r="W893" s="1" t="n">
        <f aca="false">SUM(Q893:V893)</f>
        <v>188</v>
      </c>
      <c r="X893" s="1" t="n">
        <v>10</v>
      </c>
      <c r="Y893" s="1" t="n">
        <v>20</v>
      </c>
      <c r="Z893" s="9" t="n">
        <f aca="false">(Q893)*(1+(J893)*0.2)</f>
        <v>288</v>
      </c>
      <c r="AA893" s="9" t="n">
        <f aca="false">(R893)*(1+(J893)*0.2)</f>
        <v>12.8</v>
      </c>
      <c r="AF893" s="9" t="n">
        <f aca="false">SUM(Z893:AE893)</f>
        <v>300.8</v>
      </c>
      <c r="AG893" s="21" t="s">
        <v>47</v>
      </c>
      <c r="AH893" s="11" t="n">
        <f aca="false">IF(AG893="yes",Z893*1.2,Z893)</f>
        <v>345.6</v>
      </c>
      <c r="AI893" s="11" t="n">
        <f aca="false">IF(AG893="yes",AA893*1.2,AA893)</f>
        <v>15.36</v>
      </c>
      <c r="AJ893" s="11"/>
      <c r="AK893" s="11"/>
      <c r="AL893" s="11"/>
      <c r="AM893" s="11"/>
      <c r="AN893" s="11" t="n">
        <f aca="false">SUM(AH893:AM893)</f>
        <v>360.96</v>
      </c>
      <c r="AO893" s="1"/>
      <c r="AP893" s="1"/>
      <c r="AQ893" s="1"/>
      <c r="AR893" s="1"/>
    </row>
    <row r="894" customFormat="false" ht="13.8" hidden="false" customHeight="false" outlineLevel="0" collapsed="false">
      <c r="A894" s="1" t="s">
        <v>1085</v>
      </c>
      <c r="B894" s="1" t="n">
        <v>382</v>
      </c>
      <c r="C894" s="1" t="s">
        <v>1078</v>
      </c>
      <c r="D894" s="1" t="s">
        <v>42</v>
      </c>
      <c r="E894" s="1" t="s">
        <v>1079</v>
      </c>
      <c r="F894" s="1" t="n">
        <v>5</v>
      </c>
      <c r="G894" s="1" t="n">
        <v>1</v>
      </c>
      <c r="H894" s="1" t="n">
        <v>17</v>
      </c>
      <c r="I894" s="8" t="n">
        <v>1037054</v>
      </c>
      <c r="J894" s="1" t="n">
        <v>2</v>
      </c>
      <c r="K894" s="1" t="s">
        <v>46</v>
      </c>
      <c r="L894" s="1" t="n">
        <v>4</v>
      </c>
      <c r="O894" s="1" t="n">
        <v>1</v>
      </c>
      <c r="P894" s="1" t="n">
        <f aca="false">SUM(M894:O894)</f>
        <v>1</v>
      </c>
      <c r="Q894" s="1" t="n">
        <v>14</v>
      </c>
      <c r="W894" s="1" t="n">
        <f aca="false">SUM(Q894:V894)</f>
        <v>14</v>
      </c>
      <c r="Z894" s="9" t="n">
        <f aca="false">(Q894)*(1+(J894)*0.2)</f>
        <v>19.6</v>
      </c>
      <c r="AF894" s="9" t="n">
        <f aca="false">SUM(Z894:AE894)</f>
        <v>19.6</v>
      </c>
      <c r="AG894" s="21" t="s">
        <v>47</v>
      </c>
      <c r="AH894" s="11" t="n">
        <f aca="false">IF(AG894="yes",Z894*1.2,Z894)</f>
        <v>23.52</v>
      </c>
      <c r="AI894" s="11"/>
      <c r="AJ894" s="11"/>
      <c r="AK894" s="11"/>
      <c r="AL894" s="11"/>
      <c r="AM894" s="11"/>
      <c r="AN894" s="11" t="n">
        <f aca="false">SUM(AH894:AM894)</f>
        <v>23.52</v>
      </c>
      <c r="AO894" s="1"/>
      <c r="AP894" s="1"/>
      <c r="AQ894" s="1"/>
      <c r="AR894" s="1"/>
    </row>
    <row r="895" customFormat="false" ht="13.8" hidden="false" customHeight="false" outlineLevel="0" collapsed="false">
      <c r="A895" s="1" t="s">
        <v>1086</v>
      </c>
      <c r="B895" s="1" t="n">
        <v>366</v>
      </c>
      <c r="C895" s="1" t="s">
        <v>1078</v>
      </c>
      <c r="D895" s="1" t="s">
        <v>42</v>
      </c>
      <c r="E895" s="1" t="s">
        <v>1079</v>
      </c>
      <c r="F895" s="1" t="n">
        <v>5</v>
      </c>
      <c r="G895" s="1" t="n">
        <v>1</v>
      </c>
      <c r="H895" s="1" t="n">
        <v>16</v>
      </c>
      <c r="I895" s="8" t="n">
        <v>1470002</v>
      </c>
      <c r="J895" s="1" t="n">
        <v>2</v>
      </c>
      <c r="K895" s="1" t="s">
        <v>96</v>
      </c>
      <c r="L895" s="1" t="n">
        <v>6</v>
      </c>
      <c r="O895" s="1" t="n">
        <v>3</v>
      </c>
      <c r="P895" s="1" t="n">
        <f aca="false">SUM(M895:O895)</f>
        <v>3</v>
      </c>
      <c r="W895" s="1" t="n">
        <f aca="false">SUM(Q895:V895)</f>
        <v>0</v>
      </c>
      <c r="X895" s="1" t="n">
        <v>8</v>
      </c>
      <c r="Y895" s="1" t="n">
        <v>11</v>
      </c>
      <c r="AF895" s="9" t="n">
        <f aca="false">SUM(Z895:AE895)</f>
        <v>0</v>
      </c>
      <c r="AG895" s="10"/>
      <c r="AH895" s="11"/>
      <c r="AI895" s="11"/>
      <c r="AJ895" s="11"/>
      <c r="AK895" s="11"/>
      <c r="AL895" s="11"/>
      <c r="AM895" s="11"/>
      <c r="AN895" s="11" t="n">
        <f aca="false">SUM(AH895:AM895)</f>
        <v>0</v>
      </c>
      <c r="AO895" s="1"/>
      <c r="AP895" s="1"/>
      <c r="AQ895" s="1"/>
      <c r="AR895" s="1"/>
    </row>
    <row r="896" customFormat="false" ht="13.8" hidden="false" customHeight="false" outlineLevel="0" collapsed="false">
      <c r="A896" s="1" t="s">
        <v>783</v>
      </c>
      <c r="B896" s="1" t="n">
        <v>365</v>
      </c>
      <c r="C896" s="1" t="s">
        <v>1078</v>
      </c>
      <c r="D896" s="1" t="s">
        <v>42</v>
      </c>
      <c r="E896" s="1" t="s">
        <v>1079</v>
      </c>
      <c r="F896" s="1" t="n">
        <v>10</v>
      </c>
      <c r="G896" s="1" t="n">
        <v>1</v>
      </c>
      <c r="H896" s="1" t="n">
        <v>19</v>
      </c>
      <c r="I896" s="8" t="n">
        <v>2912054</v>
      </c>
      <c r="J896" s="1" t="n">
        <v>3</v>
      </c>
      <c r="K896" s="1" t="s">
        <v>96</v>
      </c>
      <c r="L896" s="1" t="n">
        <v>6</v>
      </c>
      <c r="O896" s="1" t="n">
        <v>3</v>
      </c>
      <c r="P896" s="1" t="n">
        <f aca="false">SUM(M896:O896)</f>
        <v>3</v>
      </c>
      <c r="W896" s="1" t="n">
        <f aca="false">SUM(Q896:V896)</f>
        <v>0</v>
      </c>
      <c r="X896" s="1" t="n">
        <v>2</v>
      </c>
      <c r="Y896" s="1" t="n">
        <v>1</v>
      </c>
      <c r="AF896" s="9" t="n">
        <f aca="false">SUM(Z896:AE896)</f>
        <v>0</v>
      </c>
      <c r="AG896" s="10"/>
      <c r="AH896" s="11"/>
      <c r="AI896" s="11"/>
      <c r="AJ896" s="11"/>
      <c r="AK896" s="11"/>
      <c r="AL896" s="11"/>
      <c r="AM896" s="11"/>
      <c r="AN896" s="11" t="n">
        <f aca="false">SUM(AH896:AM896)</f>
        <v>0</v>
      </c>
      <c r="AO896" s="1"/>
      <c r="AP896" s="1"/>
      <c r="AQ896" s="1"/>
      <c r="AR896" s="1"/>
    </row>
    <row r="897" customFormat="false" ht="13.8" hidden="false" customHeight="false" outlineLevel="0" collapsed="false">
      <c r="A897" s="1" t="s">
        <v>1087</v>
      </c>
      <c r="B897" s="1" t="n">
        <v>638</v>
      </c>
      <c r="C897" s="1" t="s">
        <v>1078</v>
      </c>
      <c r="D897" s="1" t="s">
        <v>73</v>
      </c>
      <c r="E897" s="1" t="s">
        <v>1079</v>
      </c>
      <c r="F897" s="1" t="n">
        <v>1</v>
      </c>
      <c r="G897" s="1" t="n">
        <v>1</v>
      </c>
      <c r="H897" s="1" t="n">
        <v>1</v>
      </c>
      <c r="I897" s="8" t="n">
        <v>75245</v>
      </c>
      <c r="J897" s="1" t="n">
        <v>3</v>
      </c>
      <c r="K897" s="1" t="s">
        <v>84</v>
      </c>
      <c r="L897" s="1" t="n">
        <v>1</v>
      </c>
      <c r="P897" s="1" t="n">
        <f aca="false">SUM(M897:O897)</f>
        <v>0</v>
      </c>
      <c r="W897" s="1" t="n">
        <f aca="false">SUM(Q897:V897)</f>
        <v>0</v>
      </c>
      <c r="Y897" s="1" t="n">
        <v>1</v>
      </c>
      <c r="AF897" s="9" t="n">
        <f aca="false">SUM(Z897:AE897)</f>
        <v>0</v>
      </c>
      <c r="AG897" s="10"/>
      <c r="AH897" s="11"/>
      <c r="AI897" s="11"/>
      <c r="AJ897" s="11"/>
      <c r="AK897" s="11"/>
      <c r="AL897" s="11"/>
      <c r="AM897" s="11"/>
      <c r="AN897" s="11" t="n">
        <f aca="false">SUM(AH897:AM897)</f>
        <v>0</v>
      </c>
      <c r="AO897" s="1"/>
      <c r="AP897" s="1"/>
      <c r="AQ897" s="1"/>
      <c r="AR897" s="1"/>
    </row>
    <row r="898" customFormat="false" ht="13.8" hidden="false" customHeight="false" outlineLevel="0" collapsed="false">
      <c r="A898" s="1" t="s">
        <v>1088</v>
      </c>
      <c r="B898" s="1" t="n">
        <v>629</v>
      </c>
      <c r="C898" s="1" t="s">
        <v>1078</v>
      </c>
      <c r="D898" s="1" t="s">
        <v>73</v>
      </c>
      <c r="E898" s="1" t="s">
        <v>1079</v>
      </c>
      <c r="F898" s="1" t="n">
        <v>18</v>
      </c>
      <c r="G898" s="1" t="n">
        <v>1</v>
      </c>
      <c r="H898" s="1" t="n">
        <v>5</v>
      </c>
      <c r="I898" s="8" t="n">
        <v>368786</v>
      </c>
      <c r="J898" s="1" t="n">
        <v>2</v>
      </c>
      <c r="K898" s="1" t="s">
        <v>46</v>
      </c>
      <c r="L898" s="1" t="n">
        <v>4</v>
      </c>
      <c r="P898" s="1" t="n">
        <f aca="false">SUM(M898:O898)</f>
        <v>0</v>
      </c>
      <c r="W898" s="1" t="n">
        <f aca="false">SUM(Q898:V898)</f>
        <v>0</v>
      </c>
      <c r="X898" s="1" t="n">
        <v>5</v>
      </c>
      <c r="Y898" s="1" t="n">
        <v>10</v>
      </c>
      <c r="AF898" s="9" t="n">
        <f aca="false">SUM(Z898:AE898)</f>
        <v>0</v>
      </c>
      <c r="AG898" s="10"/>
      <c r="AH898" s="11"/>
      <c r="AI898" s="11"/>
      <c r="AJ898" s="11"/>
      <c r="AK898" s="11"/>
      <c r="AL898" s="11"/>
      <c r="AM898" s="11"/>
      <c r="AN898" s="11" t="n">
        <f aca="false">SUM(AH898:AM898)</f>
        <v>0</v>
      </c>
      <c r="AO898" s="1"/>
      <c r="AP898" s="1"/>
      <c r="AQ898" s="1"/>
      <c r="AR898" s="1"/>
    </row>
    <row r="899" customFormat="false" ht="13.8" hidden="false" customHeight="false" outlineLevel="0" collapsed="false">
      <c r="A899" s="1" t="s">
        <v>1089</v>
      </c>
      <c r="B899" s="1" t="n">
        <v>387</v>
      </c>
      <c r="C899" s="1" t="s">
        <v>1078</v>
      </c>
      <c r="D899" s="1" t="s">
        <v>42</v>
      </c>
      <c r="E899" s="1" t="s">
        <v>1079</v>
      </c>
      <c r="F899" s="1" t="n">
        <v>1</v>
      </c>
      <c r="G899" s="1" t="n">
        <v>1</v>
      </c>
      <c r="H899" s="1" t="n">
        <v>13</v>
      </c>
      <c r="I899" s="8" t="n">
        <v>445574</v>
      </c>
      <c r="J899" s="1" t="n">
        <v>2</v>
      </c>
      <c r="K899" s="1" t="s">
        <v>44</v>
      </c>
      <c r="L899" s="1" t="n">
        <v>2</v>
      </c>
      <c r="P899" s="1" t="n">
        <f aca="false">SUM(M899:O899)</f>
        <v>0</v>
      </c>
      <c r="T899" s="1" t="n">
        <v>18</v>
      </c>
      <c r="U899" s="1" t="n">
        <v>18</v>
      </c>
      <c r="V899" s="1" t="n">
        <v>1</v>
      </c>
      <c r="W899" s="1" t="n">
        <f aca="false">SUM(Q899:V899)</f>
        <v>37</v>
      </c>
      <c r="AC899" s="9" t="n">
        <f aca="false">(T899)*(1+(J899)*0.2)</f>
        <v>25.2</v>
      </c>
      <c r="AD899" s="9" t="n">
        <f aca="false">(U899)*(1+(J899)*0.2)</f>
        <v>25.2</v>
      </c>
      <c r="AE899" s="9" t="n">
        <f aca="false">(V899)*(1+(J899)*0.2)</f>
        <v>1.4</v>
      </c>
      <c r="AF899" s="9" t="n">
        <f aca="false">SUM(Z899:AE899)</f>
        <v>51.8</v>
      </c>
      <c r="AG899" s="10" t="s">
        <v>47</v>
      </c>
      <c r="AH899" s="11"/>
      <c r="AI899" s="11"/>
      <c r="AJ899" s="11"/>
      <c r="AK899" s="11" t="n">
        <f aca="false">IF(AG899="yes",AC899*1.2,AC899)</f>
        <v>30.24</v>
      </c>
      <c r="AL899" s="11" t="n">
        <f aca="false">IF(AG899="yes",AD899*1.2,AD899)</f>
        <v>30.24</v>
      </c>
      <c r="AM899" s="11" t="n">
        <f aca="false">IF(AG899="yes",AE899*1.2,AE899)</f>
        <v>1.68</v>
      </c>
      <c r="AN899" s="11" t="n">
        <f aca="false">SUM(AH899:AM899)</f>
        <v>62.16</v>
      </c>
      <c r="AO899" s="1"/>
      <c r="AP899" s="1"/>
      <c r="AQ899" s="1"/>
      <c r="AR899" s="1"/>
    </row>
    <row r="900" customFormat="false" ht="13.8" hidden="false" customHeight="false" outlineLevel="0" collapsed="false">
      <c r="A900" s="1" t="s">
        <v>1090</v>
      </c>
      <c r="B900" s="1" t="n">
        <v>395</v>
      </c>
      <c r="C900" s="1" t="s">
        <v>1078</v>
      </c>
      <c r="D900" s="1" t="s">
        <v>42</v>
      </c>
      <c r="E900" s="1" t="s">
        <v>1079</v>
      </c>
      <c r="F900" s="1" t="n">
        <v>30</v>
      </c>
      <c r="G900" s="1" t="n">
        <v>1</v>
      </c>
      <c r="H900" s="1" t="n">
        <v>24</v>
      </c>
      <c r="I900" s="8" t="n">
        <v>7639966</v>
      </c>
      <c r="J900" s="1" t="n">
        <v>4</v>
      </c>
      <c r="K900" s="1" t="s">
        <v>381</v>
      </c>
      <c r="L900" s="1" t="n">
        <v>12</v>
      </c>
      <c r="M900" s="1" t="n">
        <v>1</v>
      </c>
      <c r="O900" s="1" t="n">
        <v>11</v>
      </c>
      <c r="P900" s="1" t="n">
        <f aca="false">SUM(M900:O900)</f>
        <v>12</v>
      </c>
      <c r="W900" s="1" t="n">
        <f aca="false">SUM(Q900:V900)</f>
        <v>0</v>
      </c>
      <c r="X900" s="1" t="n">
        <v>3</v>
      </c>
      <c r="AF900" s="9" t="n">
        <f aca="false">SUM(Z900:AE900)</f>
        <v>0</v>
      </c>
      <c r="AG900" s="10"/>
      <c r="AH900" s="11"/>
      <c r="AI900" s="11"/>
      <c r="AJ900" s="11"/>
      <c r="AK900" s="11"/>
      <c r="AL900" s="11"/>
      <c r="AM900" s="11"/>
      <c r="AN900" s="11" t="n">
        <f aca="false">SUM(AH900:AM900)</f>
        <v>0</v>
      </c>
      <c r="AO900" s="1"/>
      <c r="AP900" s="1"/>
      <c r="AQ900" s="1"/>
      <c r="AR900" s="1"/>
    </row>
    <row r="901" customFormat="false" ht="13.8" hidden="false" customHeight="false" outlineLevel="0" collapsed="false">
      <c r="A901" s="1" t="s">
        <v>1091</v>
      </c>
      <c r="B901" s="1" t="n">
        <v>396</v>
      </c>
      <c r="C901" s="1" t="s">
        <v>1078</v>
      </c>
      <c r="D901" s="1" t="s">
        <v>42</v>
      </c>
      <c r="E901" s="1" t="s">
        <v>1079</v>
      </c>
      <c r="F901" s="1" t="n">
        <v>5</v>
      </c>
      <c r="G901" s="1" t="n">
        <v>1</v>
      </c>
      <c r="H901" s="1" t="n">
        <v>17</v>
      </c>
      <c r="I901" s="8" t="n">
        <v>3242454</v>
      </c>
      <c r="J901" s="1" t="n">
        <v>3</v>
      </c>
      <c r="K901" s="1" t="s">
        <v>57</v>
      </c>
      <c r="L901" s="1" t="n">
        <v>8</v>
      </c>
      <c r="O901" s="1" t="n">
        <v>5</v>
      </c>
      <c r="P901" s="1" t="n">
        <f aca="false">SUM(M901:O901)</f>
        <v>5</v>
      </c>
      <c r="W901" s="1" t="n">
        <f aca="false">SUM(Q901:V901)</f>
        <v>0</v>
      </c>
      <c r="AF901" s="9" t="n">
        <f aca="false">SUM(Z901:AE901)</f>
        <v>0</v>
      </c>
      <c r="AG901" s="10"/>
      <c r="AH901" s="11"/>
      <c r="AI901" s="11"/>
      <c r="AJ901" s="11"/>
      <c r="AK901" s="11"/>
      <c r="AL901" s="11"/>
      <c r="AM901" s="11"/>
      <c r="AN901" s="11" t="n">
        <f aca="false">SUM(AH901:AM901)</f>
        <v>0</v>
      </c>
      <c r="AO901" s="1"/>
      <c r="AP901" s="1"/>
      <c r="AQ901" s="1"/>
      <c r="AR901" s="1"/>
    </row>
    <row r="902" customFormat="false" ht="13.8" hidden="false" customHeight="false" outlineLevel="0" collapsed="false">
      <c r="A902" s="1" t="s">
        <v>1092</v>
      </c>
      <c r="B902" s="1" t="n">
        <v>392</v>
      </c>
      <c r="C902" s="1" t="s">
        <v>1078</v>
      </c>
      <c r="D902" s="1" t="s">
        <v>42</v>
      </c>
      <c r="E902" s="1" t="s">
        <v>1079</v>
      </c>
      <c r="F902" s="1" t="n">
        <v>3</v>
      </c>
      <c r="G902" s="1" t="n">
        <v>1</v>
      </c>
      <c r="H902" s="1" t="n">
        <v>16</v>
      </c>
      <c r="I902" s="8" t="n">
        <v>2473954</v>
      </c>
      <c r="J902" s="1" t="n">
        <v>3</v>
      </c>
      <c r="K902" s="1" t="s">
        <v>96</v>
      </c>
      <c r="L902" s="1" t="n">
        <v>6</v>
      </c>
      <c r="O902" s="1" t="n">
        <v>4</v>
      </c>
      <c r="P902" s="1" t="n">
        <f aca="false">SUM(M902:O902)</f>
        <v>4</v>
      </c>
      <c r="W902" s="1" t="n">
        <f aca="false">SUM(Q902:V902)</f>
        <v>0</v>
      </c>
      <c r="AF902" s="9" t="n">
        <f aca="false">SUM(Z902:AE902)</f>
        <v>0</v>
      </c>
      <c r="AG902" s="10"/>
      <c r="AH902" s="11"/>
      <c r="AI902" s="11"/>
      <c r="AJ902" s="11"/>
      <c r="AK902" s="11"/>
      <c r="AL902" s="11"/>
      <c r="AM902" s="11"/>
      <c r="AN902" s="11" t="n">
        <f aca="false">SUM(AH902:AM902)</f>
        <v>0</v>
      </c>
      <c r="AO902" s="1"/>
      <c r="AP902" s="1"/>
      <c r="AQ902" s="1"/>
      <c r="AR902" s="1"/>
    </row>
    <row r="903" customFormat="false" ht="13.8" hidden="false" customHeight="false" outlineLevel="0" collapsed="false">
      <c r="A903" s="1" t="s">
        <v>1093</v>
      </c>
      <c r="B903" s="1" t="n">
        <v>630</v>
      </c>
      <c r="C903" s="1" t="s">
        <v>1078</v>
      </c>
      <c r="D903" s="1" t="s">
        <v>73</v>
      </c>
      <c r="E903" s="1" t="s">
        <v>1079</v>
      </c>
      <c r="G903" s="1" t="n">
        <v>1</v>
      </c>
      <c r="H903" s="1" t="n">
        <v>1</v>
      </c>
      <c r="I903" s="8" t="n">
        <v>100</v>
      </c>
      <c r="J903" s="1" t="n">
        <v>1</v>
      </c>
      <c r="K903" s="1" t="s">
        <v>261</v>
      </c>
      <c r="L903" s="1" t="n">
        <v>0</v>
      </c>
      <c r="P903" s="1" t="n">
        <f aca="false">SUM(M903:O903)</f>
        <v>0</v>
      </c>
      <c r="W903" s="1" t="n">
        <f aca="false">SUM(Q903:V903)</f>
        <v>0</v>
      </c>
      <c r="Y903" s="1" t="n">
        <v>1</v>
      </c>
      <c r="AF903" s="9" t="n">
        <f aca="false">SUM(Z903:AE903)</f>
        <v>0</v>
      </c>
      <c r="AG903" s="10"/>
      <c r="AH903" s="11"/>
      <c r="AI903" s="11"/>
      <c r="AJ903" s="11"/>
      <c r="AK903" s="11"/>
      <c r="AL903" s="11"/>
      <c r="AM903" s="11"/>
      <c r="AN903" s="11" t="n">
        <f aca="false">SUM(AH903:AM903)</f>
        <v>0</v>
      </c>
      <c r="AO903" s="1"/>
      <c r="AP903" s="1"/>
      <c r="AQ903" s="1"/>
      <c r="AR903" s="1"/>
    </row>
    <row r="904" customFormat="false" ht="13.8" hidden="false" customHeight="false" outlineLevel="0" collapsed="false">
      <c r="A904" s="1" t="s">
        <v>1094</v>
      </c>
      <c r="B904" s="1" t="n">
        <v>383</v>
      </c>
      <c r="C904" s="1" t="s">
        <v>1078</v>
      </c>
      <c r="D904" s="1" t="s">
        <v>42</v>
      </c>
      <c r="E904" s="1" t="s">
        <v>1079</v>
      </c>
      <c r="F904" s="1" t="n">
        <v>4</v>
      </c>
      <c r="G904" s="1" t="n">
        <v>1</v>
      </c>
      <c r="H904" s="1" t="n">
        <v>15</v>
      </c>
      <c r="I904" s="8" t="n">
        <v>1883294</v>
      </c>
      <c r="J904" s="1" t="n">
        <v>2</v>
      </c>
      <c r="K904" s="1" t="s">
        <v>96</v>
      </c>
      <c r="L904" s="1" t="n">
        <v>6</v>
      </c>
      <c r="M904" s="1" t="n">
        <v>1</v>
      </c>
      <c r="O904" s="1" t="n">
        <v>1</v>
      </c>
      <c r="P904" s="1" t="n">
        <f aca="false">SUM(M904:O904)</f>
        <v>2</v>
      </c>
      <c r="Q904" s="1" t="n">
        <v>30</v>
      </c>
      <c r="W904" s="1" t="n">
        <f aca="false">SUM(Q904:V904)</f>
        <v>30</v>
      </c>
      <c r="Z904" s="9" t="n">
        <f aca="false">(Q904)*(1+(J904)*0.2)</f>
        <v>42</v>
      </c>
      <c r="AF904" s="9" t="n">
        <f aca="false">SUM(Z904:AE904)</f>
        <v>42</v>
      </c>
      <c r="AG904" s="10" t="s">
        <v>47</v>
      </c>
      <c r="AH904" s="11" t="n">
        <f aca="false">IF(AG904="yes",Z904*1.2,Z904)</f>
        <v>50.4</v>
      </c>
      <c r="AI904" s="11"/>
      <c r="AJ904" s="11"/>
      <c r="AK904" s="11"/>
      <c r="AL904" s="11"/>
      <c r="AM904" s="11"/>
      <c r="AN904" s="11" t="n">
        <f aca="false">SUM(AH904:AM904)</f>
        <v>50.4</v>
      </c>
      <c r="AO904" s="1"/>
      <c r="AP904" s="1"/>
      <c r="AQ904" s="1"/>
      <c r="AR904" s="1"/>
    </row>
    <row r="905" customFormat="false" ht="13.8" hidden="false" customHeight="false" outlineLevel="0" collapsed="false">
      <c r="A905" s="1" t="s">
        <v>1095</v>
      </c>
      <c r="B905" s="1" t="n">
        <v>369</v>
      </c>
      <c r="C905" s="1" t="s">
        <v>1078</v>
      </c>
      <c r="D905" s="1" t="s">
        <v>42</v>
      </c>
      <c r="E905" s="1" t="s">
        <v>1079</v>
      </c>
      <c r="F905" s="1" t="n">
        <v>1</v>
      </c>
      <c r="G905" s="1" t="n">
        <v>1</v>
      </c>
      <c r="H905" s="1" t="n">
        <v>14</v>
      </c>
      <c r="I905" s="8" t="n">
        <v>2617780</v>
      </c>
      <c r="J905" s="1" t="n">
        <v>3</v>
      </c>
      <c r="K905" s="1" t="s">
        <v>96</v>
      </c>
      <c r="L905" s="1" t="n">
        <v>6</v>
      </c>
      <c r="O905" s="1" t="n">
        <v>3</v>
      </c>
      <c r="P905" s="1" t="n">
        <f aca="false">SUM(M905:O905)</f>
        <v>3</v>
      </c>
      <c r="W905" s="1" t="n">
        <f aca="false">SUM(Q905:V905)</f>
        <v>0</v>
      </c>
      <c r="X905" s="1" t="n">
        <v>4</v>
      </c>
      <c r="AF905" s="9" t="n">
        <f aca="false">SUM(Z905:AE905)</f>
        <v>0</v>
      </c>
      <c r="AG905" s="10"/>
      <c r="AH905" s="11"/>
      <c r="AI905" s="11"/>
      <c r="AJ905" s="11"/>
      <c r="AK905" s="11"/>
      <c r="AL905" s="11"/>
      <c r="AM905" s="11"/>
      <c r="AN905" s="11" t="n">
        <f aca="false">SUM(AH905:AM905)</f>
        <v>0</v>
      </c>
      <c r="AO905" s="1"/>
      <c r="AP905" s="1"/>
      <c r="AQ905" s="1"/>
      <c r="AR905" s="1"/>
    </row>
    <row r="906" customFormat="false" ht="13.8" hidden="false" customHeight="false" outlineLevel="0" collapsed="false">
      <c r="A906" s="1" t="s">
        <v>1096</v>
      </c>
      <c r="B906" s="1" t="n">
        <v>727</v>
      </c>
      <c r="C906" s="1" t="s">
        <v>1078</v>
      </c>
      <c r="D906" s="1" t="s">
        <v>73</v>
      </c>
      <c r="E906" s="1" t="s">
        <v>1079</v>
      </c>
      <c r="G906" s="1" t="n">
        <v>1</v>
      </c>
      <c r="H906" s="1" t="n">
        <v>3</v>
      </c>
      <c r="I906" s="8" t="n">
        <v>5374</v>
      </c>
      <c r="J906" s="1" t="n">
        <v>1</v>
      </c>
      <c r="K906" s="1" t="s">
        <v>84</v>
      </c>
      <c r="L906" s="1" t="n">
        <v>1</v>
      </c>
      <c r="P906" s="1" t="n">
        <f aca="false">SUM(M906:O906)</f>
        <v>0</v>
      </c>
      <c r="W906" s="1" t="n">
        <f aca="false">SUM(Q906:V906)</f>
        <v>0</v>
      </c>
      <c r="Y906" s="1" t="n">
        <v>3</v>
      </c>
      <c r="AF906" s="9" t="n">
        <f aca="false">SUM(Z906:AE906)</f>
        <v>0</v>
      </c>
      <c r="AG906" s="10"/>
      <c r="AH906" s="11"/>
      <c r="AI906" s="11"/>
      <c r="AJ906" s="11"/>
      <c r="AK906" s="11"/>
      <c r="AL906" s="11"/>
      <c r="AM906" s="11"/>
      <c r="AN906" s="11" t="n">
        <f aca="false">SUM(AH906:AM906)</f>
        <v>0</v>
      </c>
      <c r="AO906" s="1"/>
      <c r="AP906" s="1"/>
      <c r="AQ906" s="1"/>
      <c r="AR906" s="1"/>
    </row>
    <row r="907" customFormat="false" ht="13.8" hidden="false" customHeight="false" outlineLevel="0" collapsed="false">
      <c r="A907" s="1" t="s">
        <v>1097</v>
      </c>
      <c r="B907" s="1" t="n">
        <v>371</v>
      </c>
      <c r="C907" s="1" t="s">
        <v>1078</v>
      </c>
      <c r="D907" s="1" t="s">
        <v>42</v>
      </c>
      <c r="E907" s="1" t="s">
        <v>1079</v>
      </c>
      <c r="F907" s="1" t="n">
        <v>10</v>
      </c>
      <c r="G907" s="1" t="n">
        <v>1</v>
      </c>
      <c r="H907" s="1" t="n">
        <v>14</v>
      </c>
      <c r="I907" s="8" t="n">
        <v>2104157</v>
      </c>
      <c r="J907" s="1" t="n">
        <v>3</v>
      </c>
      <c r="K907" s="1" t="s">
        <v>96</v>
      </c>
      <c r="L907" s="1" t="n">
        <v>6</v>
      </c>
      <c r="O907" s="1" t="n">
        <v>2</v>
      </c>
      <c r="P907" s="1" t="n">
        <f aca="false">SUM(M907:O907)</f>
        <v>2</v>
      </c>
      <c r="Q907" s="1" t="n">
        <v>44</v>
      </c>
      <c r="W907" s="1" t="n">
        <f aca="false">SUM(Q907:V907)</f>
        <v>44</v>
      </c>
      <c r="X907" s="1" t="n">
        <v>5</v>
      </c>
      <c r="Y907" s="1" t="n">
        <v>5</v>
      </c>
      <c r="Z907" s="9" t="n">
        <f aca="false">(Q907)*(1+(J907)*0.2)</f>
        <v>70.4</v>
      </c>
      <c r="AF907" s="9" t="n">
        <f aca="false">SUM(Z907:AE907)</f>
        <v>70.4</v>
      </c>
      <c r="AG907" s="10" t="s">
        <v>47</v>
      </c>
      <c r="AH907" s="11" t="n">
        <f aca="false">IF(AG907="yes",Z907*1.2,Z907)</f>
        <v>84.48</v>
      </c>
      <c r="AI907" s="11"/>
      <c r="AJ907" s="11"/>
      <c r="AK907" s="11"/>
      <c r="AL907" s="11"/>
      <c r="AM907" s="11"/>
      <c r="AN907" s="11" t="n">
        <f aca="false">SUM(AH907:AM907)</f>
        <v>84.48</v>
      </c>
      <c r="AO907" s="1"/>
      <c r="AP907" s="1"/>
      <c r="AQ907" s="1"/>
      <c r="AR907" s="1"/>
    </row>
    <row r="908" customFormat="false" ht="13.8" hidden="false" customHeight="false" outlineLevel="0" collapsed="false">
      <c r="A908" s="1" t="s">
        <v>1098</v>
      </c>
      <c r="B908" s="1" t="n">
        <v>361</v>
      </c>
      <c r="C908" s="1" t="s">
        <v>1078</v>
      </c>
      <c r="D908" s="1" t="s">
        <v>42</v>
      </c>
      <c r="E908" s="1" t="s">
        <v>1079</v>
      </c>
      <c r="F908" s="1" t="n">
        <v>45</v>
      </c>
      <c r="G908" s="1" t="n">
        <v>1</v>
      </c>
      <c r="H908" s="1" t="n">
        <v>8</v>
      </c>
      <c r="I908" s="8" t="n">
        <v>2120980</v>
      </c>
      <c r="J908" s="1" t="n">
        <v>4</v>
      </c>
      <c r="K908" s="1" t="s">
        <v>96</v>
      </c>
      <c r="L908" s="1" t="n">
        <v>6</v>
      </c>
      <c r="N908" s="1" t="n">
        <v>1</v>
      </c>
      <c r="O908" s="1" t="n">
        <v>5</v>
      </c>
      <c r="P908" s="1" t="n">
        <f aca="false">SUM(M908:O908)</f>
        <v>6</v>
      </c>
      <c r="W908" s="1" t="n">
        <f aca="false">SUM(Q908:V908)</f>
        <v>0</v>
      </c>
      <c r="X908" s="1" t="n">
        <v>6</v>
      </c>
      <c r="Y908" s="1" t="n">
        <v>3</v>
      </c>
      <c r="AF908" s="9" t="n">
        <f aca="false">SUM(Z908:AE908)</f>
        <v>0</v>
      </c>
      <c r="AG908" s="10"/>
      <c r="AH908" s="11"/>
      <c r="AI908" s="11"/>
      <c r="AJ908" s="11"/>
      <c r="AK908" s="11"/>
      <c r="AL908" s="11"/>
      <c r="AM908" s="11"/>
      <c r="AN908" s="11" t="n">
        <f aca="false">SUM(AH908:AM908)</f>
        <v>0</v>
      </c>
      <c r="AO908" s="1"/>
      <c r="AP908" s="1"/>
      <c r="AQ908" s="1"/>
      <c r="AR908" s="1"/>
    </row>
    <row r="909" customFormat="false" ht="13.8" hidden="false" customHeight="false" outlineLevel="0" collapsed="false">
      <c r="A909" s="1" t="s">
        <v>1099</v>
      </c>
      <c r="B909" s="1" t="n">
        <v>393</v>
      </c>
      <c r="C909" s="1" t="s">
        <v>1078</v>
      </c>
      <c r="D909" s="1" t="s">
        <v>42</v>
      </c>
      <c r="E909" s="1" t="s">
        <v>1079</v>
      </c>
      <c r="F909" s="1" t="n">
        <v>20</v>
      </c>
      <c r="G909" s="1" t="n">
        <v>1</v>
      </c>
      <c r="H909" s="1" t="n">
        <v>28</v>
      </c>
      <c r="I909" s="8" t="n">
        <v>4848234</v>
      </c>
      <c r="J909" s="1" t="n">
        <v>3</v>
      </c>
      <c r="K909" s="1" t="s">
        <v>109</v>
      </c>
      <c r="L909" s="1" t="n">
        <v>10</v>
      </c>
      <c r="M909" s="1" t="n">
        <v>1</v>
      </c>
      <c r="O909" s="1" t="n">
        <v>6</v>
      </c>
      <c r="P909" s="1" t="n">
        <f aca="false">SUM(M909:O909)</f>
        <v>7</v>
      </c>
      <c r="Q909" s="1" t="n">
        <v>6</v>
      </c>
      <c r="U909" s="1" t="n">
        <v>60</v>
      </c>
      <c r="W909" s="1" t="n">
        <f aca="false">SUM(Q909:V909)</f>
        <v>66</v>
      </c>
      <c r="X909" s="1" t="n">
        <v>4</v>
      </c>
      <c r="Z909" s="9" t="n">
        <f aca="false">(Q909)*(1+(J909)*0.2)</f>
        <v>9.6</v>
      </c>
      <c r="AD909" s="9" t="n">
        <f aca="false">(U909)*(1+(J909)*0.2)</f>
        <v>96</v>
      </c>
      <c r="AF909" s="9" t="n">
        <f aca="false">SUM(Z909:AE909)</f>
        <v>105.6</v>
      </c>
      <c r="AG909" s="10" t="s">
        <v>47</v>
      </c>
      <c r="AH909" s="11" t="n">
        <f aca="false">IF(AG909="yes",Z909*1.2,Z909)</f>
        <v>11.52</v>
      </c>
      <c r="AI909" s="11"/>
      <c r="AJ909" s="11"/>
      <c r="AK909" s="11"/>
      <c r="AL909" s="11" t="n">
        <f aca="false">IF(AG909="yes",AD909*1.2,AD909)</f>
        <v>115.2</v>
      </c>
      <c r="AM909" s="11"/>
      <c r="AN909" s="11" t="n">
        <f aca="false">SUM(AH909:AM909)</f>
        <v>126.72</v>
      </c>
      <c r="AO909" s="1"/>
      <c r="AP909" s="1"/>
      <c r="AQ909" s="1"/>
      <c r="AR909" s="1"/>
    </row>
    <row r="910" customFormat="false" ht="13.8" hidden="false" customHeight="false" outlineLevel="0" collapsed="false">
      <c r="A910" s="1" t="s">
        <v>1100</v>
      </c>
      <c r="B910" s="1" t="n">
        <v>631</v>
      </c>
      <c r="C910" s="1" t="s">
        <v>1078</v>
      </c>
      <c r="D910" s="1" t="s">
        <v>73</v>
      </c>
      <c r="E910" s="1" t="s">
        <v>1079</v>
      </c>
      <c r="F910" s="1" t="n">
        <v>1</v>
      </c>
      <c r="G910" s="1" t="n">
        <v>1</v>
      </c>
      <c r="H910" s="1" t="n">
        <v>1</v>
      </c>
      <c r="I910" s="8" t="n">
        <v>2162</v>
      </c>
      <c r="J910" s="1" t="n">
        <v>2</v>
      </c>
      <c r="K910" s="1" t="s">
        <v>261</v>
      </c>
      <c r="L910" s="1" t="n">
        <v>0</v>
      </c>
      <c r="P910" s="1" t="n">
        <f aca="false">SUM(M910:O910)</f>
        <v>0</v>
      </c>
      <c r="W910" s="1" t="n">
        <f aca="false">SUM(Q910:V910)</f>
        <v>0</v>
      </c>
      <c r="Y910" s="1" t="n">
        <v>1</v>
      </c>
      <c r="AF910" s="9" t="n">
        <f aca="false">SUM(Z910:AE910)</f>
        <v>0</v>
      </c>
      <c r="AG910" s="10"/>
      <c r="AH910" s="11"/>
      <c r="AI910" s="11"/>
      <c r="AJ910" s="11"/>
      <c r="AK910" s="11"/>
      <c r="AL910" s="11"/>
      <c r="AM910" s="11"/>
      <c r="AN910" s="11" t="n">
        <f aca="false">SUM(AH910:AM910)</f>
        <v>0</v>
      </c>
      <c r="AO910" s="1"/>
      <c r="AP910" s="1"/>
      <c r="AQ910" s="1"/>
      <c r="AR910" s="1"/>
    </row>
    <row r="911" customFormat="false" ht="13.7" hidden="false" customHeight="true" outlineLevel="0" collapsed="false">
      <c r="A911" s="1" t="s">
        <v>1101</v>
      </c>
      <c r="B911" s="1" t="n">
        <v>391</v>
      </c>
      <c r="C911" s="1" t="s">
        <v>1078</v>
      </c>
      <c r="D911" s="1" t="s">
        <v>42</v>
      </c>
      <c r="E911" s="1" t="s">
        <v>1079</v>
      </c>
      <c r="F911" s="1" t="n">
        <v>5</v>
      </c>
      <c r="G911" s="1" t="n">
        <v>1</v>
      </c>
      <c r="H911" s="1" t="n">
        <v>20</v>
      </c>
      <c r="I911" s="8" t="n">
        <v>2567082</v>
      </c>
      <c r="J911" s="1" t="n">
        <v>3</v>
      </c>
      <c r="K911" s="1" t="s">
        <v>96</v>
      </c>
      <c r="L911" s="1" t="n">
        <v>6</v>
      </c>
      <c r="O911" s="1" t="n">
        <v>3</v>
      </c>
      <c r="P911" s="1" t="n">
        <f aca="false">SUM(M911:O911)</f>
        <v>3</v>
      </c>
      <c r="U911" s="1" t="n">
        <v>110</v>
      </c>
      <c r="W911" s="1" t="n">
        <f aca="false">SUM(Q911:V911)</f>
        <v>110</v>
      </c>
      <c r="AD911" s="9" t="n">
        <f aca="false">(U911)*(1+(J911)*0.2)</f>
        <v>176</v>
      </c>
      <c r="AF911" s="9" t="n">
        <f aca="false">SUM(Z911:AE911)</f>
        <v>176</v>
      </c>
      <c r="AG911" s="10" t="s">
        <v>47</v>
      </c>
      <c r="AH911" s="11"/>
      <c r="AI911" s="11"/>
      <c r="AJ911" s="11"/>
      <c r="AK911" s="11"/>
      <c r="AL911" s="11" t="n">
        <f aca="false">IF(AG911="yes",AD911*1.2,AD911)</f>
        <v>211.2</v>
      </c>
      <c r="AM911" s="11"/>
      <c r="AN911" s="11" t="n">
        <f aca="false">SUM(AH911:AM911)</f>
        <v>211.2</v>
      </c>
      <c r="AO911" s="1"/>
      <c r="AP911" s="1"/>
      <c r="AQ911" s="1"/>
      <c r="AR911" s="1"/>
    </row>
    <row r="912" customFormat="false" ht="13.8" hidden="false" customHeight="false" outlineLevel="0" collapsed="false">
      <c r="A912" s="1" t="s">
        <v>1102</v>
      </c>
      <c r="B912" s="1" t="n">
        <v>370</v>
      </c>
      <c r="C912" s="1" t="s">
        <v>1078</v>
      </c>
      <c r="D912" s="1" t="s">
        <v>42</v>
      </c>
      <c r="E912" s="1" t="s">
        <v>1079</v>
      </c>
      <c r="F912" s="1" t="n">
        <v>1</v>
      </c>
      <c r="G912" s="1" t="n">
        <v>1</v>
      </c>
      <c r="H912" s="1" t="n">
        <v>14</v>
      </c>
      <c r="I912" s="8" t="n">
        <v>2012273</v>
      </c>
      <c r="J912" s="1" t="n">
        <v>2</v>
      </c>
      <c r="K912" s="1" t="s">
        <v>96</v>
      </c>
      <c r="L912" s="1" t="n">
        <v>6</v>
      </c>
      <c r="O912" s="1" t="n">
        <v>1</v>
      </c>
      <c r="P912" s="1" t="n">
        <f aca="false">SUM(M912:O912)</f>
        <v>1</v>
      </c>
      <c r="W912" s="1" t="n">
        <f aca="false">SUM(Q912:V912)</f>
        <v>0</v>
      </c>
      <c r="X912" s="1" t="n">
        <v>3</v>
      </c>
      <c r="Y912" s="1" t="n">
        <v>4</v>
      </c>
      <c r="AF912" s="9" t="n">
        <f aca="false">SUM(Z912:AE912)</f>
        <v>0</v>
      </c>
      <c r="AG912" s="10"/>
      <c r="AH912" s="11"/>
      <c r="AI912" s="11"/>
      <c r="AJ912" s="11"/>
      <c r="AK912" s="11"/>
      <c r="AL912" s="11"/>
      <c r="AM912" s="11"/>
      <c r="AN912" s="11" t="n">
        <f aca="false">SUM(AH912:AM912)</f>
        <v>0</v>
      </c>
    </row>
    <row r="913" customFormat="false" ht="13.8" hidden="false" customHeight="false" outlineLevel="0" collapsed="false">
      <c r="A913" s="1" t="s">
        <v>1103</v>
      </c>
      <c r="B913" s="1" t="n">
        <v>373</v>
      </c>
      <c r="C913" s="1" t="s">
        <v>1078</v>
      </c>
      <c r="D913" s="1" t="s">
        <v>42</v>
      </c>
      <c r="E913" s="1" t="s">
        <v>1079</v>
      </c>
      <c r="F913" s="1" t="n">
        <v>21</v>
      </c>
      <c r="G913" s="1" t="n">
        <v>1</v>
      </c>
      <c r="H913" s="1" t="n">
        <v>18</v>
      </c>
      <c r="I913" s="8" t="n">
        <v>3633795</v>
      </c>
      <c r="J913" s="1" t="n">
        <v>3</v>
      </c>
      <c r="K913" s="1" t="s">
        <v>57</v>
      </c>
      <c r="L913" s="1" t="n">
        <v>8</v>
      </c>
      <c r="O913" s="1" t="n">
        <v>5</v>
      </c>
      <c r="P913" s="1" t="n">
        <f aca="false">SUM(M913:O913)</f>
        <v>5</v>
      </c>
      <c r="R913" s="1" t="n">
        <v>12</v>
      </c>
      <c r="W913" s="1" t="n">
        <f aca="false">SUM(Q913:V913)</f>
        <v>12</v>
      </c>
      <c r="AA913" s="9" t="n">
        <f aca="false">(R913)*(1+(J913)*0.2)</f>
        <v>19.2</v>
      </c>
      <c r="AF913" s="9" t="n">
        <f aca="false">SUM(Z913:AE913)</f>
        <v>19.2</v>
      </c>
      <c r="AG913" s="10" t="s">
        <v>47</v>
      </c>
      <c r="AH913" s="11"/>
      <c r="AI913" s="11" t="n">
        <f aca="false">IF(AG913="yes",AA913*1.2,AA913)</f>
        <v>23.04</v>
      </c>
      <c r="AJ913" s="11"/>
      <c r="AK913" s="11"/>
      <c r="AL913" s="11"/>
      <c r="AM913" s="11"/>
      <c r="AN913" s="11" t="n">
        <f aca="false">SUM(AH913:AM913)</f>
        <v>23.04</v>
      </c>
    </row>
    <row r="914" customFormat="false" ht="13.8" hidden="false" customHeight="false" outlineLevel="0" collapsed="false">
      <c r="A914" s="1" t="s">
        <v>1104</v>
      </c>
      <c r="B914" s="1" t="n">
        <v>388</v>
      </c>
      <c r="C914" s="1" t="s">
        <v>1078</v>
      </c>
      <c r="D914" s="1" t="s">
        <v>42</v>
      </c>
      <c r="E914" s="1" t="s">
        <v>1079</v>
      </c>
      <c r="F914" s="1" t="n">
        <v>1</v>
      </c>
      <c r="G914" s="1" t="n">
        <v>1</v>
      </c>
      <c r="H914" s="1" t="n">
        <v>23</v>
      </c>
      <c r="I914" s="8" t="n">
        <v>538261</v>
      </c>
      <c r="J914" s="1" t="n">
        <v>2</v>
      </c>
      <c r="K914" s="1" t="s">
        <v>44</v>
      </c>
      <c r="L914" s="1" t="n">
        <v>2</v>
      </c>
      <c r="P914" s="1" t="n">
        <f aca="false">SUM(M914:O914)</f>
        <v>0</v>
      </c>
      <c r="T914" s="1" t="n">
        <v>11</v>
      </c>
      <c r="W914" s="1" t="n">
        <f aca="false">SUM(Q914:V914)</f>
        <v>11</v>
      </c>
      <c r="AC914" s="9" t="n">
        <f aca="false">(T914)*(1+(J914)*0.2)</f>
        <v>15.4</v>
      </c>
      <c r="AF914" s="9" t="n">
        <f aca="false">SUM(Z914:AE914)</f>
        <v>15.4</v>
      </c>
      <c r="AG914" s="10" t="s">
        <v>47</v>
      </c>
      <c r="AH914" s="11"/>
      <c r="AI914" s="11"/>
      <c r="AJ914" s="11"/>
      <c r="AK914" s="11" t="n">
        <f aca="false">IF(AG914="yes",AC914*1.2,AC914)</f>
        <v>18.48</v>
      </c>
      <c r="AL914" s="11"/>
      <c r="AM914" s="11"/>
      <c r="AN914" s="11" t="n">
        <f aca="false">SUM(AH914:AM914)</f>
        <v>18.48</v>
      </c>
    </row>
    <row r="915" customFormat="false" ht="13.8" hidden="false" customHeight="false" outlineLevel="0" collapsed="false">
      <c r="A915" s="1" t="s">
        <v>1105</v>
      </c>
      <c r="B915" s="1" t="n">
        <v>384</v>
      </c>
      <c r="C915" s="1" t="s">
        <v>1078</v>
      </c>
      <c r="D915" s="1" t="s">
        <v>42</v>
      </c>
      <c r="E915" s="1" t="s">
        <v>1079</v>
      </c>
      <c r="F915" s="1" t="n">
        <v>1</v>
      </c>
      <c r="G915" s="1" t="n">
        <v>1</v>
      </c>
      <c r="H915" s="1" t="n">
        <v>13</v>
      </c>
      <c r="I915" s="8" t="n">
        <v>1379644</v>
      </c>
      <c r="J915" s="1" t="n">
        <v>2</v>
      </c>
      <c r="K915" s="1" t="s">
        <v>120</v>
      </c>
      <c r="L915" s="1" t="n">
        <v>5</v>
      </c>
      <c r="O915" s="1" t="n">
        <v>1</v>
      </c>
      <c r="P915" s="1" t="n">
        <f aca="false">SUM(M915:O915)</f>
        <v>1</v>
      </c>
      <c r="W915" s="1" t="n">
        <f aca="false">SUM(Q915:V915)</f>
        <v>0</v>
      </c>
      <c r="AF915" s="9" t="n">
        <f aca="false">SUM(Z915:AE915)</f>
        <v>0</v>
      </c>
      <c r="AG915" s="10"/>
      <c r="AH915" s="11"/>
      <c r="AI915" s="11"/>
      <c r="AJ915" s="11"/>
      <c r="AK915" s="11"/>
      <c r="AL915" s="11"/>
      <c r="AM915" s="11"/>
      <c r="AN915" s="11" t="n">
        <f aca="false">SUM(AH915:AM915)</f>
        <v>0</v>
      </c>
    </row>
    <row r="916" customFormat="false" ht="13.8" hidden="false" customHeight="false" outlineLevel="0" collapsed="false">
      <c r="A916" s="1" t="s">
        <v>1106</v>
      </c>
      <c r="B916" s="1" t="n">
        <v>379</v>
      </c>
      <c r="C916" s="1" t="s">
        <v>1078</v>
      </c>
      <c r="D916" s="1" t="s">
        <v>42</v>
      </c>
      <c r="E916" s="1" t="s">
        <v>1079</v>
      </c>
      <c r="G916" s="1" t="n">
        <v>1</v>
      </c>
      <c r="H916" s="1" t="n">
        <v>14</v>
      </c>
      <c r="I916" s="8" t="n">
        <v>91168</v>
      </c>
      <c r="J916" s="1" t="n">
        <v>2</v>
      </c>
      <c r="K916" s="1" t="s">
        <v>44</v>
      </c>
      <c r="L916" s="1" t="n">
        <v>2</v>
      </c>
      <c r="P916" s="1" t="n">
        <f aca="false">SUM(M916:O916)</f>
        <v>0</v>
      </c>
      <c r="R916" s="1" t="n">
        <v>25</v>
      </c>
      <c r="T916" s="1" t="n">
        <v>32</v>
      </c>
      <c r="U916" s="1" t="n">
        <v>70</v>
      </c>
      <c r="W916" s="1" t="n">
        <f aca="false">SUM(Q916:V916)</f>
        <v>127</v>
      </c>
      <c r="AA916" s="9" t="n">
        <f aca="false">(R916)*(1+(J916)*0.2)</f>
        <v>35</v>
      </c>
      <c r="AC916" s="9" t="n">
        <f aca="false">(T916)*(1+(J916)*0.2)</f>
        <v>44.8</v>
      </c>
      <c r="AD916" s="9" t="n">
        <f aca="false">(U916)*(1+(J916)*0.2)</f>
        <v>98</v>
      </c>
      <c r="AE916" s="20"/>
      <c r="AF916" s="9" t="n">
        <f aca="false">SUM(Z916:AE916)</f>
        <v>177.8</v>
      </c>
      <c r="AG916" s="10" t="s">
        <v>53</v>
      </c>
      <c r="AH916" s="11"/>
      <c r="AI916" s="11" t="n">
        <f aca="false">IF(AG916="yes",AA916*1.2,AA916)</f>
        <v>35</v>
      </c>
      <c r="AJ916" s="11"/>
      <c r="AK916" s="11" t="n">
        <f aca="false">IF(AG916="yes",AC916*1.2,AC916)</f>
        <v>44.8</v>
      </c>
      <c r="AL916" s="11" t="n">
        <f aca="false">IF(AG916="yes",AD916*1.2,AD916)</f>
        <v>98</v>
      </c>
      <c r="AM916" s="11"/>
      <c r="AN916" s="11" t="n">
        <f aca="false">SUM(AH916:AM916)</f>
        <v>177.8</v>
      </c>
    </row>
    <row r="917" customFormat="false" ht="13.8" hidden="false" customHeight="false" outlineLevel="0" collapsed="false">
      <c r="A917" s="1" t="s">
        <v>1107</v>
      </c>
      <c r="B917" s="1" t="n">
        <v>357</v>
      </c>
      <c r="C917" s="1" t="s">
        <v>1078</v>
      </c>
      <c r="D917" s="1" t="s">
        <v>42</v>
      </c>
      <c r="E917" s="1" t="s">
        <v>1079</v>
      </c>
      <c r="F917" s="1" t="n">
        <v>22</v>
      </c>
      <c r="G917" s="1" t="n">
        <v>1</v>
      </c>
      <c r="H917" s="1" t="n">
        <v>32</v>
      </c>
      <c r="I917" s="8" t="n">
        <v>8414973</v>
      </c>
      <c r="J917" s="1" t="n">
        <v>4</v>
      </c>
      <c r="K917" s="1" t="s">
        <v>109</v>
      </c>
      <c r="L917" s="1" t="n">
        <v>10</v>
      </c>
      <c r="M917" s="1" t="n">
        <v>1</v>
      </c>
      <c r="N917" s="1" t="n">
        <v>4</v>
      </c>
      <c r="O917" s="1" t="n">
        <v>5</v>
      </c>
      <c r="P917" s="1" t="n">
        <f aca="false">SUM(M917:O917)</f>
        <v>10</v>
      </c>
      <c r="U917" s="1" t="n">
        <v>12</v>
      </c>
      <c r="W917" s="1" t="n">
        <f aca="false">SUM(Q917:V917)</f>
        <v>12</v>
      </c>
      <c r="X917" s="1" t="n">
        <v>10</v>
      </c>
      <c r="Y917" s="1" t="n">
        <v>11</v>
      </c>
      <c r="AD917" s="9" t="n">
        <f aca="false">(U917)*(1+(J917)*0.2)</f>
        <v>21.6</v>
      </c>
      <c r="AF917" s="9" t="n">
        <f aca="false">SUM(Z917:AE917)</f>
        <v>21.6</v>
      </c>
      <c r="AG917" s="10" t="s">
        <v>47</v>
      </c>
      <c r="AH917" s="11"/>
      <c r="AI917" s="11"/>
      <c r="AJ917" s="11"/>
      <c r="AK917" s="11"/>
      <c r="AL917" s="11" t="n">
        <f aca="false">IF(AG917="yes",AD917*1.2,AD917)</f>
        <v>25.92</v>
      </c>
      <c r="AM917" s="11"/>
      <c r="AN917" s="11" t="n">
        <f aca="false">SUM(AH917:AM917)</f>
        <v>25.92</v>
      </c>
    </row>
    <row r="918" customFormat="false" ht="13.8" hidden="false" customHeight="false" outlineLevel="0" collapsed="false">
      <c r="A918" s="1" t="s">
        <v>1108</v>
      </c>
      <c r="B918" s="1" t="n">
        <v>359</v>
      </c>
      <c r="C918" s="1" t="s">
        <v>1078</v>
      </c>
      <c r="D918" s="1" t="s">
        <v>42</v>
      </c>
      <c r="E918" s="1" t="s">
        <v>1079</v>
      </c>
      <c r="F918" s="1" t="n">
        <v>5</v>
      </c>
      <c r="G918" s="1" t="n">
        <v>1</v>
      </c>
      <c r="H918" s="1" t="n">
        <v>8</v>
      </c>
      <c r="I918" s="8" t="n">
        <v>4046265</v>
      </c>
      <c r="J918" s="1" t="n">
        <v>4</v>
      </c>
      <c r="K918" s="1" t="s">
        <v>57</v>
      </c>
      <c r="L918" s="1" t="n">
        <v>8</v>
      </c>
      <c r="O918" s="1" t="n">
        <v>7</v>
      </c>
      <c r="P918" s="1" t="n">
        <f aca="false">SUM(M918:O918)</f>
        <v>7</v>
      </c>
      <c r="W918" s="1" t="n">
        <f aca="false">SUM(Q918:V918)</f>
        <v>0</v>
      </c>
      <c r="X918" s="1" t="n">
        <v>4</v>
      </c>
      <c r="AF918" s="9" t="n">
        <f aca="false">SUM(Z918:AE918)</f>
        <v>0</v>
      </c>
      <c r="AG918" s="10"/>
      <c r="AH918" s="11"/>
      <c r="AI918" s="11"/>
      <c r="AJ918" s="11"/>
      <c r="AK918" s="11"/>
      <c r="AL918" s="11"/>
      <c r="AM918" s="11"/>
      <c r="AN918" s="11" t="n">
        <f aca="false">SUM(AH918:AM918)</f>
        <v>0</v>
      </c>
    </row>
    <row r="919" customFormat="false" ht="13.8" hidden="false" customHeight="false" outlineLevel="0" collapsed="false">
      <c r="A919" s="1" t="s">
        <v>1109</v>
      </c>
      <c r="B919" s="1" t="n">
        <v>376</v>
      </c>
      <c r="C919" s="1" t="s">
        <v>1078</v>
      </c>
      <c r="D919" s="1" t="s">
        <v>42</v>
      </c>
      <c r="E919" s="1" t="s">
        <v>1079</v>
      </c>
      <c r="F919" s="1" t="n">
        <v>1</v>
      </c>
      <c r="G919" s="1" t="n">
        <v>1</v>
      </c>
      <c r="H919" s="1" t="n">
        <v>15</v>
      </c>
      <c r="I919" s="8" t="n">
        <v>423833</v>
      </c>
      <c r="J919" s="1" t="n">
        <v>2</v>
      </c>
      <c r="K919" s="1" t="s">
        <v>44</v>
      </c>
      <c r="L919" s="1" t="n">
        <v>2</v>
      </c>
      <c r="O919" s="1" t="n">
        <v>1</v>
      </c>
      <c r="P919" s="1" t="n">
        <f aca="false">SUM(M919:O919)</f>
        <v>1</v>
      </c>
      <c r="Q919" s="1" t="n">
        <v>14</v>
      </c>
      <c r="R919" s="1" t="n">
        <v>30</v>
      </c>
      <c r="W919" s="1" t="n">
        <f aca="false">SUM(Q919:V919)</f>
        <v>44</v>
      </c>
      <c r="Z919" s="9" t="n">
        <f aca="false">(Q919)*(1+(J919)*0.2)</f>
        <v>19.6</v>
      </c>
      <c r="AA919" s="9" t="n">
        <f aca="false">(R919)*(1+(J919)*0.2)</f>
        <v>42</v>
      </c>
      <c r="AF919" s="9" t="n">
        <f aca="false">SUM(Z919:AE919)</f>
        <v>61.6</v>
      </c>
      <c r="AG919" s="10" t="s">
        <v>47</v>
      </c>
      <c r="AH919" s="11" t="n">
        <f aca="false">IF(AG919="yes",Z919*1.2,Z919)</f>
        <v>23.52</v>
      </c>
      <c r="AI919" s="11" t="n">
        <f aca="false">IF(AG919="yes",AA919*1.2,AA919)</f>
        <v>50.4</v>
      </c>
      <c r="AJ919" s="11"/>
      <c r="AK919" s="11"/>
      <c r="AL919" s="11"/>
      <c r="AM919" s="11"/>
      <c r="AN919" s="11" t="n">
        <f aca="false">SUM(AH919:AM919)</f>
        <v>73.92</v>
      </c>
    </row>
    <row r="920" customFormat="false" ht="13.8" hidden="false" customHeight="false" outlineLevel="0" collapsed="false">
      <c r="A920" s="1" t="s">
        <v>1110</v>
      </c>
      <c r="B920" s="1" t="n">
        <v>358</v>
      </c>
      <c r="C920" s="1" t="s">
        <v>1078</v>
      </c>
      <c r="D920" s="1" t="s">
        <v>42</v>
      </c>
      <c r="E920" s="1" t="s">
        <v>1079</v>
      </c>
      <c r="F920" s="1" t="n">
        <v>33</v>
      </c>
      <c r="G920" s="1" t="n">
        <v>1</v>
      </c>
      <c r="H920" s="1" t="n">
        <v>34</v>
      </c>
      <c r="I920" s="8" t="n">
        <v>12603427</v>
      </c>
      <c r="J920" s="1" t="n">
        <v>4</v>
      </c>
      <c r="K920" s="1" t="s">
        <v>381</v>
      </c>
      <c r="L920" s="1" t="n">
        <v>12</v>
      </c>
      <c r="M920" s="1" t="n">
        <v>2</v>
      </c>
      <c r="N920" s="1" t="n">
        <v>3</v>
      </c>
      <c r="O920" s="1" t="n">
        <v>7</v>
      </c>
      <c r="P920" s="1" t="n">
        <f aca="false">SUM(M920:O920)</f>
        <v>12</v>
      </c>
      <c r="U920" s="1" t="n">
        <v>13</v>
      </c>
      <c r="W920" s="1" t="n">
        <f aca="false">SUM(Q920:V920)</f>
        <v>13</v>
      </c>
      <c r="X920" s="1" t="n">
        <v>10</v>
      </c>
      <c r="Y920" s="1" t="n">
        <v>6</v>
      </c>
      <c r="AD920" s="9" t="n">
        <f aca="false">(U920)*(1+(J920)*0.2)</f>
        <v>23.4</v>
      </c>
      <c r="AF920" s="9" t="n">
        <f aca="false">SUM(Z920:AE920)</f>
        <v>23.4</v>
      </c>
      <c r="AG920" s="10" t="s">
        <v>47</v>
      </c>
      <c r="AH920" s="11"/>
      <c r="AI920" s="11"/>
      <c r="AJ920" s="11"/>
      <c r="AK920" s="11"/>
      <c r="AL920" s="11" t="n">
        <f aca="false">IF(AG920="yes",AD920*1.2,AD920)</f>
        <v>28.08</v>
      </c>
      <c r="AM920" s="11"/>
      <c r="AN920" s="11" t="n">
        <f aca="false">SUM(AH920:AM920)</f>
        <v>28.08</v>
      </c>
    </row>
    <row r="921" customFormat="false" ht="13.8" hidden="false" customHeight="false" outlineLevel="0" collapsed="false">
      <c r="A921" s="1" t="s">
        <v>1111</v>
      </c>
      <c r="B921" s="1" t="n">
        <v>363</v>
      </c>
      <c r="C921" s="1" t="s">
        <v>1078</v>
      </c>
      <c r="D921" s="1" t="s">
        <v>42</v>
      </c>
      <c r="E921" s="1" t="s">
        <v>1079</v>
      </c>
      <c r="F921" s="1" t="n">
        <v>3</v>
      </c>
      <c r="G921" s="1" t="n">
        <v>1</v>
      </c>
      <c r="H921" s="1" t="n">
        <v>20</v>
      </c>
      <c r="I921" s="8" t="n">
        <v>3174144</v>
      </c>
      <c r="J921" s="1" t="n">
        <v>3</v>
      </c>
      <c r="K921" s="1" t="s">
        <v>96</v>
      </c>
      <c r="L921" s="1" t="n">
        <v>6</v>
      </c>
      <c r="O921" s="1" t="n">
        <v>3</v>
      </c>
      <c r="P921" s="1" t="n">
        <f aca="false">SUM(M921:O921)</f>
        <v>3</v>
      </c>
      <c r="W921" s="1" t="n">
        <f aca="false">SUM(Q921:V921)</f>
        <v>0</v>
      </c>
      <c r="X921" s="1" t="n">
        <v>3</v>
      </c>
      <c r="Y921" s="1" t="n">
        <v>1</v>
      </c>
      <c r="AF921" s="9" t="n">
        <f aca="false">SUM(Z921:AE921)</f>
        <v>0</v>
      </c>
      <c r="AG921" s="10"/>
      <c r="AH921" s="11"/>
      <c r="AI921" s="11"/>
      <c r="AJ921" s="11"/>
      <c r="AK921" s="11"/>
      <c r="AL921" s="11"/>
      <c r="AM921" s="11"/>
      <c r="AN921" s="11" t="n">
        <f aca="false">SUM(AH921:AM921)</f>
        <v>0</v>
      </c>
    </row>
    <row r="922" customFormat="false" ht="13.8" hidden="false" customHeight="false" outlineLevel="0" collapsed="false">
      <c r="A922" s="1" t="s">
        <v>1112</v>
      </c>
      <c r="B922" s="1" t="n">
        <v>389</v>
      </c>
      <c r="C922" s="1" t="s">
        <v>1078</v>
      </c>
      <c r="D922" s="1" t="s">
        <v>42</v>
      </c>
      <c r="E922" s="1" t="s">
        <v>1079</v>
      </c>
      <c r="F922" s="1" t="n">
        <v>1</v>
      </c>
      <c r="G922" s="1" t="n">
        <v>1</v>
      </c>
      <c r="H922" s="1" t="n">
        <v>12</v>
      </c>
      <c r="I922" s="8" t="n">
        <v>681675</v>
      </c>
      <c r="J922" s="1" t="n">
        <v>2</v>
      </c>
      <c r="K922" s="1" t="s">
        <v>44</v>
      </c>
      <c r="L922" s="1" t="n">
        <v>2</v>
      </c>
      <c r="O922" s="1" t="n">
        <v>1</v>
      </c>
      <c r="P922" s="1" t="n">
        <f aca="false">SUM(M922:O922)</f>
        <v>1</v>
      </c>
      <c r="Q922" s="1" t="n">
        <v>7</v>
      </c>
      <c r="U922" s="1" t="n">
        <v>17</v>
      </c>
      <c r="W922" s="1" t="n">
        <f aca="false">SUM(Q922:V922)</f>
        <v>24</v>
      </c>
      <c r="Z922" s="9" t="n">
        <f aca="false">(Q922)*(1+(J922)*0.2)</f>
        <v>9.8</v>
      </c>
      <c r="AD922" s="9" t="n">
        <f aca="false">(U922)*(1+(J922)*0.2)</f>
        <v>23.8</v>
      </c>
      <c r="AF922" s="9" t="n">
        <f aca="false">SUM(Z922:AE922)</f>
        <v>33.6</v>
      </c>
      <c r="AG922" s="10" t="s">
        <v>47</v>
      </c>
      <c r="AH922" s="11" t="n">
        <f aca="false">IF(AG922="yes",Z922*1.2,Z922)</f>
        <v>11.76</v>
      </c>
      <c r="AI922" s="11"/>
      <c r="AJ922" s="11"/>
      <c r="AK922" s="11"/>
      <c r="AL922" s="11" t="n">
        <f aca="false">IF(AG922="yes",AD922*1.2,AD922)</f>
        <v>28.56</v>
      </c>
      <c r="AM922" s="11"/>
      <c r="AN922" s="11" t="n">
        <f aca="false">SUM(AH922:AM922)</f>
        <v>40.32</v>
      </c>
    </row>
    <row r="923" customFormat="false" ht="13.8" hidden="false" customHeight="false" outlineLevel="0" collapsed="false">
      <c r="A923" s="1" t="s">
        <v>1113</v>
      </c>
      <c r="B923" s="1" t="n">
        <v>261</v>
      </c>
      <c r="C923" s="1" t="s">
        <v>1078</v>
      </c>
      <c r="D923" s="1" t="s">
        <v>42</v>
      </c>
      <c r="E923" s="1" t="s">
        <v>1079</v>
      </c>
      <c r="F923" s="1" t="n">
        <v>15</v>
      </c>
      <c r="G923" s="1" t="n">
        <v>1</v>
      </c>
      <c r="H923" s="1" t="n">
        <v>25</v>
      </c>
      <c r="I923" s="8" t="n">
        <v>6654808</v>
      </c>
      <c r="J923" s="1" t="n">
        <v>4</v>
      </c>
      <c r="K923" s="1" t="s">
        <v>109</v>
      </c>
      <c r="L923" s="1" t="n">
        <v>10</v>
      </c>
      <c r="M923" s="1" t="n">
        <v>1</v>
      </c>
      <c r="O923" s="1" t="n">
        <v>6</v>
      </c>
      <c r="P923" s="1" t="n">
        <f aca="false">SUM(M923:O923)</f>
        <v>7</v>
      </c>
      <c r="R923" s="1" t="n">
        <v>9</v>
      </c>
      <c r="U923" s="1" t="n">
        <v>28</v>
      </c>
      <c r="W923" s="1" t="n">
        <f aca="false">SUM(Q923:V923)</f>
        <v>37</v>
      </c>
      <c r="AA923" s="9" t="n">
        <f aca="false">(R923)*(1+(J923)*0.2)</f>
        <v>16.2</v>
      </c>
      <c r="AC923" s="9"/>
      <c r="AD923" s="9" t="n">
        <f aca="false">(U923)*(1+(J923)*0.2)</f>
        <v>50.4</v>
      </c>
      <c r="AF923" s="9" t="n">
        <f aca="false">SUM(Z923:AE923)</f>
        <v>66.6</v>
      </c>
      <c r="AG923" s="10" t="s">
        <v>47</v>
      </c>
      <c r="AH923" s="11"/>
      <c r="AI923" s="11" t="n">
        <f aca="false">IF(AG923="yes",AA923*1.2,AA923)</f>
        <v>19.44</v>
      </c>
      <c r="AJ923" s="11"/>
      <c r="AK923" s="11"/>
      <c r="AL923" s="11" t="n">
        <f aca="false">IF(AG923="yes",AD923*1.2,AD923)</f>
        <v>60.48</v>
      </c>
      <c r="AM923" s="11"/>
      <c r="AN923" s="11" t="n">
        <f aca="false">SUM(AH923:AM923)</f>
        <v>79.92</v>
      </c>
    </row>
    <row r="924" customFormat="false" ht="13.8" hidden="false" customHeight="false" outlineLevel="0" collapsed="false">
      <c r="A924" s="1" t="s">
        <v>1114</v>
      </c>
      <c r="B924" s="1" t="n">
        <v>374</v>
      </c>
      <c r="C924" s="1" t="s">
        <v>1078</v>
      </c>
      <c r="D924" s="1" t="s">
        <v>42</v>
      </c>
      <c r="E924" s="1" t="s">
        <v>1079</v>
      </c>
      <c r="F924" s="1" t="n">
        <v>1</v>
      </c>
      <c r="G924" s="1" t="n">
        <v>1</v>
      </c>
      <c r="H924" s="1" t="n">
        <v>16</v>
      </c>
      <c r="I924" s="8" t="n">
        <v>2398964</v>
      </c>
      <c r="J924" s="1" t="n">
        <v>2</v>
      </c>
      <c r="K924" s="1" t="s">
        <v>96</v>
      </c>
      <c r="L924" s="1" t="n">
        <v>6</v>
      </c>
      <c r="O924" s="1" t="n">
        <v>2</v>
      </c>
      <c r="P924" s="1" t="n">
        <f aca="false">SUM(M924:O924)</f>
        <v>2</v>
      </c>
      <c r="Q924" s="1" t="n">
        <v>60</v>
      </c>
      <c r="R924" s="1" t="n">
        <v>20</v>
      </c>
      <c r="W924" s="1" t="n">
        <f aca="false">SUM(Q924:V924)</f>
        <v>80</v>
      </c>
      <c r="X924" s="1" t="n">
        <v>2</v>
      </c>
      <c r="Z924" s="9" t="n">
        <f aca="false">(Q924)*(1+(J924)*0.2)</f>
        <v>84</v>
      </c>
      <c r="AA924" s="9" t="n">
        <f aca="false">(R924)*(1+(J924)*0.2)</f>
        <v>28</v>
      </c>
      <c r="AB924" s="9"/>
      <c r="AF924" s="9" t="n">
        <f aca="false">SUM(Z924:AE924)</f>
        <v>112</v>
      </c>
      <c r="AG924" s="10" t="s">
        <v>47</v>
      </c>
      <c r="AH924" s="11" t="n">
        <f aca="false">IF(AG924="yes",Z924*1.2,Z924)</f>
        <v>100.8</v>
      </c>
      <c r="AI924" s="11" t="n">
        <f aca="false">IF(AG924="yes",AA924*1.2,AA924)</f>
        <v>33.6</v>
      </c>
      <c r="AJ924" s="11"/>
      <c r="AK924" s="11"/>
      <c r="AL924" s="11"/>
      <c r="AM924" s="11"/>
      <c r="AN924" s="11" t="n">
        <f aca="false">SUM(AH924:AM924)</f>
        <v>134.4</v>
      </c>
    </row>
    <row r="925" customFormat="false" ht="13.8" hidden="false" customHeight="false" outlineLevel="0" collapsed="false">
      <c r="A925" s="1" t="s">
        <v>1115</v>
      </c>
      <c r="B925" s="1" t="n">
        <v>385</v>
      </c>
      <c r="C925" s="1" t="s">
        <v>1078</v>
      </c>
      <c r="D925" s="1" t="s">
        <v>42</v>
      </c>
      <c r="E925" s="1" t="s">
        <v>1079</v>
      </c>
      <c r="F925" s="1" t="n">
        <v>1</v>
      </c>
      <c r="G925" s="1" t="n">
        <v>1</v>
      </c>
      <c r="H925" s="1" t="n">
        <v>23</v>
      </c>
      <c r="I925" s="8" t="n">
        <v>954949</v>
      </c>
      <c r="J925" s="1" t="n">
        <v>3</v>
      </c>
      <c r="K925" s="1" t="s">
        <v>46</v>
      </c>
      <c r="L925" s="1" t="n">
        <v>4</v>
      </c>
      <c r="O925" s="1" t="n">
        <v>1</v>
      </c>
      <c r="P925" s="1" t="n">
        <f aca="false">SUM(M925:O925)</f>
        <v>1</v>
      </c>
      <c r="W925" s="1" t="n">
        <f aca="false">SUM(Q925:V925)</f>
        <v>0</v>
      </c>
      <c r="X925" s="1" t="n">
        <v>6</v>
      </c>
      <c r="Y925" s="1" t="n">
        <v>3</v>
      </c>
      <c r="AB925" s="9"/>
      <c r="AF925" s="9" t="n">
        <f aca="false">SUM(Z925:AE925)</f>
        <v>0</v>
      </c>
      <c r="AG925" s="21"/>
      <c r="AH925" s="11"/>
      <c r="AI925" s="11"/>
      <c r="AJ925" s="11"/>
      <c r="AK925" s="11"/>
      <c r="AL925" s="11"/>
      <c r="AM925" s="11"/>
      <c r="AN925" s="11" t="n">
        <f aca="false">SUM(AH925:AM925)</f>
        <v>0</v>
      </c>
    </row>
    <row r="926" customFormat="false" ht="13.8" hidden="false" customHeight="false" outlineLevel="0" collapsed="false">
      <c r="A926" s="1" t="s">
        <v>1116</v>
      </c>
      <c r="B926" s="1" t="n">
        <v>685</v>
      </c>
      <c r="C926" s="1" t="s">
        <v>1078</v>
      </c>
      <c r="D926" s="1" t="s">
        <v>73</v>
      </c>
      <c r="E926" s="1" t="s">
        <v>1079</v>
      </c>
      <c r="F926" s="1" t="n">
        <v>5</v>
      </c>
      <c r="G926" s="1" t="n">
        <v>1</v>
      </c>
      <c r="H926" s="1" t="n">
        <v>1</v>
      </c>
      <c r="I926" s="8" t="n">
        <v>39515</v>
      </c>
      <c r="J926" s="1" t="n">
        <v>2</v>
      </c>
      <c r="K926" s="1" t="s">
        <v>295</v>
      </c>
      <c r="L926" s="1" t="n">
        <v>0</v>
      </c>
      <c r="P926" s="1" t="n">
        <f aca="false">SUM(M926:O926)</f>
        <v>0</v>
      </c>
      <c r="W926" s="1" t="n">
        <f aca="false">SUM(Q926:V926)</f>
        <v>0</v>
      </c>
      <c r="X926" s="1" t="n">
        <v>6</v>
      </c>
      <c r="Y926" s="1" t="n">
        <v>3</v>
      </c>
      <c r="AF926" s="9" t="n">
        <f aca="false">SUM(Z926:AE926)</f>
        <v>0</v>
      </c>
      <c r="AG926" s="10"/>
      <c r="AH926" s="11"/>
      <c r="AI926" s="11"/>
      <c r="AJ926" s="11"/>
      <c r="AK926" s="11"/>
      <c r="AL926" s="11"/>
      <c r="AM926" s="11"/>
      <c r="AN926" s="11" t="n">
        <f aca="false">SUM(AH926:AM926)</f>
        <v>0</v>
      </c>
    </row>
    <row r="927" customFormat="false" ht="13.8" hidden="false" customHeight="false" outlineLevel="0" collapsed="false">
      <c r="A927" s="1" t="s">
        <v>1117</v>
      </c>
      <c r="B927" s="1" t="n">
        <v>360</v>
      </c>
      <c r="C927" s="1" t="s">
        <v>1078</v>
      </c>
      <c r="D927" s="1" t="s">
        <v>42</v>
      </c>
      <c r="E927" s="1" t="s">
        <v>1079</v>
      </c>
      <c r="F927" s="1" t="n">
        <v>35</v>
      </c>
      <c r="G927" s="1" t="n">
        <v>1</v>
      </c>
      <c r="H927" s="1" t="n">
        <v>35</v>
      </c>
      <c r="I927" s="8" t="n">
        <v>9643103</v>
      </c>
      <c r="J927" s="1" t="n">
        <v>4</v>
      </c>
      <c r="K927" s="1" t="s">
        <v>381</v>
      </c>
      <c r="L927" s="1" t="n">
        <v>12</v>
      </c>
      <c r="N927" s="1" t="n">
        <v>7</v>
      </c>
      <c r="O927" s="1" t="n">
        <v>5</v>
      </c>
      <c r="P927" s="1" t="n">
        <f aca="false">SUM(M927:O927)</f>
        <v>12</v>
      </c>
      <c r="U927" s="1" t="n">
        <v>44</v>
      </c>
      <c r="W927" s="1" t="n">
        <f aca="false">SUM(Q927:V927)</f>
        <v>44</v>
      </c>
      <c r="X927" s="1" t="n">
        <v>2</v>
      </c>
      <c r="Y927" s="1" t="n">
        <v>8</v>
      </c>
      <c r="AD927" s="9" t="n">
        <f aca="false">(U927)*(1+(J927)*0.2)</f>
        <v>79.2</v>
      </c>
      <c r="AF927" s="9" t="n">
        <f aca="false">SUM(Z927:AE927)</f>
        <v>79.2</v>
      </c>
      <c r="AG927" s="10" t="s">
        <v>47</v>
      </c>
      <c r="AH927" s="11"/>
      <c r="AI927" s="11"/>
      <c r="AJ927" s="11"/>
      <c r="AK927" s="11"/>
      <c r="AL927" s="11" t="n">
        <f aca="false">IF(AG927="yes",AD927*1.2,AD927)</f>
        <v>95.04</v>
      </c>
      <c r="AM927" s="11"/>
      <c r="AN927" s="11" t="n">
        <f aca="false">SUM(AH927:AM927)</f>
        <v>95.04</v>
      </c>
    </row>
    <row r="928" customFormat="false" ht="13.8" hidden="false" customHeight="false" outlineLevel="0" collapsed="false">
      <c r="A928" s="1" t="s">
        <v>1118</v>
      </c>
      <c r="B928" s="1" t="n">
        <v>642</v>
      </c>
      <c r="C928" s="1" t="s">
        <v>1078</v>
      </c>
      <c r="D928" s="1" t="s">
        <v>73</v>
      </c>
      <c r="E928" s="1" t="s">
        <v>1079</v>
      </c>
      <c r="G928" s="1" t="n">
        <v>1</v>
      </c>
      <c r="H928" s="1" t="n">
        <v>1</v>
      </c>
      <c r="I928" s="8" t="n">
        <v>24</v>
      </c>
      <c r="J928" s="1" t="n">
        <v>2</v>
      </c>
      <c r="K928" s="1" t="s">
        <v>261</v>
      </c>
      <c r="L928" s="1" t="n">
        <v>0</v>
      </c>
      <c r="P928" s="1" t="n">
        <f aca="false">SUM(M928:O928)</f>
        <v>0</v>
      </c>
      <c r="W928" s="1" t="n">
        <f aca="false">SUM(Q928:V928)</f>
        <v>0</v>
      </c>
      <c r="Y928" s="1" t="n">
        <v>1</v>
      </c>
      <c r="AF928" s="9" t="n">
        <f aca="false">SUM(Z928:AE928)</f>
        <v>0</v>
      </c>
      <c r="AG928" s="10"/>
      <c r="AH928" s="11"/>
      <c r="AI928" s="11"/>
      <c r="AJ928" s="11"/>
      <c r="AK928" s="11"/>
      <c r="AL928" s="11"/>
      <c r="AM928" s="11"/>
      <c r="AN928" s="11" t="n">
        <f aca="false">SUM(AH928:AM928)</f>
        <v>0</v>
      </c>
    </row>
    <row r="929" customFormat="false" ht="13.8" hidden="false" customHeight="false" outlineLevel="0" collapsed="false">
      <c r="A929" s="1" t="s">
        <v>1119</v>
      </c>
      <c r="B929" s="1" t="n">
        <v>686</v>
      </c>
      <c r="C929" s="1" t="s">
        <v>1078</v>
      </c>
      <c r="D929" s="1" t="s">
        <v>73</v>
      </c>
      <c r="E929" s="1" t="s">
        <v>1079</v>
      </c>
      <c r="F929" s="1" t="n">
        <v>1</v>
      </c>
      <c r="G929" s="1" t="n">
        <v>1</v>
      </c>
      <c r="H929" s="1" t="n">
        <v>2</v>
      </c>
      <c r="I929" s="8" t="n">
        <v>1545798</v>
      </c>
      <c r="J929" s="1" t="n">
        <v>2</v>
      </c>
      <c r="K929" s="1" t="s">
        <v>44</v>
      </c>
      <c r="L929" s="1" t="n">
        <v>2</v>
      </c>
      <c r="O929" s="1" t="n">
        <v>1</v>
      </c>
      <c r="P929" s="1" t="n">
        <f aca="false">SUM(M929:O929)</f>
        <v>1</v>
      </c>
      <c r="W929" s="1" t="n">
        <f aca="false">SUM(Q929:V929)</f>
        <v>0</v>
      </c>
      <c r="X929" s="1" t="n">
        <v>4</v>
      </c>
      <c r="Y929" s="1" t="n">
        <v>3</v>
      </c>
      <c r="AF929" s="9" t="n">
        <f aca="false">SUM(Z929:AE929)</f>
        <v>0</v>
      </c>
      <c r="AG929" s="10"/>
      <c r="AH929" s="11"/>
      <c r="AI929" s="11"/>
      <c r="AJ929" s="11"/>
      <c r="AK929" s="11"/>
      <c r="AL929" s="11"/>
      <c r="AM929" s="11"/>
      <c r="AN929" s="11" t="n">
        <f aca="false">SUM(AH929:AM929)</f>
        <v>0</v>
      </c>
    </row>
    <row r="930" customFormat="false" ht="13.8" hidden="false" customHeight="false" outlineLevel="0" collapsed="false">
      <c r="A930" s="1" t="s">
        <v>1120</v>
      </c>
      <c r="B930" s="1" t="n">
        <v>364</v>
      </c>
      <c r="C930" s="1" t="s">
        <v>1078</v>
      </c>
      <c r="D930" s="1" t="s">
        <v>42</v>
      </c>
      <c r="E930" s="1" t="s">
        <v>1079</v>
      </c>
      <c r="F930" s="1" t="n">
        <v>1</v>
      </c>
      <c r="G930" s="1" t="n">
        <v>1</v>
      </c>
      <c r="H930" s="1" t="n">
        <v>12</v>
      </c>
      <c r="I930" s="8" t="n">
        <v>1740887</v>
      </c>
      <c r="J930" s="1" t="n">
        <v>3</v>
      </c>
      <c r="K930" s="1" t="s">
        <v>96</v>
      </c>
      <c r="L930" s="1" t="n">
        <v>6</v>
      </c>
      <c r="O930" s="1" t="n">
        <v>2</v>
      </c>
      <c r="P930" s="1" t="n">
        <f aca="false">SUM(M930:O930)</f>
        <v>2</v>
      </c>
      <c r="W930" s="1" t="n">
        <f aca="false">SUM(Q930:V930)</f>
        <v>0</v>
      </c>
      <c r="Y930" s="1" t="n">
        <v>2</v>
      </c>
      <c r="AF930" s="9" t="n">
        <f aca="false">SUM(Z930:AE930)</f>
        <v>0</v>
      </c>
      <c r="AG930" s="10"/>
      <c r="AH930" s="11"/>
      <c r="AI930" s="11"/>
      <c r="AJ930" s="11"/>
      <c r="AK930" s="11"/>
      <c r="AL930" s="11"/>
      <c r="AM930" s="11"/>
      <c r="AN930" s="11" t="n">
        <f aca="false">SUM(AH930:AM930)</f>
        <v>0</v>
      </c>
    </row>
    <row r="931" customFormat="false" ht="13.8" hidden="false" customHeight="false" outlineLevel="0" collapsed="false">
      <c r="A931" s="1" t="s">
        <v>1121</v>
      </c>
      <c r="B931" s="1" t="n">
        <v>390</v>
      </c>
      <c r="C931" s="1" t="s">
        <v>1078</v>
      </c>
      <c r="D931" s="1" t="s">
        <v>42</v>
      </c>
      <c r="E931" s="1" t="s">
        <v>1079</v>
      </c>
      <c r="F931" s="1" t="n">
        <v>1</v>
      </c>
      <c r="G931" s="1" t="n">
        <v>1</v>
      </c>
      <c r="H931" s="1" t="n">
        <v>12</v>
      </c>
      <c r="I931" s="8" t="n">
        <v>693695</v>
      </c>
      <c r="J931" s="1" t="n">
        <v>2</v>
      </c>
      <c r="K931" s="1" t="s">
        <v>44</v>
      </c>
      <c r="L931" s="1" t="n">
        <v>2</v>
      </c>
      <c r="O931" s="1" t="n">
        <v>1</v>
      </c>
      <c r="P931" s="1" t="n">
        <f aca="false">SUM(M931:O931)</f>
        <v>1</v>
      </c>
      <c r="W931" s="1" t="n">
        <f aca="false">SUM(Q931:V931)</f>
        <v>0</v>
      </c>
      <c r="AF931" s="9" t="n">
        <f aca="false">SUM(Z931:AE931)</f>
        <v>0</v>
      </c>
      <c r="AG931" s="10"/>
      <c r="AH931" s="11"/>
      <c r="AI931" s="11"/>
      <c r="AJ931" s="11"/>
      <c r="AK931" s="11"/>
      <c r="AL931" s="11"/>
      <c r="AM931" s="11"/>
      <c r="AN931" s="11" t="n">
        <f aca="false">SUM(AH931:AM931)</f>
        <v>0</v>
      </c>
    </row>
    <row r="932" customFormat="false" ht="13.8" hidden="false" customHeight="false" outlineLevel="0" collapsed="false">
      <c r="A932" s="1" t="s">
        <v>1122</v>
      </c>
      <c r="B932" s="1" t="n">
        <v>368</v>
      </c>
      <c r="C932" s="1" t="s">
        <v>1078</v>
      </c>
      <c r="D932" s="1" t="s">
        <v>42</v>
      </c>
      <c r="E932" s="1" t="s">
        <v>1079</v>
      </c>
      <c r="F932" s="1" t="n">
        <v>3</v>
      </c>
      <c r="G932" s="1" t="n">
        <v>1</v>
      </c>
      <c r="H932" s="1" t="n">
        <v>15</v>
      </c>
      <c r="I932" s="8" t="n">
        <v>2619749</v>
      </c>
      <c r="J932" s="1" t="n">
        <v>3</v>
      </c>
      <c r="K932" s="1" t="s">
        <v>96</v>
      </c>
      <c r="L932" s="1" t="n">
        <v>6</v>
      </c>
      <c r="O932" s="1" t="n">
        <v>3</v>
      </c>
      <c r="P932" s="1" t="n">
        <f aca="false">SUM(M932:O932)</f>
        <v>3</v>
      </c>
      <c r="U932" s="1" t="n">
        <v>60</v>
      </c>
      <c r="W932" s="1" t="n">
        <f aca="false">SUM(Q932:V932)</f>
        <v>60</v>
      </c>
      <c r="AD932" s="9" t="n">
        <f aca="false">(U932)*(1+(J932)*0.2)</f>
        <v>96</v>
      </c>
      <c r="AF932" s="9" t="n">
        <f aca="false">SUM(Z932:AE932)</f>
        <v>96</v>
      </c>
      <c r="AG932" s="10" t="s">
        <v>47</v>
      </c>
      <c r="AH932" s="11"/>
      <c r="AI932" s="11"/>
      <c r="AJ932" s="11"/>
      <c r="AK932" s="11"/>
      <c r="AL932" s="11" t="n">
        <f aca="false">IF(AG932="yes",AD932*1.2,AD932)</f>
        <v>115.2</v>
      </c>
      <c r="AM932" s="11"/>
      <c r="AN932" s="11" t="n">
        <f aca="false">SUM(AH932:AM932)</f>
        <v>115.2</v>
      </c>
    </row>
    <row r="933" customFormat="false" ht="13.8" hidden="false" customHeight="false" outlineLevel="0" collapsed="false">
      <c r="A933" s="1" t="s">
        <v>1123</v>
      </c>
      <c r="B933" s="1" t="n">
        <v>375</v>
      </c>
      <c r="C933" s="1" t="s">
        <v>1078</v>
      </c>
      <c r="D933" s="1" t="s">
        <v>42</v>
      </c>
      <c r="E933" s="1" t="s">
        <v>1079</v>
      </c>
      <c r="F933" s="1" t="n">
        <v>21</v>
      </c>
      <c r="G933" s="1" t="n">
        <v>1</v>
      </c>
      <c r="H933" s="1" t="n">
        <v>49</v>
      </c>
      <c r="I933" s="8" t="n">
        <v>5831822</v>
      </c>
      <c r="J933" s="1" t="n">
        <v>3</v>
      </c>
      <c r="K933" s="1" t="s">
        <v>109</v>
      </c>
      <c r="L933" s="1" t="n">
        <v>10</v>
      </c>
      <c r="O933" s="1" t="n">
        <v>9</v>
      </c>
      <c r="P933" s="1" t="n">
        <f aca="false">SUM(M933:O933)</f>
        <v>9</v>
      </c>
      <c r="Q933" s="1" t="n">
        <v>320</v>
      </c>
      <c r="R933" s="1" t="n">
        <v>50</v>
      </c>
      <c r="W933" s="1" t="n">
        <f aca="false">SUM(Q933:V933)</f>
        <v>370</v>
      </c>
      <c r="X933" s="1" t="n">
        <v>3</v>
      </c>
      <c r="Y933" s="1" t="n">
        <v>4</v>
      </c>
      <c r="Z933" s="9" t="n">
        <f aca="false">(Q933)*(1+(J933)*0.2)</f>
        <v>512</v>
      </c>
      <c r="AA933" s="9" t="n">
        <f aca="false">(R933)*(1+(J933)*0.2)</f>
        <v>80</v>
      </c>
      <c r="AF933" s="9" t="n">
        <f aca="false">SUM(Z933:AE933)</f>
        <v>592</v>
      </c>
      <c r="AG933" s="10" t="s">
        <v>47</v>
      </c>
      <c r="AH933" s="11" t="n">
        <f aca="false">IF(AG933="yes",Z933*1.2,Z933)</f>
        <v>614.4</v>
      </c>
      <c r="AI933" s="11" t="n">
        <f aca="false">IF(AG933="yes",AA933*1.2,AA933)</f>
        <v>96</v>
      </c>
      <c r="AJ933" s="11"/>
      <c r="AK933" s="11"/>
      <c r="AL933" s="11"/>
      <c r="AM933" s="11"/>
      <c r="AN933" s="11" t="n">
        <f aca="false">SUM(AH933:AM933)</f>
        <v>710.4</v>
      </c>
    </row>
    <row r="934" customFormat="false" ht="13.8" hidden="false" customHeight="false" outlineLevel="0" collapsed="false">
      <c r="A934" s="1" t="s">
        <v>1124</v>
      </c>
      <c r="B934" s="1" t="n">
        <v>380</v>
      </c>
      <c r="C934" s="1" t="s">
        <v>1078</v>
      </c>
      <c r="D934" s="1" t="s">
        <v>42</v>
      </c>
      <c r="E934" s="1" t="s">
        <v>1079</v>
      </c>
      <c r="F934" s="1" t="n">
        <v>1</v>
      </c>
      <c r="G934" s="1" t="n">
        <v>1</v>
      </c>
      <c r="H934" s="1" t="n">
        <v>14</v>
      </c>
      <c r="I934" s="8" t="n">
        <v>508466</v>
      </c>
      <c r="J934" s="1" t="n">
        <v>2</v>
      </c>
      <c r="K934" s="1" t="s">
        <v>44</v>
      </c>
      <c r="L934" s="1" t="n">
        <v>2</v>
      </c>
      <c r="O934" s="1" t="n">
        <v>1</v>
      </c>
      <c r="P934" s="1" t="n">
        <f aca="false">SUM(M934:O934)</f>
        <v>1</v>
      </c>
      <c r="T934" s="1" t="n">
        <v>76</v>
      </c>
      <c r="W934" s="1" t="n">
        <f aca="false">SUM(Q934:V934)</f>
        <v>76</v>
      </c>
      <c r="AC934" s="9" t="n">
        <f aca="false">(T934)*(1+(J934)*0.2)</f>
        <v>106.4</v>
      </c>
      <c r="AF934" s="9" t="n">
        <f aca="false">SUM(Z934:AE934)</f>
        <v>106.4</v>
      </c>
      <c r="AG934" s="10" t="s">
        <v>47</v>
      </c>
      <c r="AH934" s="11"/>
      <c r="AI934" s="11"/>
      <c r="AJ934" s="11"/>
      <c r="AK934" s="11" t="n">
        <f aca="false">IF(AG934="yes",AC934*1.2,AC934)</f>
        <v>127.68</v>
      </c>
      <c r="AL934" s="11"/>
      <c r="AM934" s="11"/>
      <c r="AN934" s="11" t="n">
        <f aca="false">SUM(AH934:AM934)</f>
        <v>127.68</v>
      </c>
    </row>
    <row r="935" customFormat="false" ht="13.8" hidden="false" customHeight="false" outlineLevel="0" collapsed="false">
      <c r="A935" s="1" t="s">
        <v>1125</v>
      </c>
      <c r="B935" s="1" t="n">
        <v>362</v>
      </c>
      <c r="C935" s="1" t="s">
        <v>1078</v>
      </c>
      <c r="D935" s="1" t="s">
        <v>42</v>
      </c>
      <c r="E935" s="1" t="s">
        <v>1079</v>
      </c>
      <c r="F935" s="1" t="n">
        <v>25</v>
      </c>
      <c r="G935" s="1" t="n">
        <v>1</v>
      </c>
      <c r="H935" s="1" t="n">
        <v>18</v>
      </c>
      <c r="I935" s="8" t="n">
        <v>2251825</v>
      </c>
      <c r="J935" s="1" t="n">
        <v>3</v>
      </c>
      <c r="K935" s="1" t="s">
        <v>57</v>
      </c>
      <c r="L935" s="1" t="n">
        <v>8</v>
      </c>
      <c r="N935" s="1" t="n">
        <v>4</v>
      </c>
      <c r="O935" s="1" t="n">
        <v>2</v>
      </c>
      <c r="P935" s="1" t="n">
        <f aca="false">SUM(M935:O935)</f>
        <v>6</v>
      </c>
      <c r="W935" s="1" t="n">
        <f aca="false">SUM(Q935:V935)</f>
        <v>0</v>
      </c>
      <c r="X935" s="1" t="n">
        <v>6</v>
      </c>
      <c r="Y935" s="1" t="n">
        <v>10</v>
      </c>
      <c r="AF935" s="9" t="n">
        <f aca="false">SUM(Z935:AE935)</f>
        <v>0</v>
      </c>
      <c r="AG935" s="10"/>
      <c r="AH935" s="11"/>
      <c r="AI935" s="11"/>
      <c r="AJ935" s="11"/>
      <c r="AK935" s="11"/>
      <c r="AL935" s="11"/>
      <c r="AM935" s="11"/>
      <c r="AN935" s="11" t="n">
        <f aca="false">SUM(AH935:AM935)</f>
        <v>0</v>
      </c>
    </row>
    <row r="936" customFormat="false" ht="13.8" hidden="false" customHeight="false" outlineLevel="0" collapsed="false">
      <c r="A936" s="1" t="s">
        <v>1126</v>
      </c>
      <c r="B936" s="1" t="n">
        <v>632</v>
      </c>
      <c r="C936" s="1" t="s">
        <v>1078</v>
      </c>
      <c r="D936" s="1" t="s">
        <v>73</v>
      </c>
      <c r="E936" s="1" t="s">
        <v>1079</v>
      </c>
      <c r="F936" s="1" t="n">
        <v>1</v>
      </c>
      <c r="G936" s="1" t="n">
        <v>1</v>
      </c>
      <c r="H936" s="1" t="n">
        <v>1</v>
      </c>
      <c r="I936" s="8" t="n">
        <v>150</v>
      </c>
      <c r="J936" s="1" t="n">
        <v>2</v>
      </c>
      <c r="K936" s="1" t="s">
        <v>261</v>
      </c>
      <c r="L936" s="1" t="n">
        <v>0</v>
      </c>
      <c r="P936" s="1" t="n">
        <f aca="false">SUM(M936:O936)</f>
        <v>0</v>
      </c>
      <c r="W936" s="1" t="n">
        <f aca="false">SUM(Q936:V936)</f>
        <v>0</v>
      </c>
      <c r="Y936" s="1" t="n">
        <v>1</v>
      </c>
      <c r="AF936" s="9" t="n">
        <f aca="false">SUM(Z936:AE936)</f>
        <v>0</v>
      </c>
      <c r="AG936" s="10"/>
      <c r="AH936" s="11"/>
      <c r="AI936" s="11"/>
      <c r="AJ936" s="11"/>
      <c r="AK936" s="11"/>
      <c r="AL936" s="11"/>
      <c r="AM936" s="11"/>
      <c r="AN936" s="11" t="n">
        <f aca="false">SUM(AH936:AM936)</f>
        <v>0</v>
      </c>
    </row>
    <row r="937" customFormat="false" ht="13.8" hidden="false" customHeight="false" outlineLevel="0" collapsed="false">
      <c r="A937" s="1" t="s">
        <v>1127</v>
      </c>
      <c r="B937" s="1" t="n">
        <v>386</v>
      </c>
      <c r="C937" s="1" t="s">
        <v>1078</v>
      </c>
      <c r="D937" s="1" t="s">
        <v>42</v>
      </c>
      <c r="E937" s="1" t="s">
        <v>1079</v>
      </c>
      <c r="F937" s="1" t="n">
        <v>11</v>
      </c>
      <c r="G937" s="1" t="n">
        <v>1</v>
      </c>
      <c r="H937" s="1" t="n">
        <v>22</v>
      </c>
      <c r="I937" s="8" t="n">
        <v>1565303</v>
      </c>
      <c r="J937" s="1" t="n">
        <v>3</v>
      </c>
      <c r="K937" s="1" t="s">
        <v>120</v>
      </c>
      <c r="L937" s="1" t="n">
        <v>5</v>
      </c>
      <c r="M937" s="1" t="n">
        <v>1</v>
      </c>
      <c r="N937" s="1" t="n">
        <v>1</v>
      </c>
      <c r="O937" s="1" t="n">
        <v>1</v>
      </c>
      <c r="P937" s="1" t="n">
        <f aca="false">SUM(M937:O937)</f>
        <v>3</v>
      </c>
      <c r="W937" s="1" t="n">
        <f aca="false">SUM(Q937:V937)</f>
        <v>0</v>
      </c>
      <c r="X937" s="1" t="n">
        <v>5</v>
      </c>
      <c r="Y937" s="1" t="n">
        <v>3</v>
      </c>
      <c r="AF937" s="9" t="n">
        <f aca="false">SUM(Z937:AE937)</f>
        <v>0</v>
      </c>
      <c r="AG937" s="10"/>
      <c r="AH937" s="11"/>
      <c r="AI937" s="11"/>
      <c r="AJ937" s="11"/>
      <c r="AK937" s="11"/>
      <c r="AL937" s="11"/>
      <c r="AM937" s="11"/>
      <c r="AN937" s="11" t="n">
        <f aca="false">SUM(AH937:AM937)</f>
        <v>0</v>
      </c>
    </row>
    <row r="938" customFormat="false" ht="13.8" hidden="false" customHeight="false" outlineLevel="0" collapsed="false">
      <c r="A938" s="1" t="s">
        <v>1128</v>
      </c>
      <c r="B938" s="1" t="n">
        <v>816</v>
      </c>
      <c r="C938" s="1" t="s">
        <v>1078</v>
      </c>
      <c r="D938" s="1" t="s">
        <v>42</v>
      </c>
      <c r="E938" s="1" t="s">
        <v>1079</v>
      </c>
      <c r="F938" s="1" t="n">
        <v>3</v>
      </c>
      <c r="G938" s="1" t="n">
        <v>1</v>
      </c>
      <c r="H938" s="1" t="n">
        <v>13</v>
      </c>
      <c r="I938" s="8" t="n">
        <v>1904296</v>
      </c>
      <c r="J938" s="1" t="n">
        <v>3</v>
      </c>
      <c r="K938" s="1" t="s">
        <v>46</v>
      </c>
      <c r="L938" s="1" t="n">
        <v>4</v>
      </c>
      <c r="O938" s="1" t="n">
        <v>2</v>
      </c>
      <c r="P938" s="1" t="n">
        <f aca="false">SUM(M938:O938)</f>
        <v>2</v>
      </c>
      <c r="W938" s="1" t="n">
        <f aca="false">SUM(Q938:V938)</f>
        <v>0</v>
      </c>
      <c r="X938" s="1" t="n">
        <v>3</v>
      </c>
      <c r="AF938" s="9" t="n">
        <f aca="false">SUM(Z938:AE938)</f>
        <v>0</v>
      </c>
      <c r="AG938" s="10"/>
      <c r="AH938" s="11"/>
      <c r="AI938" s="11"/>
      <c r="AJ938" s="11"/>
      <c r="AK938" s="11"/>
      <c r="AL938" s="11"/>
      <c r="AM938" s="11"/>
      <c r="AN938" s="11" t="n">
        <f aca="false">SUM(AH938:AM938)</f>
        <v>0</v>
      </c>
    </row>
    <row r="939" customFormat="false" ht="13.8" hidden="false" customHeight="false" outlineLevel="0" collapsed="false">
      <c r="A939" s="1" t="s">
        <v>1129</v>
      </c>
      <c r="B939" s="1" t="n">
        <v>394</v>
      </c>
      <c r="C939" s="1" t="s">
        <v>1078</v>
      </c>
      <c r="D939" s="1" t="s">
        <v>42</v>
      </c>
      <c r="E939" s="1" t="s">
        <v>1079</v>
      </c>
      <c r="F939" s="1" t="n">
        <v>5</v>
      </c>
      <c r="G939" s="1" t="n">
        <v>1</v>
      </c>
      <c r="H939" s="1" t="n">
        <v>18</v>
      </c>
      <c r="I939" s="8" t="n">
        <v>2942592</v>
      </c>
      <c r="J939" s="1" t="n">
        <v>3</v>
      </c>
      <c r="K939" s="1" t="s">
        <v>96</v>
      </c>
      <c r="L939" s="1" t="n">
        <v>6</v>
      </c>
      <c r="O939" s="1" t="n">
        <v>3</v>
      </c>
      <c r="P939" s="1" t="n">
        <f aca="false">SUM(M939:O939)</f>
        <v>3</v>
      </c>
      <c r="U939" s="1" t="n">
        <v>53</v>
      </c>
      <c r="W939" s="1" t="n">
        <f aca="false">SUM(Q939:V939)</f>
        <v>53</v>
      </c>
      <c r="AD939" s="9" t="n">
        <f aca="false">(U939)*(1+(J939)*0.2)</f>
        <v>84.8</v>
      </c>
      <c r="AF939" s="9" t="n">
        <f aca="false">SUM(Z939:AE939)</f>
        <v>84.8</v>
      </c>
      <c r="AG939" s="10" t="s">
        <v>47</v>
      </c>
      <c r="AH939" s="11"/>
      <c r="AI939" s="11"/>
      <c r="AJ939" s="11"/>
      <c r="AK939" s="11"/>
      <c r="AL939" s="11" t="n">
        <f aca="false">IF(AG939="yes",AD939*1.2,AD939)</f>
        <v>101.76</v>
      </c>
      <c r="AM939" s="11"/>
      <c r="AN939" s="11" t="n">
        <f aca="false">SUM(AH939:AM939)</f>
        <v>101.76</v>
      </c>
    </row>
    <row r="940" customFormat="false" ht="13.8" hidden="false" customHeight="false" outlineLevel="0" collapsed="false">
      <c r="A940" s="1" t="s">
        <v>1130</v>
      </c>
      <c r="B940" s="1" t="n">
        <v>381</v>
      </c>
      <c r="C940" s="1" t="s">
        <v>1078</v>
      </c>
      <c r="D940" s="1" t="s">
        <v>42</v>
      </c>
      <c r="E940" s="1" t="s">
        <v>1079</v>
      </c>
      <c r="G940" s="1" t="n">
        <v>1</v>
      </c>
      <c r="H940" s="1" t="n">
        <v>13</v>
      </c>
      <c r="I940" s="8" t="n">
        <v>225839</v>
      </c>
      <c r="J940" s="1" t="n">
        <v>2</v>
      </c>
      <c r="K940" s="1" t="s">
        <v>44</v>
      </c>
      <c r="L940" s="1" t="n">
        <v>2</v>
      </c>
      <c r="P940" s="1" t="n">
        <f aca="false">SUM(M940:O940)</f>
        <v>0</v>
      </c>
      <c r="W940" s="1" t="n">
        <f aca="false">SUM(Q940:V940)</f>
        <v>0</v>
      </c>
      <c r="AF940" s="9" t="n">
        <f aca="false">SUM(Z940:AE940)</f>
        <v>0</v>
      </c>
      <c r="AG940" s="10"/>
      <c r="AH940" s="11"/>
      <c r="AI940" s="11"/>
      <c r="AJ940" s="11"/>
      <c r="AK940" s="11"/>
      <c r="AL940" s="11"/>
      <c r="AM940" s="11"/>
      <c r="AN940" s="11" t="n">
        <f aca="false">SUM(AH940:AM940)</f>
        <v>0</v>
      </c>
    </row>
    <row r="941" customFormat="false" ht="13.8" hidden="false" customHeight="false" outlineLevel="0" collapsed="false">
      <c r="A941" s="13" t="s">
        <v>1131</v>
      </c>
      <c r="B941" s="13" t="n">
        <v>945</v>
      </c>
      <c r="C941" s="1" t="s">
        <v>1132</v>
      </c>
      <c r="D941" s="13" t="s">
        <v>42</v>
      </c>
      <c r="E941" s="1" t="s">
        <v>1133</v>
      </c>
      <c r="F941" s="13" t="n">
        <v>1</v>
      </c>
      <c r="G941" s="1" t="n">
        <v>1</v>
      </c>
      <c r="H941" s="13" t="n">
        <v>4</v>
      </c>
      <c r="I941" s="16" t="n">
        <v>500841</v>
      </c>
      <c r="J941" s="13" t="n">
        <v>2</v>
      </c>
      <c r="K941" s="13" t="s">
        <v>46</v>
      </c>
      <c r="L941" s="13" t="n">
        <v>4</v>
      </c>
      <c r="N941" s="13" t="n">
        <v>1</v>
      </c>
      <c r="O941" s="13" t="n">
        <v>2</v>
      </c>
      <c r="P941" s="13" t="n">
        <f aca="false">SUM(M941:O941)</f>
        <v>3</v>
      </c>
      <c r="U941" s="13" t="n">
        <v>2</v>
      </c>
      <c r="W941" s="13" t="n">
        <f aca="false">SUM(Q941:V941)</f>
        <v>2</v>
      </c>
      <c r="AA941" s="9"/>
      <c r="AD941" s="14" t="n">
        <f aca="false">(U941)*(1+(J941)*0.2)</f>
        <v>2.8</v>
      </c>
      <c r="AE941" s="9"/>
      <c r="AF941" s="14" t="n">
        <f aca="false">SUM(Z941:AE941)</f>
        <v>2.8</v>
      </c>
      <c r="AG941" s="17" t="s">
        <v>53</v>
      </c>
      <c r="AH941" s="11"/>
      <c r="AI941" s="11"/>
      <c r="AJ941" s="11"/>
      <c r="AK941" s="11"/>
      <c r="AL941" s="15" t="n">
        <f aca="false">IF(AG941="yes",AD941*1.2,AD941)</f>
        <v>2.8</v>
      </c>
      <c r="AM941" s="11"/>
      <c r="AN941" s="15" t="n">
        <f aca="false">SUM(AH941:AM941)</f>
        <v>2.8</v>
      </c>
    </row>
    <row r="942" customFormat="false" ht="13.8" hidden="false" customHeight="false" outlineLevel="0" collapsed="false">
      <c r="A942" s="13" t="s">
        <v>1134</v>
      </c>
      <c r="B942" s="1" t="n">
        <v>300</v>
      </c>
      <c r="C942" s="1" t="s">
        <v>1132</v>
      </c>
      <c r="D942" s="1" t="s">
        <v>42</v>
      </c>
      <c r="E942" s="1" t="s">
        <v>1133</v>
      </c>
      <c r="F942" s="13" t="n">
        <v>10</v>
      </c>
      <c r="G942" s="1" t="n">
        <v>1</v>
      </c>
      <c r="H942" s="13" t="n">
        <v>4</v>
      </c>
      <c r="I942" s="16" t="n">
        <v>914885</v>
      </c>
      <c r="J942" s="1" t="n">
        <v>3</v>
      </c>
      <c r="K942" s="1" t="s">
        <v>57</v>
      </c>
      <c r="L942" s="1" t="n">
        <v>8</v>
      </c>
      <c r="M942" s="1" t="n">
        <v>1</v>
      </c>
      <c r="N942" s="1" t="n">
        <v>1</v>
      </c>
      <c r="O942" s="13" t="n">
        <v>4</v>
      </c>
      <c r="P942" s="13" t="n">
        <f aca="false">SUM(M942:O942)</f>
        <v>6</v>
      </c>
      <c r="Q942" s="13"/>
      <c r="U942" s="13" t="n">
        <v>2</v>
      </c>
      <c r="W942" s="1" t="n">
        <f aca="false">SUM(Q942:V942)</f>
        <v>2</v>
      </c>
      <c r="X942" s="1" t="n">
        <v>1</v>
      </c>
      <c r="Y942" s="1" t="n">
        <v>6</v>
      </c>
      <c r="Z942" s="14"/>
      <c r="AD942" s="14" t="n">
        <f aca="false">(U942)*(1+(J942)*0.2)</f>
        <v>3.2</v>
      </c>
      <c r="AF942" s="9" t="n">
        <f aca="false">SUM(Z942:AE942)</f>
        <v>3.2</v>
      </c>
      <c r="AG942" s="10" t="s">
        <v>47</v>
      </c>
      <c r="AH942" s="15"/>
      <c r="AI942" s="11"/>
      <c r="AJ942" s="11"/>
      <c r="AK942" s="11"/>
      <c r="AL942" s="15" t="n">
        <f aca="false">IF(AG942="yes",AD942*1.2,AD942)</f>
        <v>3.84</v>
      </c>
      <c r="AM942" s="11"/>
      <c r="AN942" s="11" t="n">
        <f aca="false">SUM(AH942:AM942)</f>
        <v>3.84</v>
      </c>
    </row>
    <row r="943" customFormat="false" ht="13.8" hidden="false" customHeight="false" outlineLevel="0" collapsed="false">
      <c r="A943" s="13" t="s">
        <v>1135</v>
      </c>
      <c r="B943" s="13" t="n">
        <v>946</v>
      </c>
      <c r="C943" s="1" t="s">
        <v>1132</v>
      </c>
      <c r="D943" s="13" t="s">
        <v>42</v>
      </c>
      <c r="E943" s="1" t="s">
        <v>1133</v>
      </c>
      <c r="F943" s="13" t="n">
        <v>3</v>
      </c>
      <c r="G943" s="1" t="n">
        <v>1</v>
      </c>
      <c r="H943" s="13" t="n">
        <v>5</v>
      </c>
      <c r="I943" s="16" t="n">
        <v>320391</v>
      </c>
      <c r="J943" s="13" t="n">
        <v>1</v>
      </c>
      <c r="K943" s="13" t="s">
        <v>44</v>
      </c>
      <c r="L943" s="13" t="n">
        <v>2</v>
      </c>
      <c r="M943" s="13" t="n">
        <v>1</v>
      </c>
      <c r="P943" s="13" t="n">
        <f aca="false">SUM(M943:O943)</f>
        <v>1</v>
      </c>
      <c r="Q943" s="13" t="n">
        <v>3</v>
      </c>
      <c r="W943" s="13" t="n">
        <f aca="false">SUM(Q943:V943)</f>
        <v>3</v>
      </c>
      <c r="Z943" s="14" t="n">
        <f aca="false">(Q943)*(1+(J943)*0.2)</f>
        <v>3.6</v>
      </c>
      <c r="AA943" s="9"/>
      <c r="AE943" s="9"/>
      <c r="AF943" s="14" t="n">
        <f aca="false">SUM(Z943:AE943)</f>
        <v>3.6</v>
      </c>
      <c r="AG943" s="17" t="s">
        <v>53</v>
      </c>
      <c r="AH943" s="15" t="n">
        <f aca="false">IF(AG943="yes",Z943*1.2,Z943)</f>
        <v>3.6</v>
      </c>
      <c r="AI943" s="11"/>
      <c r="AJ943" s="11"/>
      <c r="AK943" s="11"/>
      <c r="AL943" s="11"/>
      <c r="AM943" s="11"/>
      <c r="AN943" s="15" t="n">
        <f aca="false">SUM(AH943:AM943)</f>
        <v>3.6</v>
      </c>
    </row>
    <row r="944" customFormat="false" ht="13.8" hidden="false" customHeight="false" outlineLevel="0" collapsed="false">
      <c r="A944" s="1" t="s">
        <v>1136</v>
      </c>
      <c r="B944" s="1" t="n">
        <v>488</v>
      </c>
      <c r="C944" s="1" t="s">
        <v>1137</v>
      </c>
      <c r="D944" s="1" t="s">
        <v>42</v>
      </c>
      <c r="E944" s="1" t="s">
        <v>1138</v>
      </c>
      <c r="F944" s="1" t="n">
        <v>1</v>
      </c>
      <c r="G944" s="1" t="n">
        <v>1</v>
      </c>
      <c r="H944" s="13" t="n">
        <v>8</v>
      </c>
      <c r="I944" s="8" t="n">
        <v>245942</v>
      </c>
      <c r="J944" s="1" t="n">
        <v>1</v>
      </c>
      <c r="K944" s="1" t="s">
        <v>51</v>
      </c>
      <c r="L944" s="1" t="n">
        <v>1</v>
      </c>
      <c r="P944" s="1" t="n">
        <f aca="false">SUM(M944:O944)</f>
        <v>0</v>
      </c>
      <c r="W944" s="1" t="n">
        <f aca="false">SUM(Q944:V944)</f>
        <v>0</v>
      </c>
      <c r="AF944" s="9" t="n">
        <f aca="false">SUM(Z944:AE944)</f>
        <v>0</v>
      </c>
      <c r="AG944" s="10"/>
      <c r="AH944" s="11"/>
      <c r="AI944" s="11"/>
      <c r="AJ944" s="11"/>
      <c r="AK944" s="11"/>
      <c r="AL944" s="11"/>
      <c r="AM944" s="11"/>
      <c r="AN944" s="11" t="n">
        <f aca="false">SUM(AH944:AM944)</f>
        <v>0</v>
      </c>
    </row>
    <row r="945" customFormat="false" ht="13.8" hidden="false" customHeight="false" outlineLevel="0" collapsed="false">
      <c r="A945" s="1" t="s">
        <v>1139</v>
      </c>
      <c r="B945" s="1" t="n">
        <v>307</v>
      </c>
      <c r="C945" s="1" t="s">
        <v>1137</v>
      </c>
      <c r="D945" s="1" t="s">
        <v>42</v>
      </c>
      <c r="E945" s="1" t="s">
        <v>1138</v>
      </c>
      <c r="F945" s="1" t="n">
        <v>5</v>
      </c>
      <c r="G945" s="1" t="n">
        <v>1</v>
      </c>
      <c r="H945" s="1" t="n">
        <v>11</v>
      </c>
      <c r="I945" s="8" t="n">
        <v>1336640</v>
      </c>
      <c r="J945" s="1" t="n">
        <v>2</v>
      </c>
      <c r="K945" s="1" t="s">
        <v>96</v>
      </c>
      <c r="L945" s="1" t="n">
        <v>6</v>
      </c>
      <c r="M945" s="1" t="n">
        <v>1</v>
      </c>
      <c r="O945" s="1" t="n">
        <v>5</v>
      </c>
      <c r="P945" s="1" t="n">
        <f aca="false">SUM(M945:O945)</f>
        <v>6</v>
      </c>
      <c r="Q945" s="1" t="n">
        <v>41</v>
      </c>
      <c r="W945" s="1" t="n">
        <f aca="false">SUM(Q945:V945)</f>
        <v>41</v>
      </c>
      <c r="X945" s="1" t="n">
        <v>2</v>
      </c>
      <c r="Y945" s="1" t="n">
        <v>5</v>
      </c>
      <c r="Z945" s="9" t="n">
        <f aca="false">(Q945)*(1+(J945)*0.2)</f>
        <v>57.4</v>
      </c>
      <c r="AC945" s="9"/>
      <c r="AE945" s="9"/>
      <c r="AF945" s="9" t="n">
        <f aca="false">SUM(Z945:AE945)</f>
        <v>57.4</v>
      </c>
      <c r="AG945" s="10" t="s">
        <v>47</v>
      </c>
      <c r="AH945" s="11" t="n">
        <f aca="false">IF(AG945="yes",Z945*1.2,Z945)</f>
        <v>68.88</v>
      </c>
      <c r="AI945" s="11"/>
      <c r="AJ945" s="11"/>
      <c r="AK945" s="11"/>
      <c r="AL945" s="11"/>
      <c r="AM945" s="11"/>
      <c r="AN945" s="11" t="n">
        <f aca="false">SUM(AH945:AM945)</f>
        <v>68.88</v>
      </c>
    </row>
    <row r="946" customFormat="false" ht="13.8" hidden="false" customHeight="false" outlineLevel="0" collapsed="false">
      <c r="A946" s="1" t="s">
        <v>1140</v>
      </c>
      <c r="B946" s="1" t="n">
        <v>489</v>
      </c>
      <c r="C946" s="1" t="s">
        <v>1137</v>
      </c>
      <c r="D946" s="1" t="s">
        <v>42</v>
      </c>
      <c r="E946" s="1" t="s">
        <v>1138</v>
      </c>
      <c r="F946" s="1" t="n">
        <v>1</v>
      </c>
      <c r="G946" s="1" t="n">
        <v>1</v>
      </c>
      <c r="H946" s="1" t="n">
        <v>7</v>
      </c>
      <c r="I946" s="8" t="n">
        <v>1578297</v>
      </c>
      <c r="J946" s="1" t="n">
        <v>2</v>
      </c>
      <c r="K946" s="1" t="s">
        <v>46</v>
      </c>
      <c r="L946" s="1" t="n">
        <v>4</v>
      </c>
      <c r="O946" s="1" t="n">
        <v>2</v>
      </c>
      <c r="P946" s="1" t="n">
        <f aca="false">SUM(M946:O946)</f>
        <v>2</v>
      </c>
      <c r="Q946" s="1" t="n">
        <v>35</v>
      </c>
      <c r="W946" s="1" t="n">
        <f aca="false">SUM(Q946:V946)</f>
        <v>35</v>
      </c>
      <c r="Y946" s="1" t="n">
        <v>5</v>
      </c>
      <c r="Z946" s="9" t="n">
        <f aca="false">(Q946)*(1+(J946)*0.2)</f>
        <v>49</v>
      </c>
      <c r="AF946" s="9" t="n">
        <f aca="false">SUM(Z946:AE946)</f>
        <v>49</v>
      </c>
      <c r="AG946" s="10" t="s">
        <v>47</v>
      </c>
      <c r="AH946" s="11" t="n">
        <f aca="false">IF(AG946="yes",Z946*1.2,Z946)</f>
        <v>58.8</v>
      </c>
      <c r="AI946" s="11"/>
      <c r="AJ946" s="11"/>
      <c r="AK946" s="11"/>
      <c r="AL946" s="11"/>
      <c r="AM946" s="11"/>
      <c r="AN946" s="11" t="n">
        <f aca="false">SUM(AH946:AM946)</f>
        <v>58.8</v>
      </c>
    </row>
    <row r="947" customFormat="false" ht="13.8" hidden="false" customHeight="false" outlineLevel="0" collapsed="false">
      <c r="A947" s="1" t="s">
        <v>1141</v>
      </c>
      <c r="B947" s="1" t="n">
        <v>753</v>
      </c>
      <c r="C947" s="1" t="s">
        <v>1142</v>
      </c>
      <c r="D947" s="1" t="s">
        <v>42</v>
      </c>
      <c r="E947" s="1" t="s">
        <v>1143</v>
      </c>
      <c r="F947" s="1" t="n">
        <v>1</v>
      </c>
      <c r="G947" s="1" t="n">
        <v>1</v>
      </c>
      <c r="H947" s="1" t="n">
        <v>8</v>
      </c>
      <c r="I947" s="8" t="n">
        <v>3003662</v>
      </c>
      <c r="J947" s="1" t="n">
        <v>2</v>
      </c>
      <c r="K947" s="1" t="s">
        <v>44</v>
      </c>
      <c r="L947" s="1" t="n">
        <v>2</v>
      </c>
      <c r="P947" s="1" t="n">
        <f aca="false">SUM(M947:O947)</f>
        <v>0</v>
      </c>
      <c r="W947" s="1" t="n">
        <f aca="false">SUM(Q947:V947)</f>
        <v>0</v>
      </c>
      <c r="AF947" s="9" t="n">
        <f aca="false">SUM(Z947:AE947)</f>
        <v>0</v>
      </c>
      <c r="AH947" s="11"/>
      <c r="AI947" s="11"/>
      <c r="AJ947" s="11"/>
      <c r="AK947" s="11"/>
      <c r="AL947" s="11"/>
      <c r="AM947" s="11"/>
      <c r="AN947" s="11" t="n">
        <f aca="false">SUM(AH947:AM947)</f>
        <v>0</v>
      </c>
    </row>
    <row r="948" customFormat="false" ht="13.8" hidden="false" customHeight="false" outlineLevel="0" collapsed="false">
      <c r="A948" s="1" t="s">
        <v>1144</v>
      </c>
      <c r="B948" s="1" t="n">
        <v>283</v>
      </c>
      <c r="C948" s="1" t="s">
        <v>1142</v>
      </c>
      <c r="D948" s="1" t="s">
        <v>42</v>
      </c>
      <c r="E948" s="1" t="s">
        <v>1143</v>
      </c>
      <c r="F948" s="1" t="n">
        <v>3</v>
      </c>
      <c r="G948" s="1" t="n">
        <v>1</v>
      </c>
      <c r="H948" s="1" t="n">
        <v>15</v>
      </c>
      <c r="I948" s="8" t="n">
        <v>3709923</v>
      </c>
      <c r="J948" s="1" t="n">
        <v>2</v>
      </c>
      <c r="K948" s="1" t="s">
        <v>44</v>
      </c>
      <c r="L948" s="1" t="n">
        <v>2</v>
      </c>
      <c r="O948" s="1" t="n">
        <v>1</v>
      </c>
      <c r="P948" s="1" t="n">
        <f aca="false">SUM(M948:O948)</f>
        <v>1</v>
      </c>
      <c r="T948" s="1" t="n">
        <v>1</v>
      </c>
      <c r="W948" s="1" t="n">
        <f aca="false">SUM(Q948:V948)</f>
        <v>1</v>
      </c>
      <c r="AC948" s="9" t="n">
        <f aca="false">(T948)*(1+(J948)*0.2)</f>
        <v>1.4</v>
      </c>
      <c r="AF948" s="9" t="n">
        <f aca="false">SUM(Z948:AE948)</f>
        <v>1.4</v>
      </c>
      <c r="AG948" s="10" t="s">
        <v>53</v>
      </c>
      <c r="AH948" s="11"/>
      <c r="AI948" s="11"/>
      <c r="AJ948" s="11"/>
      <c r="AK948" s="11" t="n">
        <f aca="false">IF(AG948="yes",AC948*1.2,AC948)</f>
        <v>1.4</v>
      </c>
      <c r="AL948" s="11"/>
      <c r="AM948" s="11"/>
      <c r="AN948" s="11" t="n">
        <f aca="false">SUM(AH948:AM948)</f>
        <v>1.4</v>
      </c>
    </row>
    <row r="949" customFormat="false" ht="13.8" hidden="false" customHeight="false" outlineLevel="0" collapsed="false">
      <c r="A949" s="1" t="s">
        <v>1145</v>
      </c>
      <c r="B949" s="1" t="n">
        <v>754</v>
      </c>
      <c r="C949" s="1" t="s">
        <v>1142</v>
      </c>
      <c r="D949" s="1" t="s">
        <v>42</v>
      </c>
      <c r="E949" s="1" t="s">
        <v>1143</v>
      </c>
      <c r="F949" s="1" t="n">
        <v>10</v>
      </c>
      <c r="G949" s="1" t="n">
        <v>1</v>
      </c>
      <c r="H949" s="1" t="n">
        <v>9</v>
      </c>
      <c r="I949" s="8" t="n">
        <v>400488</v>
      </c>
      <c r="J949" s="1" t="n">
        <v>1</v>
      </c>
      <c r="K949" s="1" t="s">
        <v>44</v>
      </c>
      <c r="L949" s="1" t="n">
        <v>2</v>
      </c>
      <c r="M949" s="1" t="n">
        <v>1</v>
      </c>
      <c r="O949" s="1" t="n">
        <v>1</v>
      </c>
      <c r="P949" s="1" t="n">
        <f aca="false">SUM(M949:O949)</f>
        <v>2</v>
      </c>
      <c r="W949" s="1" t="n">
        <f aca="false">SUM(Q949:V949)</f>
        <v>0</v>
      </c>
      <c r="AF949" s="9" t="n">
        <f aca="false">SUM(Z949:AE949)</f>
        <v>0</v>
      </c>
      <c r="AH949" s="11"/>
      <c r="AI949" s="11"/>
      <c r="AJ949" s="11"/>
      <c r="AK949" s="11"/>
      <c r="AL949" s="11"/>
      <c r="AM949" s="11"/>
      <c r="AN949" s="11" t="n">
        <f aca="false">SUM(AH949:AM949)</f>
        <v>0</v>
      </c>
    </row>
    <row r="950" customFormat="false" ht="13.8" hidden="false" customHeight="false" outlineLevel="0" collapsed="false">
      <c r="A950" s="1" t="s">
        <v>1146</v>
      </c>
      <c r="B950" s="1" t="n">
        <v>755</v>
      </c>
      <c r="C950" s="1" t="s">
        <v>1142</v>
      </c>
      <c r="D950" s="1" t="s">
        <v>42</v>
      </c>
      <c r="E950" s="1" t="s">
        <v>1143</v>
      </c>
      <c r="G950" s="1" t="n">
        <v>1</v>
      </c>
      <c r="H950" s="1" t="n">
        <v>10</v>
      </c>
      <c r="I950" s="8" t="n">
        <v>1001221</v>
      </c>
      <c r="J950" s="1" t="n">
        <v>1</v>
      </c>
      <c r="K950" s="1" t="s">
        <v>51</v>
      </c>
      <c r="L950" s="1" t="n">
        <v>1</v>
      </c>
      <c r="O950" s="1" t="n">
        <v>1</v>
      </c>
      <c r="P950" s="1" t="n">
        <f aca="false">SUM(M950:O950)</f>
        <v>1</v>
      </c>
      <c r="W950" s="1" t="n">
        <f aca="false">SUM(Q950:V950)</f>
        <v>0</v>
      </c>
      <c r="AF950" s="9" t="n">
        <f aca="false">SUM(Z950:AE950)</f>
        <v>0</v>
      </c>
      <c r="AH950" s="11"/>
      <c r="AI950" s="11"/>
      <c r="AJ950" s="11"/>
      <c r="AK950" s="11"/>
      <c r="AL950" s="11"/>
      <c r="AM950" s="11"/>
      <c r="AN950" s="11" t="n">
        <f aca="false">SUM(AH950:AM950)</f>
        <v>0</v>
      </c>
    </row>
    <row r="951" customFormat="false" ht="13.8" hidden="false" customHeight="false" outlineLevel="0" collapsed="false">
      <c r="A951" s="1" t="s">
        <v>1147</v>
      </c>
      <c r="B951" s="1" t="n">
        <v>756</v>
      </c>
      <c r="C951" s="1" t="s">
        <v>1142</v>
      </c>
      <c r="D951" s="1" t="s">
        <v>42</v>
      </c>
      <c r="E951" s="1" t="s">
        <v>1143</v>
      </c>
      <c r="G951" s="1" t="n">
        <v>1</v>
      </c>
      <c r="H951" s="1" t="n">
        <v>12</v>
      </c>
      <c r="I951" s="8" t="n">
        <v>1001221</v>
      </c>
      <c r="J951" s="1" t="n">
        <v>1</v>
      </c>
      <c r="K951" s="1" t="s">
        <v>76</v>
      </c>
      <c r="L951" s="1" t="n">
        <v>0</v>
      </c>
      <c r="P951" s="1" t="n">
        <f aca="false">SUM(M951:O951)</f>
        <v>0</v>
      </c>
      <c r="W951" s="1" t="n">
        <f aca="false">SUM(Q951:V951)</f>
        <v>0</v>
      </c>
      <c r="AF951" s="9" t="n">
        <f aca="false">SUM(Z951:AE951)</f>
        <v>0</v>
      </c>
      <c r="AH951" s="11"/>
      <c r="AI951" s="11"/>
      <c r="AJ951" s="11"/>
      <c r="AK951" s="11"/>
      <c r="AL951" s="11"/>
      <c r="AM951" s="11"/>
      <c r="AN951" s="11" t="n">
        <f aca="false">SUM(AH951:AM951)</f>
        <v>0</v>
      </c>
    </row>
    <row r="952" customFormat="false" ht="13.8" hidden="false" customHeight="false" outlineLevel="0" collapsed="false">
      <c r="A952" s="1" t="s">
        <v>1148</v>
      </c>
      <c r="B952" s="1" t="n">
        <v>616</v>
      </c>
      <c r="C952" s="1" t="s">
        <v>1142</v>
      </c>
      <c r="D952" s="1" t="s">
        <v>42</v>
      </c>
      <c r="E952" s="1" t="s">
        <v>1143</v>
      </c>
      <c r="F952" s="1" t="n">
        <v>2</v>
      </c>
      <c r="G952" s="1" t="n">
        <v>1</v>
      </c>
      <c r="H952" s="1" t="n">
        <v>12</v>
      </c>
      <c r="I952" s="8" t="n">
        <v>2080136</v>
      </c>
      <c r="J952" s="1" t="n">
        <v>1</v>
      </c>
      <c r="K952" s="1" t="s">
        <v>51</v>
      </c>
      <c r="L952" s="1" t="n">
        <v>1</v>
      </c>
      <c r="P952" s="1" t="n">
        <f aca="false">SUM(M952:O952)</f>
        <v>0</v>
      </c>
      <c r="W952" s="1" t="n">
        <f aca="false">SUM(Q952:V952)</f>
        <v>0</v>
      </c>
      <c r="AF952" s="9" t="n">
        <f aca="false">SUM(Z952:AE952)</f>
        <v>0</v>
      </c>
      <c r="AH952" s="11"/>
      <c r="AI952" s="11"/>
      <c r="AJ952" s="11"/>
      <c r="AK952" s="11"/>
      <c r="AL952" s="11"/>
      <c r="AM952" s="11"/>
      <c r="AN952" s="11" t="n">
        <f aca="false">SUM(AH952:AM952)</f>
        <v>0</v>
      </c>
    </row>
    <row r="953" customFormat="false" ht="13.8" hidden="false" customHeight="false" outlineLevel="0" collapsed="false">
      <c r="A953" s="1" t="s">
        <v>1149</v>
      </c>
      <c r="B953" s="1" t="n">
        <v>604</v>
      </c>
      <c r="C953" s="1" t="s">
        <v>1142</v>
      </c>
      <c r="D953" s="1" t="s">
        <v>42</v>
      </c>
      <c r="E953" s="1" t="s">
        <v>1143</v>
      </c>
      <c r="G953" s="1" t="n">
        <v>1</v>
      </c>
      <c r="H953" s="1" t="n">
        <v>6</v>
      </c>
      <c r="I953" s="8" t="n">
        <v>1197560</v>
      </c>
      <c r="J953" s="1" t="n">
        <v>1</v>
      </c>
      <c r="K953" s="1" t="s">
        <v>44</v>
      </c>
      <c r="L953" s="1" t="n">
        <v>2</v>
      </c>
      <c r="O953" s="1" t="n">
        <v>2</v>
      </c>
      <c r="P953" s="1" t="n">
        <f aca="false">SUM(M953:O953)</f>
        <v>2</v>
      </c>
      <c r="W953" s="1" t="n">
        <f aca="false">SUM(Q953:V953)</f>
        <v>0</v>
      </c>
      <c r="AF953" s="9" t="n">
        <f aca="false">SUM(Z953:AE953)</f>
        <v>0</v>
      </c>
      <c r="AH953" s="11"/>
      <c r="AI953" s="11"/>
      <c r="AJ953" s="11"/>
      <c r="AK953" s="11"/>
      <c r="AL953" s="11"/>
      <c r="AM953" s="11"/>
      <c r="AN953" s="11" t="n">
        <f aca="false">SUM(AH953:AM953)</f>
        <v>0</v>
      </c>
    </row>
    <row r="954" customFormat="false" ht="13.8" hidden="false" customHeight="false" outlineLevel="0" collapsed="false">
      <c r="A954" s="1" t="s">
        <v>1150</v>
      </c>
      <c r="B954" s="1" t="n">
        <v>293</v>
      </c>
      <c r="C954" s="1" t="s">
        <v>1151</v>
      </c>
      <c r="D954" s="1" t="s">
        <v>42</v>
      </c>
      <c r="E954" s="1" t="s">
        <v>1150</v>
      </c>
      <c r="F954" s="1" t="n">
        <v>3</v>
      </c>
      <c r="G954" s="1" t="n">
        <v>1</v>
      </c>
      <c r="H954" s="1" t="n">
        <v>5</v>
      </c>
      <c r="I954" s="8" t="n">
        <v>2492539</v>
      </c>
      <c r="J954" s="1" t="n">
        <v>2</v>
      </c>
      <c r="K954" s="1" t="s">
        <v>44</v>
      </c>
      <c r="L954" s="1" t="n">
        <v>2</v>
      </c>
      <c r="M954" s="1" t="n">
        <v>1</v>
      </c>
      <c r="O954" s="1" t="n">
        <v>1</v>
      </c>
      <c r="P954" s="1" t="n">
        <f aca="false">SUM(M954:O954)</f>
        <v>2</v>
      </c>
      <c r="Q954" s="1" t="n">
        <v>1</v>
      </c>
      <c r="W954" s="1" t="n">
        <f aca="false">SUM(Q954:V954)</f>
        <v>1</v>
      </c>
      <c r="Y954" s="1" t="n">
        <v>1</v>
      </c>
      <c r="Z954" s="9" t="n">
        <f aca="false">(Q954)*(1+(J954)*0.2)</f>
        <v>1.4</v>
      </c>
      <c r="AF954" s="9" t="n">
        <f aca="false">SUM(Z954:AE954)</f>
        <v>1.4</v>
      </c>
      <c r="AG954" s="10" t="s">
        <v>47</v>
      </c>
      <c r="AH954" s="11" t="n">
        <f aca="false">IF(AG954="yes",Z954*1.2,Z954)</f>
        <v>1.68</v>
      </c>
      <c r="AI954" s="11"/>
      <c r="AJ954" s="11"/>
      <c r="AK954" s="11"/>
      <c r="AL954" s="11"/>
      <c r="AM954" s="11"/>
      <c r="AN954" s="11" t="n">
        <f aca="false">SUM(AH954:AM954)</f>
        <v>1.68</v>
      </c>
    </row>
    <row r="955" customFormat="false" ht="13.8" hidden="false" customHeight="false" outlineLevel="0" collapsed="false">
      <c r="A955" s="1" t="s">
        <v>1152</v>
      </c>
      <c r="B955" s="1" t="n">
        <v>104</v>
      </c>
      <c r="C955" s="1" t="s">
        <v>1153</v>
      </c>
      <c r="D955" s="1" t="s">
        <v>42</v>
      </c>
      <c r="E955" s="1" t="s">
        <v>1154</v>
      </c>
      <c r="F955" s="1" t="n">
        <v>8</v>
      </c>
      <c r="G955" s="1" t="n">
        <v>1</v>
      </c>
      <c r="H955" s="1" t="n">
        <v>17</v>
      </c>
      <c r="I955" s="8" t="n">
        <v>1912532</v>
      </c>
      <c r="J955" s="1" t="n">
        <v>3</v>
      </c>
      <c r="K955" s="1" t="s">
        <v>46</v>
      </c>
      <c r="L955" s="1" t="n">
        <v>4</v>
      </c>
      <c r="O955" s="1" t="n">
        <v>2</v>
      </c>
      <c r="P955" s="1" t="n">
        <f aca="false">SUM(M955:O955)</f>
        <v>2</v>
      </c>
      <c r="R955" s="1" t="n">
        <v>7</v>
      </c>
      <c r="W955" s="1" t="n">
        <f aca="false">SUM(Q955:V955)</f>
        <v>7</v>
      </c>
      <c r="X955" s="1" t="n">
        <v>2</v>
      </c>
      <c r="AA955" s="9" t="n">
        <f aca="false">(R955)*(1+(J955)*0.2)</f>
        <v>11.2</v>
      </c>
      <c r="AF955" s="9" t="n">
        <f aca="false">SUM(Z955:AE955)</f>
        <v>11.2</v>
      </c>
      <c r="AG955" s="10" t="s">
        <v>53</v>
      </c>
      <c r="AH955" s="11"/>
      <c r="AI955" s="11" t="n">
        <f aca="false">IF(AG955="yes",AA955*1.2,AA955)</f>
        <v>11.2</v>
      </c>
      <c r="AJ955" s="11"/>
      <c r="AK955" s="11"/>
      <c r="AL955" s="11"/>
      <c r="AM955" s="11"/>
      <c r="AN955" s="11" t="n">
        <f aca="false">SUM(AH955:AM955)</f>
        <v>11.2</v>
      </c>
    </row>
    <row r="956" customFormat="false" ht="13.8" hidden="false" customHeight="false" outlineLevel="0" collapsed="false">
      <c r="A956" s="1" t="s">
        <v>1155</v>
      </c>
      <c r="B956" s="1" t="n">
        <v>109</v>
      </c>
      <c r="C956" s="1" t="s">
        <v>1153</v>
      </c>
      <c r="D956" s="1" t="s">
        <v>42</v>
      </c>
      <c r="E956" s="1" t="s">
        <v>1154</v>
      </c>
      <c r="F956" s="1" t="n">
        <v>3</v>
      </c>
      <c r="G956" s="1" t="n">
        <v>1</v>
      </c>
      <c r="H956" s="1" t="n">
        <v>11</v>
      </c>
      <c r="I956" s="8" t="n">
        <v>2227115</v>
      </c>
      <c r="J956" s="1" t="n">
        <v>3</v>
      </c>
      <c r="K956" s="1" t="s">
        <v>120</v>
      </c>
      <c r="L956" s="1" t="n">
        <v>5</v>
      </c>
      <c r="O956" s="1" t="n">
        <v>3</v>
      </c>
      <c r="P956" s="1" t="n">
        <f aca="false">SUM(M956:O956)</f>
        <v>3</v>
      </c>
      <c r="W956" s="1" t="n">
        <f aca="false">SUM(Q956:V956)</f>
        <v>0</v>
      </c>
      <c r="AF956" s="9" t="n">
        <f aca="false">SUM(Z956:AE956)</f>
        <v>0</v>
      </c>
      <c r="AH956" s="11"/>
      <c r="AI956" s="11"/>
      <c r="AJ956" s="11"/>
      <c r="AK956" s="11"/>
      <c r="AL956" s="11"/>
      <c r="AM956" s="11"/>
      <c r="AN956" s="11" t="n">
        <f aca="false">SUM(AH956:AM956)</f>
        <v>0</v>
      </c>
    </row>
    <row r="957" customFormat="false" ht="13.8" hidden="false" customHeight="false" outlineLevel="0" collapsed="false">
      <c r="A957" s="1" t="s">
        <v>1156</v>
      </c>
      <c r="B957" s="1" t="n">
        <v>103</v>
      </c>
      <c r="C957" s="1" t="s">
        <v>1153</v>
      </c>
      <c r="D957" s="1" t="s">
        <v>42</v>
      </c>
      <c r="E957" s="1" t="s">
        <v>1154</v>
      </c>
      <c r="F957" s="1" t="n">
        <v>6</v>
      </c>
      <c r="G957" s="1" t="n">
        <v>1</v>
      </c>
      <c r="H957" s="1" t="n">
        <v>11</v>
      </c>
      <c r="I957" s="8" t="n">
        <v>1433448</v>
      </c>
      <c r="J957" s="1" t="n">
        <v>3</v>
      </c>
      <c r="K957" s="1" t="s">
        <v>120</v>
      </c>
      <c r="L957" s="1" t="n">
        <v>5</v>
      </c>
      <c r="N957" s="1" t="n">
        <v>1</v>
      </c>
      <c r="O957" s="1" t="n">
        <v>3</v>
      </c>
      <c r="P957" s="1" t="n">
        <f aca="false">SUM(M957:O957)</f>
        <v>4</v>
      </c>
      <c r="W957" s="1" t="n">
        <f aca="false">SUM(Q957:V957)</f>
        <v>0</v>
      </c>
      <c r="Y957" s="1" t="n">
        <v>4</v>
      </c>
      <c r="AF957" s="9" t="n">
        <f aca="false">SUM(Z957:AE957)</f>
        <v>0</v>
      </c>
      <c r="AH957" s="11"/>
      <c r="AI957" s="11"/>
      <c r="AJ957" s="11"/>
      <c r="AK957" s="11"/>
      <c r="AL957" s="11"/>
      <c r="AM957" s="11"/>
      <c r="AN957" s="11" t="n">
        <f aca="false">SUM(AH957:AM957)</f>
        <v>0</v>
      </c>
    </row>
    <row r="958" customFormat="false" ht="13.8" hidden="false" customHeight="false" outlineLevel="0" collapsed="false">
      <c r="A958" s="1" t="s">
        <v>1157</v>
      </c>
      <c r="B958" s="1" t="n">
        <v>804</v>
      </c>
      <c r="C958" s="1" t="s">
        <v>1153</v>
      </c>
      <c r="D958" s="1" t="s">
        <v>42</v>
      </c>
      <c r="E958" s="1" t="s">
        <v>1154</v>
      </c>
      <c r="F958" s="1" t="n">
        <v>3</v>
      </c>
      <c r="G958" s="1" t="n">
        <v>1</v>
      </c>
      <c r="H958" s="1" t="n">
        <v>4</v>
      </c>
      <c r="I958" s="8" t="n">
        <v>547868</v>
      </c>
      <c r="J958" s="1" t="n">
        <v>2</v>
      </c>
      <c r="K958" s="1" t="s">
        <v>46</v>
      </c>
      <c r="L958" s="1" t="n">
        <v>4</v>
      </c>
      <c r="P958" s="1" t="n">
        <f aca="false">SUM(M958:O958)</f>
        <v>0</v>
      </c>
      <c r="R958" s="1" t="n">
        <v>7</v>
      </c>
      <c r="W958" s="1" t="n">
        <f aca="false">SUM(Q958:V958)</f>
        <v>7</v>
      </c>
      <c r="AA958" s="9" t="n">
        <f aca="false">(R958)*(1+(J958)*0.2)</f>
        <v>9.8</v>
      </c>
      <c r="AF958" s="9" t="n">
        <f aca="false">SUM(Z958:AE958)</f>
        <v>9.8</v>
      </c>
      <c r="AG958" s="10" t="s">
        <v>53</v>
      </c>
      <c r="AH958" s="11"/>
      <c r="AI958" s="11" t="n">
        <f aca="false">IF(AG958="yes",AA958*1.2,AA958)</f>
        <v>9.8</v>
      </c>
      <c r="AJ958" s="11"/>
      <c r="AK958" s="11"/>
      <c r="AL958" s="11"/>
      <c r="AM958" s="11"/>
      <c r="AN958" s="11" t="n">
        <f aca="false">SUM(AH958:AM958)</f>
        <v>9.8</v>
      </c>
    </row>
    <row r="959" customFormat="false" ht="13.8" hidden="false" customHeight="false" outlineLevel="0" collapsed="false">
      <c r="A959" s="1" t="s">
        <v>1158</v>
      </c>
      <c r="B959" s="1" t="n">
        <v>802</v>
      </c>
      <c r="C959" s="1" t="s">
        <v>1153</v>
      </c>
      <c r="D959" s="1" t="s">
        <v>42</v>
      </c>
      <c r="E959" s="1" t="s">
        <v>1154</v>
      </c>
      <c r="F959" s="1" t="n">
        <v>3</v>
      </c>
      <c r="G959" s="1" t="n">
        <v>1</v>
      </c>
      <c r="H959" s="1" t="n">
        <v>4</v>
      </c>
      <c r="I959" s="8" t="n">
        <v>616752</v>
      </c>
      <c r="J959" s="1" t="n">
        <v>1</v>
      </c>
      <c r="K959" s="1" t="s">
        <v>51</v>
      </c>
      <c r="L959" s="1" t="n">
        <v>1</v>
      </c>
      <c r="P959" s="1" t="n">
        <f aca="false">SUM(M959:O959)</f>
        <v>0</v>
      </c>
      <c r="W959" s="1" t="n">
        <f aca="false">SUM(Q959:V959)</f>
        <v>0</v>
      </c>
      <c r="AF959" s="9" t="n">
        <f aca="false">SUM(Z959:AE959)</f>
        <v>0</v>
      </c>
      <c r="AH959" s="11"/>
      <c r="AI959" s="11"/>
      <c r="AJ959" s="11"/>
      <c r="AK959" s="11"/>
      <c r="AL959" s="11"/>
      <c r="AM959" s="11"/>
      <c r="AN959" s="11" t="n">
        <f aca="false">SUM(AH959:AM959)</f>
        <v>0</v>
      </c>
    </row>
    <row r="960" customFormat="false" ht="13.8" hidden="false" customHeight="false" outlineLevel="0" collapsed="false">
      <c r="A960" s="1" t="s">
        <v>1159</v>
      </c>
      <c r="B960" s="1" t="n">
        <v>853</v>
      </c>
      <c r="C960" s="1" t="s">
        <v>1153</v>
      </c>
      <c r="D960" s="1" t="s">
        <v>42</v>
      </c>
      <c r="E960" s="1" t="s">
        <v>1154</v>
      </c>
      <c r="F960" s="1" t="n">
        <v>3</v>
      </c>
      <c r="G960" s="1" t="n">
        <v>1</v>
      </c>
      <c r="H960" s="1" t="n">
        <v>2</v>
      </c>
      <c r="I960" s="8" t="n">
        <v>333657</v>
      </c>
      <c r="J960" s="1" t="n">
        <v>3</v>
      </c>
      <c r="K960" s="1" t="s">
        <v>120</v>
      </c>
      <c r="L960" s="1" t="n">
        <v>5</v>
      </c>
      <c r="P960" s="1" t="n">
        <f aca="false">SUM(M960:O960)</f>
        <v>0</v>
      </c>
      <c r="W960" s="1" t="n">
        <f aca="false">SUM(Q960:V960)</f>
        <v>0</v>
      </c>
      <c r="AF960" s="9" t="n">
        <f aca="false">SUM(Z960:AE960)</f>
        <v>0</v>
      </c>
      <c r="AH960" s="11"/>
      <c r="AI960" s="11"/>
      <c r="AJ960" s="11"/>
      <c r="AK960" s="11"/>
      <c r="AL960" s="11"/>
      <c r="AM960" s="11"/>
      <c r="AN960" s="11" t="n">
        <f aca="false">SUM(AH960:AM960)</f>
        <v>0</v>
      </c>
    </row>
    <row r="961" customFormat="false" ht="13.8" hidden="false" customHeight="false" outlineLevel="0" collapsed="false">
      <c r="A961" s="1" t="s">
        <v>1160</v>
      </c>
      <c r="B961" s="1" t="n">
        <v>106</v>
      </c>
      <c r="C961" s="1" t="s">
        <v>1153</v>
      </c>
      <c r="D961" s="1" t="s">
        <v>42</v>
      </c>
      <c r="E961" s="1" t="s">
        <v>1154</v>
      </c>
      <c r="F961" s="1" t="n">
        <v>5</v>
      </c>
      <c r="G961" s="1" t="n">
        <v>1</v>
      </c>
      <c r="H961" s="1" t="n">
        <v>9</v>
      </c>
      <c r="I961" s="8" t="n">
        <v>1375877</v>
      </c>
      <c r="J961" s="1" t="n">
        <v>2</v>
      </c>
      <c r="K961" s="1" t="s">
        <v>44</v>
      </c>
      <c r="L961" s="1" t="n">
        <v>2</v>
      </c>
      <c r="O961" s="1" t="n">
        <v>1</v>
      </c>
      <c r="P961" s="1" t="n">
        <f aca="false">SUM(M961:O961)</f>
        <v>1</v>
      </c>
      <c r="R961" s="1" t="n">
        <v>16</v>
      </c>
      <c r="V961" s="1" t="n">
        <v>70</v>
      </c>
      <c r="W961" s="1" t="n">
        <f aca="false">SUM(Q961:V961)</f>
        <v>86</v>
      </c>
      <c r="X961" s="1" t="n">
        <v>2</v>
      </c>
      <c r="AA961" s="9" t="n">
        <f aca="false">(R961)*(1+(J961)*0.2)</f>
        <v>22.4</v>
      </c>
      <c r="AE961" s="9" t="n">
        <f aca="false">(V961)*(1+(J961)*0.2)</f>
        <v>98</v>
      </c>
      <c r="AF961" s="9" t="n">
        <f aca="false">SUM(Z961:AE961)</f>
        <v>120.4</v>
      </c>
      <c r="AG961" s="10" t="s">
        <v>47</v>
      </c>
      <c r="AH961" s="11"/>
      <c r="AI961" s="11" t="n">
        <f aca="false">IF(AG961="yes",AA961*1.2,AA961)</f>
        <v>26.88</v>
      </c>
      <c r="AJ961" s="11"/>
      <c r="AK961" s="11"/>
      <c r="AL961" s="11"/>
      <c r="AM961" s="11" t="n">
        <f aca="false">IF(AG961="yes",AE961*1.2,AE961)</f>
        <v>117.6</v>
      </c>
      <c r="AN961" s="11" t="n">
        <f aca="false">SUM(AH961:AM961)</f>
        <v>144.48</v>
      </c>
    </row>
    <row r="962" customFormat="false" ht="13.8" hidden="false" customHeight="false" outlineLevel="0" collapsed="false">
      <c r="A962" s="1" t="s">
        <v>1161</v>
      </c>
      <c r="B962" s="1" t="n">
        <v>105</v>
      </c>
      <c r="C962" s="1" t="s">
        <v>1153</v>
      </c>
      <c r="D962" s="1" t="s">
        <v>42</v>
      </c>
      <c r="E962" s="1" t="s">
        <v>1154</v>
      </c>
      <c r="F962" s="1" t="n">
        <v>4</v>
      </c>
      <c r="G962" s="1" t="n">
        <v>1</v>
      </c>
      <c r="H962" s="1" t="n">
        <v>5</v>
      </c>
      <c r="I962" s="8" t="n">
        <v>896593</v>
      </c>
      <c r="J962" s="1" t="n">
        <v>2</v>
      </c>
      <c r="K962" s="1" t="s">
        <v>44</v>
      </c>
      <c r="L962" s="1" t="n">
        <v>2</v>
      </c>
      <c r="O962" s="1" t="n">
        <v>1</v>
      </c>
      <c r="P962" s="1" t="n">
        <f aca="false">SUM(M962:O962)</f>
        <v>1</v>
      </c>
      <c r="R962" s="1" t="n">
        <v>70</v>
      </c>
      <c r="V962" s="1" t="n">
        <v>20</v>
      </c>
      <c r="W962" s="1" t="n">
        <f aca="false">SUM(Q962:V962)</f>
        <v>90</v>
      </c>
      <c r="Y962" s="1" t="n">
        <v>2</v>
      </c>
      <c r="AA962" s="9" t="n">
        <f aca="false">(R962)*(1+(J962)*0.2)</f>
        <v>98</v>
      </c>
      <c r="AE962" s="9" t="n">
        <f aca="false">(V962)*(1+(J962)*0.2)</f>
        <v>28</v>
      </c>
      <c r="AF962" s="9" t="n">
        <f aca="false">SUM(Z962:AE962)</f>
        <v>126</v>
      </c>
      <c r="AG962" s="10" t="s">
        <v>47</v>
      </c>
      <c r="AH962" s="11"/>
      <c r="AI962" s="11" t="n">
        <f aca="false">IF(AG962="yes",AA962*1.2,AA962)</f>
        <v>117.6</v>
      </c>
      <c r="AJ962" s="11"/>
      <c r="AK962" s="11"/>
      <c r="AL962" s="11"/>
      <c r="AM962" s="11" t="n">
        <f aca="false">IF(AG962="yes",AE962*1.2,AE962)</f>
        <v>33.6</v>
      </c>
      <c r="AN962" s="11" t="n">
        <f aca="false">SUM(AH962:AM962)</f>
        <v>151.2</v>
      </c>
    </row>
    <row r="963" customFormat="false" ht="13.8" hidden="false" customHeight="false" outlineLevel="0" collapsed="false">
      <c r="A963" s="1" t="s">
        <v>1162</v>
      </c>
      <c r="B963" s="1" t="n">
        <v>108</v>
      </c>
      <c r="C963" s="1" t="s">
        <v>1153</v>
      </c>
      <c r="D963" s="1" t="s">
        <v>42</v>
      </c>
      <c r="E963" s="1" t="s">
        <v>1154</v>
      </c>
      <c r="F963" s="1" t="n">
        <v>3</v>
      </c>
      <c r="G963" s="1" t="n">
        <v>1</v>
      </c>
      <c r="H963" s="1" t="n">
        <v>10</v>
      </c>
      <c r="I963" s="8" t="n">
        <v>707863</v>
      </c>
      <c r="J963" s="1" t="n">
        <v>2</v>
      </c>
      <c r="K963" s="1" t="s">
        <v>46</v>
      </c>
      <c r="L963" s="1" t="n">
        <v>4</v>
      </c>
      <c r="P963" s="1" t="n">
        <f aca="false">SUM(M963:O963)</f>
        <v>0</v>
      </c>
      <c r="U963" s="1" t="n">
        <v>3</v>
      </c>
      <c r="W963" s="1" t="n">
        <f aca="false">SUM(Q963:V963)</f>
        <v>3</v>
      </c>
      <c r="AD963" s="9" t="n">
        <f aca="false">(U963)*(1+(J963)*0.2)</f>
        <v>4.2</v>
      </c>
      <c r="AF963" s="9" t="n">
        <f aca="false">SUM(Z963:AE963)</f>
        <v>4.2</v>
      </c>
      <c r="AG963" s="10" t="s">
        <v>47</v>
      </c>
      <c r="AH963" s="11"/>
      <c r="AI963" s="11"/>
      <c r="AJ963" s="11"/>
      <c r="AK963" s="11"/>
      <c r="AL963" s="11" t="n">
        <f aca="false">IF(AG963="yes",AD963*1.2,AD963)</f>
        <v>5.04</v>
      </c>
      <c r="AM963" s="11"/>
      <c r="AN963" s="11" t="n">
        <f aca="false">SUM(AH963:AM963)</f>
        <v>5.04</v>
      </c>
    </row>
    <row r="964" customFormat="false" ht="13.8" hidden="false" customHeight="false" outlineLevel="0" collapsed="false">
      <c r="A964" s="1" t="s">
        <v>1163</v>
      </c>
      <c r="B964" s="1" t="n">
        <v>102</v>
      </c>
      <c r="C964" s="1" t="s">
        <v>1153</v>
      </c>
      <c r="D964" s="1" t="s">
        <v>42</v>
      </c>
      <c r="E964" s="1" t="s">
        <v>1154</v>
      </c>
      <c r="F964" s="1" t="n">
        <v>1</v>
      </c>
      <c r="G964" s="1" t="n">
        <v>1</v>
      </c>
      <c r="H964" s="1" t="n">
        <v>6</v>
      </c>
      <c r="I964" s="8" t="n">
        <v>812040</v>
      </c>
      <c r="J964" s="1" t="n">
        <v>3</v>
      </c>
      <c r="K964" s="1" t="s">
        <v>120</v>
      </c>
      <c r="L964" s="1" t="n">
        <v>5</v>
      </c>
      <c r="P964" s="1" t="n">
        <f aca="false">SUM(M964:O964)</f>
        <v>0</v>
      </c>
      <c r="W964" s="1" t="n">
        <f aca="false">SUM(Q964:V964)</f>
        <v>0</v>
      </c>
      <c r="AF964" s="9" t="n">
        <f aca="false">SUM(Z964:AE964)</f>
        <v>0</v>
      </c>
      <c r="AH964" s="11"/>
      <c r="AI964" s="11"/>
      <c r="AJ964" s="11"/>
      <c r="AK964" s="11"/>
      <c r="AL964" s="11"/>
      <c r="AM964" s="11"/>
      <c r="AN964" s="11" t="n">
        <f aca="false">SUM(AH964:AM964)</f>
        <v>0</v>
      </c>
    </row>
    <row r="965" customFormat="false" ht="13.8" hidden="false" customHeight="false" outlineLevel="0" collapsed="false">
      <c r="A965" s="1" t="s">
        <v>1164</v>
      </c>
      <c r="B965" s="1" t="n">
        <v>107</v>
      </c>
      <c r="C965" s="1" t="s">
        <v>1153</v>
      </c>
      <c r="D965" s="1" t="s">
        <v>42</v>
      </c>
      <c r="E965" s="1" t="s">
        <v>1154</v>
      </c>
      <c r="F965" s="1" t="n">
        <v>15</v>
      </c>
      <c r="G965" s="1" t="n">
        <v>1</v>
      </c>
      <c r="H965" s="1" t="n">
        <v>8</v>
      </c>
      <c r="I965" s="8" t="n">
        <v>1280682</v>
      </c>
      <c r="J965" s="1" t="n">
        <v>3</v>
      </c>
      <c r="K965" s="1" t="s">
        <v>57</v>
      </c>
      <c r="L965" s="1" t="n">
        <v>8</v>
      </c>
      <c r="M965" s="1" t="n">
        <v>3</v>
      </c>
      <c r="O965" s="1" t="n">
        <v>4</v>
      </c>
      <c r="P965" s="1" t="n">
        <f aca="false">SUM(M965:O965)</f>
        <v>7</v>
      </c>
      <c r="W965" s="1" t="n">
        <f aca="false">SUM(Q965:V965)</f>
        <v>0</v>
      </c>
      <c r="X965" s="1" t="n">
        <v>5</v>
      </c>
      <c r="AF965" s="9" t="n">
        <f aca="false">SUM(Z965:AE965)</f>
        <v>0</v>
      </c>
      <c r="AH965" s="11"/>
      <c r="AI965" s="11"/>
      <c r="AJ965" s="11"/>
      <c r="AK965" s="11"/>
      <c r="AL965" s="11"/>
      <c r="AM965" s="11"/>
      <c r="AN965" s="11" t="n">
        <f aca="false">SUM(AH965:AM965)</f>
        <v>0</v>
      </c>
    </row>
    <row r="966" customFormat="false" ht="13.8" hidden="false" customHeight="false" outlineLevel="0" collapsed="false">
      <c r="A966" s="1" t="s">
        <v>1165</v>
      </c>
      <c r="B966" s="1" t="n">
        <v>803</v>
      </c>
      <c r="C966" s="1" t="s">
        <v>1153</v>
      </c>
      <c r="D966" s="1" t="s">
        <v>42</v>
      </c>
      <c r="E966" s="1" t="s">
        <v>1154</v>
      </c>
      <c r="F966" s="1" t="n">
        <v>1</v>
      </c>
      <c r="G966" s="1" t="n">
        <v>1</v>
      </c>
      <c r="H966" s="1" t="n">
        <v>3</v>
      </c>
      <c r="I966" s="8" t="n">
        <v>210256</v>
      </c>
      <c r="J966" s="1" t="n">
        <v>2</v>
      </c>
      <c r="K966" s="1" t="s">
        <v>51</v>
      </c>
      <c r="L966" s="1" t="n">
        <v>1</v>
      </c>
      <c r="P966" s="1" t="n">
        <f aca="false">SUM(M966:O966)</f>
        <v>0</v>
      </c>
      <c r="W966" s="1" t="n">
        <f aca="false">SUM(Q966:V966)</f>
        <v>0</v>
      </c>
      <c r="AF966" s="9" t="n">
        <f aca="false">SUM(Z966:AE966)</f>
        <v>0</v>
      </c>
      <c r="AH966" s="11"/>
      <c r="AI966" s="11"/>
      <c r="AJ966" s="11"/>
      <c r="AK966" s="11"/>
      <c r="AL966" s="11"/>
      <c r="AM966" s="11"/>
      <c r="AN966" s="11" t="n">
        <f aca="false">SUM(AH966:AM966)</f>
        <v>0</v>
      </c>
    </row>
    <row r="967" customFormat="false" ht="13.8" hidden="false" customHeight="false" outlineLevel="0" collapsed="false">
      <c r="A967" s="1" t="s">
        <v>1166</v>
      </c>
      <c r="B967" s="1" t="n">
        <v>45</v>
      </c>
      <c r="C967" s="1" t="s">
        <v>1153</v>
      </c>
      <c r="D967" s="1" t="s">
        <v>42</v>
      </c>
      <c r="E967" s="1" t="s">
        <v>1154</v>
      </c>
      <c r="F967" s="1" t="n">
        <v>3</v>
      </c>
      <c r="G967" s="1" t="n">
        <v>1</v>
      </c>
      <c r="H967" s="1" t="n">
        <v>5</v>
      </c>
      <c r="I967" s="8" t="n">
        <v>839645</v>
      </c>
      <c r="J967" s="1" t="n">
        <v>3</v>
      </c>
      <c r="K967" s="1" t="s">
        <v>46</v>
      </c>
      <c r="L967" s="1" t="n">
        <v>4</v>
      </c>
      <c r="P967" s="1" t="n">
        <f aca="false">SUM(M967:O967)</f>
        <v>0</v>
      </c>
      <c r="W967" s="1" t="n">
        <f aca="false">SUM(Q967:V967)</f>
        <v>0</v>
      </c>
      <c r="AF967" s="9" t="n">
        <f aca="false">SUM(Z967:AE967)</f>
        <v>0</v>
      </c>
      <c r="AH967" s="11"/>
      <c r="AI967" s="11"/>
      <c r="AJ967" s="11"/>
      <c r="AK967" s="11"/>
      <c r="AL967" s="11"/>
      <c r="AM967" s="11"/>
      <c r="AN967" s="11" t="n">
        <f aca="false">SUM(AH967:AM967)</f>
        <v>0</v>
      </c>
    </row>
    <row r="968" customFormat="false" ht="13.8" hidden="false" customHeight="false" outlineLevel="0" collapsed="false">
      <c r="A968" s="1" t="s">
        <v>1167</v>
      </c>
      <c r="B968" s="1" t="n">
        <v>764</v>
      </c>
      <c r="C968" s="1" t="s">
        <v>1153</v>
      </c>
      <c r="D968" s="1" t="s">
        <v>42</v>
      </c>
      <c r="E968" s="1" t="s">
        <v>1154</v>
      </c>
      <c r="F968" s="1" t="n">
        <v>1</v>
      </c>
      <c r="G968" s="1" t="n">
        <v>1</v>
      </c>
      <c r="H968" s="1" t="n">
        <v>4</v>
      </c>
      <c r="I968" s="8" t="n">
        <v>586294</v>
      </c>
      <c r="J968" s="1" t="n">
        <v>3</v>
      </c>
      <c r="K968" s="1" t="s">
        <v>44</v>
      </c>
      <c r="L968" s="1" t="n">
        <v>2</v>
      </c>
      <c r="P968" s="1" t="n">
        <f aca="false">SUM(M968:O968)</f>
        <v>0</v>
      </c>
      <c r="W968" s="1" t="n">
        <f aca="false">SUM(Q968:V968)</f>
        <v>0</v>
      </c>
      <c r="AF968" s="9" t="n">
        <f aca="false">SUM(Z968:AE968)</f>
        <v>0</v>
      </c>
      <c r="AH968" s="11"/>
      <c r="AI968" s="11"/>
      <c r="AJ968" s="11"/>
      <c r="AK968" s="11"/>
      <c r="AL968" s="11"/>
      <c r="AM968" s="11"/>
      <c r="AN968" s="11" t="n">
        <f aca="false">SUM(AH968:AM968)</f>
        <v>0</v>
      </c>
    </row>
    <row r="969" customFormat="false" ht="13.8" hidden="false" customHeight="false" outlineLevel="0" collapsed="false">
      <c r="A969" s="1" t="s">
        <v>1168</v>
      </c>
      <c r="B969" s="1" t="n">
        <v>747</v>
      </c>
      <c r="C969" s="1" t="s">
        <v>1169</v>
      </c>
      <c r="D969" s="1" t="s">
        <v>42</v>
      </c>
      <c r="E969" s="1" t="s">
        <v>1170</v>
      </c>
      <c r="F969" s="1" t="n">
        <v>3</v>
      </c>
      <c r="G969" s="1" t="n">
        <v>1</v>
      </c>
      <c r="H969" s="1" t="n">
        <v>10</v>
      </c>
      <c r="I969" s="8" t="n">
        <v>1001221</v>
      </c>
      <c r="J969" s="1" t="n">
        <v>2</v>
      </c>
      <c r="K969" s="1" t="s">
        <v>51</v>
      </c>
      <c r="L969" s="1" t="n">
        <v>1</v>
      </c>
      <c r="P969" s="1" t="n">
        <f aca="false">SUM(M969:O969)</f>
        <v>0</v>
      </c>
      <c r="W969" s="1" t="n">
        <f aca="false">SUM(Q969:V969)</f>
        <v>0</v>
      </c>
      <c r="AF969" s="9" t="n">
        <f aca="false">SUM(Z969:AE969)</f>
        <v>0</v>
      </c>
      <c r="AH969" s="11"/>
      <c r="AI969" s="11"/>
      <c r="AJ969" s="11"/>
      <c r="AK969" s="11"/>
      <c r="AL969" s="11"/>
      <c r="AM969" s="11"/>
      <c r="AN969" s="11" t="n">
        <f aca="false">SUM(AH969:AM969)</f>
        <v>0</v>
      </c>
    </row>
    <row r="970" customFormat="false" ht="13.8" hidden="false" customHeight="false" outlineLevel="0" collapsed="false">
      <c r="A970" s="1" t="s">
        <v>1170</v>
      </c>
      <c r="B970" s="1" t="n">
        <v>325</v>
      </c>
      <c r="C970" s="1" t="s">
        <v>1169</v>
      </c>
      <c r="D970" s="1" t="s">
        <v>42</v>
      </c>
      <c r="E970" s="1" t="s">
        <v>1170</v>
      </c>
      <c r="F970" s="1" t="n">
        <v>10</v>
      </c>
      <c r="G970" s="1" t="n">
        <v>1</v>
      </c>
      <c r="H970" s="1" t="n">
        <v>15</v>
      </c>
      <c r="I970" s="8" t="n">
        <v>11007921</v>
      </c>
      <c r="J970" s="1" t="n">
        <v>2</v>
      </c>
      <c r="K970" s="1" t="s">
        <v>46</v>
      </c>
      <c r="L970" s="1" t="n">
        <v>4</v>
      </c>
      <c r="M970" s="1" t="n">
        <v>1</v>
      </c>
      <c r="O970" s="1" t="n">
        <v>3</v>
      </c>
      <c r="P970" s="1" t="n">
        <f aca="false">SUM(M970:O970)</f>
        <v>4</v>
      </c>
      <c r="T970" s="1" t="n">
        <v>2</v>
      </c>
      <c r="W970" s="1" t="n">
        <f aca="false">SUM(Q970:V970)</f>
        <v>2</v>
      </c>
      <c r="AC970" s="9" t="n">
        <f aca="false">(T970)*(1+(J970)*0.2)</f>
        <v>2.8</v>
      </c>
      <c r="AF970" s="9" t="n">
        <f aca="false">SUM(Z970:AE970)</f>
        <v>2.8</v>
      </c>
      <c r="AG970" s="10" t="s">
        <v>47</v>
      </c>
      <c r="AH970" s="11"/>
      <c r="AI970" s="11"/>
      <c r="AJ970" s="11"/>
      <c r="AK970" s="11" t="n">
        <f aca="false">IF(AG970="yes",AC970*1.2,AC970)</f>
        <v>3.36</v>
      </c>
      <c r="AL970" s="11"/>
      <c r="AM970" s="11"/>
      <c r="AN970" s="11" t="n">
        <f aca="false">SUM(AH970:AM970)</f>
        <v>3.36</v>
      </c>
    </row>
    <row r="971" customFormat="false" ht="13.8" hidden="false" customHeight="false" outlineLevel="0" collapsed="false">
      <c r="AA971" s="9"/>
      <c r="AE971" s="9"/>
      <c r="AF971" s="9"/>
      <c r="AG971" s="10"/>
      <c r="AH971" s="11"/>
      <c r="AI971" s="11"/>
      <c r="AJ971" s="11"/>
      <c r="AK971" s="11"/>
      <c r="AL971" s="11"/>
      <c r="AM971" s="11"/>
      <c r="AN971" s="11"/>
    </row>
    <row r="973" customFormat="false" ht="13.8" hidden="false" customHeight="false" outlineLevel="0" collapsed="false">
      <c r="A973" s="1" t="s">
        <v>1171</v>
      </c>
      <c r="C973" s="1" t="s">
        <v>41</v>
      </c>
      <c r="E973" s="1" t="s">
        <v>43</v>
      </c>
      <c r="F973" s="1" t="n">
        <f aca="false">SUBTOTAL(9,F2:F3)</f>
        <v>8</v>
      </c>
      <c r="G973" s="1" t="n">
        <f aca="false">SUBTOTAL(9,G2:G3)</f>
        <v>2</v>
      </c>
      <c r="H973" s="1" t="n">
        <f aca="false">SUBTOTAL(9,H2:H3)</f>
        <v>33</v>
      </c>
      <c r="I973" s="8" t="n">
        <f aca="false">SUBTOTAL(9,I2:I3)</f>
        <v>6277654</v>
      </c>
      <c r="J973" s="1" t="n">
        <f aca="false">SUBTOTAL(9,J2:J3)</f>
        <v>2</v>
      </c>
      <c r="L973" s="1" t="n">
        <f aca="false">SUBTOTAL(9,L2:L3)</f>
        <v>6</v>
      </c>
      <c r="M973" s="1" t="n">
        <f aca="false">SUBTOTAL(9,M2:M3)</f>
        <v>1</v>
      </c>
      <c r="N973" s="1" t="n">
        <f aca="false">SUBTOTAL(9,N2:N3)</f>
        <v>0</v>
      </c>
      <c r="O973" s="1" t="n">
        <f aca="false">SUBTOTAL(9,O2:O3)</f>
        <v>2</v>
      </c>
      <c r="P973" s="1" t="n">
        <f aca="false">SUBTOTAL(9,P2:P3)</f>
        <v>3</v>
      </c>
      <c r="Q973" s="1" t="n">
        <f aca="false">SUBTOTAL(9,Q2:Q3)</f>
        <v>0</v>
      </c>
      <c r="R973" s="1" t="n">
        <f aca="false">SUBTOTAL(9,R2:R3)</f>
        <v>0</v>
      </c>
      <c r="S973" s="1" t="n">
        <f aca="false">SUBTOTAL(9,S2:S3)</f>
        <v>0</v>
      </c>
      <c r="T973" s="1" t="n">
        <f aca="false">SUBTOTAL(9,T2:T3)</f>
        <v>3</v>
      </c>
      <c r="U973" s="1" t="n">
        <f aca="false">SUBTOTAL(9,U2:U3)</f>
        <v>0</v>
      </c>
      <c r="V973" s="1" t="n">
        <f aca="false">SUBTOTAL(9,V2:V3)</f>
        <v>0</v>
      </c>
      <c r="W973" s="1" t="n">
        <f aca="false">SUBTOTAL(9,W2:W3)</f>
        <v>3</v>
      </c>
      <c r="X973" s="1" t="n">
        <f aca="false">SUBTOTAL(9,X2:X3)</f>
        <v>0</v>
      </c>
      <c r="Y973" s="1" t="n">
        <f aca="false">SUBTOTAL(9,Y2:Y3)</f>
        <v>0</v>
      </c>
      <c r="Z973" s="20" t="n">
        <f aca="false">SUBTOTAL(9,Z2:Z3)</f>
        <v>0</v>
      </c>
      <c r="AA973" s="20" t="n">
        <f aca="false">SUBTOTAL(9,AA2:AA3)</f>
        <v>0</v>
      </c>
      <c r="AB973" s="20" t="n">
        <f aca="false">SUBTOTAL(9,AB2:AB3)</f>
        <v>0</v>
      </c>
      <c r="AC973" s="20" t="n">
        <f aca="false">SUBTOTAL(9,AC2:AC3)</f>
        <v>3.6</v>
      </c>
      <c r="AD973" s="20" t="n">
        <f aca="false">SUBTOTAL(9,AD2:AD3)</f>
        <v>0</v>
      </c>
      <c r="AE973" s="20" t="n">
        <f aca="false">SUBTOTAL(9,AE2:AE3)</f>
        <v>0</v>
      </c>
      <c r="AF973" s="20" t="n">
        <f aca="false">SUBTOTAL(9,AF2:AF3)</f>
        <v>3.6</v>
      </c>
      <c r="AH973" s="22" t="n">
        <f aca="false">SUBTOTAL(9,AH2:AH3)</f>
        <v>0</v>
      </c>
      <c r="AI973" s="22" t="n">
        <f aca="false">SUBTOTAL(9,AI2:AI3)</f>
        <v>0</v>
      </c>
      <c r="AJ973" s="22" t="n">
        <f aca="false">SUBTOTAL(9,AJ2:AJ3)</f>
        <v>0</v>
      </c>
      <c r="AK973" s="22" t="n">
        <f aca="false">SUBTOTAL(9,AK2:AK3)</f>
        <v>4.32</v>
      </c>
      <c r="AL973" s="22" t="n">
        <f aca="false">SUBTOTAL(9,AL2:AL3)</f>
        <v>0</v>
      </c>
      <c r="AM973" s="22" t="n">
        <f aca="false">SUBTOTAL(9,AM2:AM3)</f>
        <v>0</v>
      </c>
      <c r="AN973" s="22" t="n">
        <f aca="false">SUBTOTAL(9,AN2:AN3)</f>
        <v>4.32</v>
      </c>
    </row>
    <row r="974" customFormat="false" ht="13.8" hidden="false" customHeight="false" outlineLevel="0" collapsed="false">
      <c r="A974" s="1" t="s">
        <v>1171</v>
      </c>
      <c r="C974" s="1" t="s">
        <v>49</v>
      </c>
      <c r="E974" s="1" t="s">
        <v>48</v>
      </c>
      <c r="F974" s="1" t="n">
        <f aca="false">SUBTOTAL(9,F4:F6)</f>
        <v>15</v>
      </c>
      <c r="G974" s="1" t="n">
        <f aca="false">SUBTOTAL(9,G4:G6)</f>
        <v>3</v>
      </c>
      <c r="H974" s="1" t="n">
        <f aca="false">SUBTOTAL(9,H4:H6)</f>
        <v>13</v>
      </c>
      <c r="I974" s="8" t="n">
        <f aca="false">SUBTOTAL(9,I4:I6)</f>
        <v>1004224</v>
      </c>
      <c r="J974" s="1" t="n">
        <f aca="false">SUBTOTAL(9,J4:J6)</f>
        <v>5</v>
      </c>
      <c r="L974" s="1" t="n">
        <f aca="false">SUBTOTAL(9,L4:L6)</f>
        <v>7</v>
      </c>
      <c r="M974" s="1" t="n">
        <f aca="false">SUBTOTAL(9,M4:M6)</f>
        <v>1</v>
      </c>
      <c r="N974" s="1" t="n">
        <f aca="false">SUBTOTAL(9,N4:N6)</f>
        <v>0</v>
      </c>
      <c r="O974" s="1" t="n">
        <f aca="false">SUBTOTAL(9,O4:O6)</f>
        <v>2</v>
      </c>
      <c r="P974" s="1" t="n">
        <f aca="false">SUBTOTAL(9,P4:P6)</f>
        <v>3</v>
      </c>
      <c r="Q974" s="1" t="n">
        <f aca="false">SUBTOTAL(9,Q4:Q6)</f>
        <v>4</v>
      </c>
      <c r="R974" s="1" t="n">
        <f aca="false">SUBTOTAL(9,R4:R6)</f>
        <v>2</v>
      </c>
      <c r="S974" s="1" t="n">
        <f aca="false">SUBTOTAL(9,S4:S6)</f>
        <v>0</v>
      </c>
      <c r="T974" s="1" t="n">
        <f aca="false">SUBTOTAL(9,T4:T6)</f>
        <v>0</v>
      </c>
      <c r="U974" s="1" t="n">
        <f aca="false">SUBTOTAL(9,U4:U6)</f>
        <v>0</v>
      </c>
      <c r="V974" s="1" t="n">
        <f aca="false">SUBTOTAL(9,V4:V6)</f>
        <v>2</v>
      </c>
      <c r="W974" s="1" t="n">
        <f aca="false">SUBTOTAL(9,W4:W6)</f>
        <v>8</v>
      </c>
      <c r="X974" s="1" t="n">
        <f aca="false">SUBTOTAL(9,X4:X6)</f>
        <v>3</v>
      </c>
      <c r="Y974" s="1" t="n">
        <f aca="false">SUBTOTAL(9,Y4:Y6)</f>
        <v>6</v>
      </c>
      <c r="Z974" s="20" t="n">
        <f aca="false">SUBTOTAL(9,Z4:Z6)</f>
        <v>5.6</v>
      </c>
      <c r="AA974" s="20" t="n">
        <f aca="false">SUBTOTAL(9,AA4:AA6)</f>
        <v>2.8</v>
      </c>
      <c r="AB974" s="20" t="n">
        <f aca="false">SUBTOTAL(9,AB4:AB6)</f>
        <v>0</v>
      </c>
      <c r="AC974" s="20" t="n">
        <f aca="false">SUBTOTAL(9,AC4:AC6)</f>
        <v>0</v>
      </c>
      <c r="AD974" s="20" t="n">
        <f aca="false">SUBTOTAL(9,AD4:AD6)</f>
        <v>0</v>
      </c>
      <c r="AE974" s="20" t="n">
        <f aca="false">SUBTOTAL(9,AE4:AE6)</f>
        <v>2.8</v>
      </c>
      <c r="AF974" s="20" t="n">
        <f aca="false">SUBTOTAL(9,AF4:AF6)</f>
        <v>11.2</v>
      </c>
      <c r="AH974" s="22" t="n">
        <f aca="false">SUBTOTAL(9,AH4:AH6)</f>
        <v>6.72</v>
      </c>
      <c r="AI974" s="22" t="n">
        <f aca="false">SUBTOTAL(9,AI4:AI6)</f>
        <v>3.08</v>
      </c>
      <c r="AJ974" s="22" t="n">
        <f aca="false">SUBTOTAL(9,AJ4:AJ6)</f>
        <v>0</v>
      </c>
      <c r="AK974" s="22" t="n">
        <f aca="false">SUBTOTAL(9,AK4:AK6)</f>
        <v>0</v>
      </c>
      <c r="AL974" s="22" t="n">
        <f aca="false">SUBTOTAL(9,AL4:AL6)</f>
        <v>0</v>
      </c>
      <c r="AM974" s="22" t="n">
        <f aca="false">SUBTOTAL(9,AM4:AM6)</f>
        <v>3.08</v>
      </c>
      <c r="AN974" s="22" t="n">
        <f aca="false">SUBTOTAL(9,AN4:AN6)</f>
        <v>12.88</v>
      </c>
    </row>
    <row r="975" customFormat="false" ht="13.8" hidden="false" customHeight="false" outlineLevel="0" collapsed="false">
      <c r="A975" s="1" t="s">
        <v>1171</v>
      </c>
      <c r="C975" s="1" t="s">
        <v>55</v>
      </c>
      <c r="E975" s="1" t="s">
        <v>56</v>
      </c>
      <c r="F975" s="13" t="n">
        <f aca="false">SUBTOTAL(9,F7:F20)</f>
        <v>56</v>
      </c>
      <c r="G975" s="13" t="n">
        <f aca="false">SUBTOTAL(9,G7:G20)</f>
        <v>14</v>
      </c>
      <c r="H975" s="13" t="n">
        <f aca="false">SUBTOTAL(9,H7:H20)</f>
        <v>96</v>
      </c>
      <c r="I975" s="16" t="n">
        <f aca="false">SUBTOTAL(9,I7:I20)</f>
        <v>16890955</v>
      </c>
      <c r="J975" s="13" t="n">
        <f aca="false">SUBTOTAL(9,J7:J20)</f>
        <v>19</v>
      </c>
      <c r="L975" s="13" t="n">
        <f aca="false">SUBTOTAL(9,L7:L20)</f>
        <v>34</v>
      </c>
      <c r="M975" s="1" t="n">
        <f aca="false">SUBTOTAL(9,M7:M20)</f>
        <v>3</v>
      </c>
      <c r="N975" s="1" t="n">
        <f aca="false">SUBTOTAL(9,N7:N20)</f>
        <v>1</v>
      </c>
      <c r="O975" s="13" t="n">
        <f aca="false">SUBTOTAL(9,O7:O20)</f>
        <v>11</v>
      </c>
      <c r="P975" s="13" t="n">
        <f aca="false">SUBTOTAL(9,P7:P20)</f>
        <v>15</v>
      </c>
      <c r="Q975" s="13" t="n">
        <f aca="false">SUBTOTAL(9,Q7:Q20)</f>
        <v>19</v>
      </c>
      <c r="R975" s="1" t="n">
        <f aca="false">SUBTOTAL(9,R7:R20)</f>
        <v>0</v>
      </c>
      <c r="S975" s="13" t="n">
        <f aca="false">SUBTOTAL(9,S7:S20)</f>
        <v>3</v>
      </c>
      <c r="T975" s="1" t="n">
        <f aca="false">SUBTOTAL(9,T7:T20)</f>
        <v>35</v>
      </c>
      <c r="U975" s="1" t="n">
        <f aca="false">SUBTOTAL(9,U7:U20)</f>
        <v>6</v>
      </c>
      <c r="V975" s="1" t="n">
        <f aca="false">SUBTOTAL(9,V7:V20)</f>
        <v>0</v>
      </c>
      <c r="W975" s="13" t="n">
        <f aca="false">SUBTOTAL(9,W7:W20)</f>
        <v>63</v>
      </c>
      <c r="X975" s="1" t="n">
        <f aca="false">SUBTOTAL(9,X7:X20)</f>
        <v>6</v>
      </c>
      <c r="Y975" s="13" t="n">
        <f aca="false">SUBTOTAL(9,Y7:Y20)</f>
        <v>12</v>
      </c>
      <c r="Z975" s="23" t="n">
        <f aca="false">SUBTOTAL(9,Z7:Z20)</f>
        <v>23.8</v>
      </c>
      <c r="AA975" s="20" t="n">
        <f aca="false">SUBTOTAL(9,AA7:AA20)</f>
        <v>0</v>
      </c>
      <c r="AB975" s="23" t="n">
        <f aca="false">SUBTOTAL(9,AB7:AB20)</f>
        <v>3.6</v>
      </c>
      <c r="AC975" s="23" t="n">
        <f aca="false">SUBTOTAL(9,AC7:AC20)</f>
        <v>42</v>
      </c>
      <c r="AD975" s="23" t="n">
        <f aca="false">SUBTOTAL(9,AD7:AD20)</f>
        <v>7.2</v>
      </c>
      <c r="AE975" s="20" t="n">
        <f aca="false">SUBTOTAL(9,AE7:AE20)</f>
        <v>0</v>
      </c>
      <c r="AF975" s="23" t="n">
        <f aca="false">SUBTOTAL(9,AF7:AF20)</f>
        <v>76.6</v>
      </c>
      <c r="AH975" s="24" t="n">
        <f aca="false">SUBTOTAL(9,AH7:AH20)</f>
        <v>27.84</v>
      </c>
      <c r="AI975" s="22" t="n">
        <f aca="false">SUBTOTAL(9,AI7:AI20)</f>
        <v>0</v>
      </c>
      <c r="AJ975" s="24" t="n">
        <f aca="false">SUBTOTAL(9,AJ7:AJ20)</f>
        <v>4.32</v>
      </c>
      <c r="AK975" s="24" t="n">
        <f aca="false">SUBTOTAL(9,AK7:AK20)</f>
        <v>42</v>
      </c>
      <c r="AL975" s="24" t="n">
        <f aca="false">SUBTOTAL(9,AL7:AL20)</f>
        <v>7.2</v>
      </c>
      <c r="AM975" s="22" t="n">
        <f aca="false">SUBTOTAL(9,AM7:AM20)</f>
        <v>0</v>
      </c>
      <c r="AN975" s="24" t="n">
        <f aca="false">SUBTOTAL(9,AN7:AN20)</f>
        <v>81.36</v>
      </c>
    </row>
    <row r="976" customFormat="false" ht="13.8" hidden="false" customHeight="false" outlineLevel="0" collapsed="false">
      <c r="A976" s="1" t="s">
        <v>1171</v>
      </c>
      <c r="C976" s="1" t="s">
        <v>72</v>
      </c>
      <c r="E976" s="1" t="s">
        <v>74</v>
      </c>
      <c r="F976" s="1" t="n">
        <f aca="false">SUBTOTAL(9,F21:F35)</f>
        <v>131</v>
      </c>
      <c r="G976" s="1" t="n">
        <f aca="false">SUBTOTAL(9,G21:G35)</f>
        <v>15</v>
      </c>
      <c r="H976" s="1" t="n">
        <f aca="false">SUBTOTAL(9,H21:H35)</f>
        <v>303</v>
      </c>
      <c r="I976" s="8" t="n">
        <f aca="false">SUBTOTAL(9,I21:I35)</f>
        <v>8127949</v>
      </c>
      <c r="J976" s="1" t="n">
        <f aca="false">SUBTOTAL(9,J21:J35)</f>
        <v>26</v>
      </c>
      <c r="L976" s="1" t="n">
        <f aca="false">SUBTOTAL(9,L21:L35)</f>
        <v>34</v>
      </c>
      <c r="M976" s="1" t="n">
        <f aca="false">SUBTOTAL(9,M21:M35)</f>
        <v>4</v>
      </c>
      <c r="N976" s="1" t="n">
        <f aca="false">SUBTOTAL(9,N21:N35)</f>
        <v>2</v>
      </c>
      <c r="O976" s="1" t="n">
        <f aca="false">SUBTOTAL(9,O21:O35)</f>
        <v>11</v>
      </c>
      <c r="P976" s="1" t="n">
        <f aca="false">SUBTOTAL(9,P21:P35)</f>
        <v>17</v>
      </c>
      <c r="Q976" s="1" t="n">
        <f aca="false">SUBTOTAL(9,Q21:Q35)</f>
        <v>0</v>
      </c>
      <c r="R976" s="1" t="n">
        <f aca="false">SUBTOTAL(9,R21:R35)</f>
        <v>0</v>
      </c>
      <c r="S976" s="1" t="n">
        <f aca="false">SUBTOTAL(9,S21:S35)</f>
        <v>0</v>
      </c>
      <c r="T976" s="1" t="n">
        <f aca="false">SUBTOTAL(9,T21:T35)</f>
        <v>24</v>
      </c>
      <c r="U976" s="1" t="n">
        <f aca="false">SUBTOTAL(9,U21:U35)</f>
        <v>30</v>
      </c>
      <c r="V976" s="1" t="n">
        <f aca="false">SUBTOTAL(9,V21:V35)</f>
        <v>4</v>
      </c>
      <c r="W976" s="1" t="n">
        <f aca="false">SUBTOTAL(9,W21:W35)</f>
        <v>58</v>
      </c>
      <c r="X976" s="1" t="n">
        <f aca="false">SUBTOTAL(9,X21:X35)</f>
        <v>15</v>
      </c>
      <c r="Y976" s="1" t="n">
        <f aca="false">SUBTOTAL(9,Y21:Y35)</f>
        <v>37</v>
      </c>
      <c r="Z976" s="20" t="n">
        <f aca="false">SUBTOTAL(9,Z21:Z35)</f>
        <v>0</v>
      </c>
      <c r="AA976" s="20" t="n">
        <f aca="false">SUBTOTAL(9,AA21:AA35)</f>
        <v>0</v>
      </c>
      <c r="AB976" s="20" t="n">
        <f aca="false">SUBTOTAL(9,AB21:AB35)</f>
        <v>0</v>
      </c>
      <c r="AC976" s="20" t="n">
        <f aca="false">SUBTOTAL(9,AC21:AC35)</f>
        <v>38.4</v>
      </c>
      <c r="AD976" s="20" t="n">
        <f aca="false">SUBTOTAL(9,AD21:AD35)</f>
        <v>43.6</v>
      </c>
      <c r="AE976" s="20" t="n">
        <f aca="false">SUBTOTAL(9,AE21:AE35)</f>
        <v>6.4</v>
      </c>
      <c r="AF976" s="20" t="n">
        <f aca="false">SUBTOTAL(9,AF21:AF35)</f>
        <v>88.4</v>
      </c>
      <c r="AH976" s="22" t="n">
        <f aca="false">SUBTOTAL(9,AH21:AH35)</f>
        <v>0</v>
      </c>
      <c r="AI976" s="22" t="n">
        <f aca="false">SUBTOTAL(9,AI21:AI35)</f>
        <v>0</v>
      </c>
      <c r="AJ976" s="22" t="n">
        <f aca="false">SUBTOTAL(9,AJ21:AJ35)</f>
        <v>0</v>
      </c>
      <c r="AK976" s="22" t="n">
        <f aca="false">SUBTOTAL(9,AK21:AK35)</f>
        <v>46.08</v>
      </c>
      <c r="AL976" s="22" t="n">
        <f aca="false">SUBTOTAL(9,AL21:AL35)</f>
        <v>52.32</v>
      </c>
      <c r="AM976" s="22" t="n">
        <f aca="false">SUBTOTAL(9,AM21:AM35)</f>
        <v>7.68</v>
      </c>
      <c r="AN976" s="22" t="n">
        <f aca="false">SUBTOTAL(9,AN21:AN35)</f>
        <v>106.08</v>
      </c>
    </row>
    <row r="977" customFormat="false" ht="13.8" hidden="false" customHeight="false" outlineLevel="0" collapsed="false">
      <c r="A977" s="1" t="s">
        <v>1171</v>
      </c>
      <c r="C977" s="1" t="s">
        <v>92</v>
      </c>
      <c r="E977" s="1" t="s">
        <v>93</v>
      </c>
      <c r="F977" s="1" t="n">
        <f aca="false">SUBTOTAL(9,F36:F39)</f>
        <v>66</v>
      </c>
      <c r="G977" s="1" t="n">
        <f aca="false">SUBTOTAL(9,G36:G39)</f>
        <v>4</v>
      </c>
      <c r="H977" s="1" t="n">
        <f aca="false">SUBTOTAL(9,H36:H39)</f>
        <v>39</v>
      </c>
      <c r="I977" s="8" t="n">
        <f aca="false">SUBTOTAL(9,I36:I39)</f>
        <v>6534667</v>
      </c>
      <c r="J977" s="1" t="n">
        <f aca="false">SUBTOTAL(9,J36:J39)</f>
        <v>12</v>
      </c>
      <c r="L977" s="1" t="n">
        <f aca="false">SUBTOTAL(9,L36:L39)</f>
        <v>19</v>
      </c>
      <c r="M977" s="1" t="n">
        <f aca="false">SUBTOTAL(9,M36:M39)</f>
        <v>3</v>
      </c>
      <c r="N977" s="1" t="n">
        <f aca="false">SUBTOTAL(9,N36:N39)</f>
        <v>0</v>
      </c>
      <c r="O977" s="1" t="n">
        <f aca="false">SUBTOTAL(9,O36:O39)</f>
        <v>10</v>
      </c>
      <c r="P977" s="1" t="n">
        <f aca="false">SUBTOTAL(9,P36:P39)</f>
        <v>13</v>
      </c>
      <c r="Q977" s="1" t="n">
        <f aca="false">SUBTOTAL(9,Q36:Q39)</f>
        <v>1</v>
      </c>
      <c r="R977" s="1" t="n">
        <f aca="false">SUBTOTAL(9,R36:R39)</f>
        <v>1</v>
      </c>
      <c r="S977" s="1" t="n">
        <f aca="false">SUBTOTAL(9,S36:S39)</f>
        <v>0</v>
      </c>
      <c r="T977" s="1" t="n">
        <f aca="false">SUBTOTAL(9,T36:T39)</f>
        <v>0</v>
      </c>
      <c r="U977" s="1" t="n">
        <f aca="false">SUBTOTAL(9,U36:U39)</f>
        <v>15</v>
      </c>
      <c r="V977" s="1" t="n">
        <f aca="false">SUBTOTAL(9,V36:V39)</f>
        <v>0</v>
      </c>
      <c r="W977" s="1" t="n">
        <f aca="false">SUBTOTAL(9,W36:W39)</f>
        <v>17</v>
      </c>
      <c r="X977" s="1" t="n">
        <f aca="false">SUBTOTAL(9,X36:X39)</f>
        <v>9</v>
      </c>
      <c r="Y977" s="1" t="n">
        <f aca="false">SUBTOTAL(9,Y36:Y39)</f>
        <v>0</v>
      </c>
      <c r="Z977" s="20" t="n">
        <f aca="false">SUBTOTAL(9,Z36:Z39)</f>
        <v>1.8</v>
      </c>
      <c r="AA977" s="20" t="n">
        <f aca="false">SUBTOTAL(9,AA36:AA39)</f>
        <v>1.6</v>
      </c>
      <c r="AB977" s="20" t="n">
        <f aca="false">SUBTOTAL(9,AB36:AB39)</f>
        <v>0</v>
      </c>
      <c r="AC977" s="20" t="n">
        <f aca="false">SUBTOTAL(9,AC36:AC39)</f>
        <v>0</v>
      </c>
      <c r="AD977" s="20" t="n">
        <f aca="false">SUBTOTAL(9,AD36:AD39)</f>
        <v>24</v>
      </c>
      <c r="AE977" s="20" t="n">
        <f aca="false">SUBTOTAL(9,AE36:AE39)</f>
        <v>0</v>
      </c>
      <c r="AF977" s="20" t="n">
        <f aca="false">SUBTOTAL(9,AF36:AF39)</f>
        <v>27.4</v>
      </c>
      <c r="AH977" s="22" t="n">
        <f aca="false">SUBTOTAL(9,AH36:AH39)</f>
        <v>2.16</v>
      </c>
      <c r="AI977" s="22" t="n">
        <f aca="false">SUBTOTAL(9,AI36:AI39)</f>
        <v>1.92</v>
      </c>
      <c r="AJ977" s="22" t="n">
        <f aca="false">SUBTOTAL(9,AJ36:AJ39)</f>
        <v>0</v>
      </c>
      <c r="AK977" s="22" t="n">
        <f aca="false">SUBTOTAL(9,AK36:AK39)</f>
        <v>0</v>
      </c>
      <c r="AL977" s="22" t="n">
        <f aca="false">SUBTOTAL(9,AL36:AL39)</f>
        <v>28.8</v>
      </c>
      <c r="AM977" s="22" t="n">
        <f aca="false">SUBTOTAL(9,AM36:AM39)</f>
        <v>0</v>
      </c>
      <c r="AN977" s="22" t="n">
        <f aca="false">SUBTOTAL(9,AN36:AN39)</f>
        <v>32.88</v>
      </c>
    </row>
    <row r="978" customFormat="false" ht="13.8" hidden="false" customHeight="false" outlineLevel="0" collapsed="false">
      <c r="A978" s="1" t="s">
        <v>1171</v>
      </c>
      <c r="C978" s="1" t="s">
        <v>99</v>
      </c>
      <c r="E978" s="1" t="s">
        <v>100</v>
      </c>
      <c r="F978" s="1" t="n">
        <f aca="false">SUBTOTAL(9,F40:F49)</f>
        <v>91</v>
      </c>
      <c r="G978" s="1" t="n">
        <f aca="false">SUBTOTAL(9,G40:G49)</f>
        <v>10</v>
      </c>
      <c r="H978" s="1" t="n">
        <f aca="false">SUBTOTAL(9,H40:H49)</f>
        <v>65</v>
      </c>
      <c r="I978" s="8" t="n">
        <f aca="false">SUBTOTAL(9,I40:I49)</f>
        <v>19616919</v>
      </c>
      <c r="J978" s="1" t="n">
        <f aca="false">SUBTOTAL(9,J40:J49)</f>
        <v>15</v>
      </c>
      <c r="L978" s="1" t="n">
        <f aca="false">SUBTOTAL(9,L40:L49)</f>
        <v>27</v>
      </c>
      <c r="M978" s="1" t="n">
        <f aca="false">SUBTOTAL(9,M40:M49)</f>
        <v>6</v>
      </c>
      <c r="N978" s="1" t="n">
        <f aca="false">SUBTOTAL(9,N40:N49)</f>
        <v>0</v>
      </c>
      <c r="O978" s="1" t="n">
        <f aca="false">SUBTOTAL(9,O40:O49)</f>
        <v>12</v>
      </c>
      <c r="P978" s="1" t="n">
        <f aca="false">SUBTOTAL(9,P40:P49)</f>
        <v>18</v>
      </c>
      <c r="Q978" s="1" t="n">
        <f aca="false">SUBTOTAL(9,Q40:Q49)</f>
        <v>0</v>
      </c>
      <c r="R978" s="1" t="n">
        <f aca="false">SUBTOTAL(9,R40:R49)</f>
        <v>0</v>
      </c>
      <c r="S978" s="1" t="n">
        <f aca="false">SUBTOTAL(9,S40:S49)</f>
        <v>11</v>
      </c>
      <c r="T978" s="1" t="n">
        <f aca="false">SUBTOTAL(9,T40:T49)</f>
        <v>5</v>
      </c>
      <c r="U978" s="1" t="n">
        <f aca="false">SUBTOTAL(9,U40:U49)</f>
        <v>25</v>
      </c>
      <c r="V978" s="1" t="n">
        <f aca="false">SUBTOTAL(9,V40:V49)</f>
        <v>0</v>
      </c>
      <c r="W978" s="1" t="n">
        <f aca="false">SUBTOTAL(9,W40:W49)</f>
        <v>41</v>
      </c>
      <c r="X978" s="1" t="n">
        <f aca="false">SUBTOTAL(9,X40:X49)</f>
        <v>4</v>
      </c>
      <c r="Y978" s="1" t="n">
        <f aca="false">SUBTOTAL(9,Y40:Y49)</f>
        <v>12</v>
      </c>
      <c r="Z978" s="20" t="n">
        <f aca="false">SUBTOTAL(9,Z40:Z49)</f>
        <v>0</v>
      </c>
      <c r="AA978" s="20" t="n">
        <f aca="false">SUBTOTAL(9,AA40:AA49)</f>
        <v>0</v>
      </c>
      <c r="AB978" s="20" t="n">
        <f aca="false">SUBTOTAL(9,AB40:AB49)</f>
        <v>13.2</v>
      </c>
      <c r="AC978" s="20" t="n">
        <f aca="false">SUBTOTAL(9,AC40:AC49)</f>
        <v>6</v>
      </c>
      <c r="AD978" s="20" t="n">
        <f aca="false">SUBTOTAL(9,AD40:AD49)</f>
        <v>40</v>
      </c>
      <c r="AE978" s="20" t="n">
        <f aca="false">SUBTOTAL(9,AE40:AE49)</f>
        <v>0</v>
      </c>
      <c r="AF978" s="20" t="n">
        <f aca="false">SUBTOTAL(9,AF40:AF49)</f>
        <v>59.2</v>
      </c>
      <c r="AH978" s="22" t="n">
        <f aca="false">SUBTOTAL(9,AH40:AH49)</f>
        <v>0</v>
      </c>
      <c r="AI978" s="22" t="n">
        <f aca="false">SUBTOTAL(9,AI40:AI49)</f>
        <v>0</v>
      </c>
      <c r="AJ978" s="22" t="n">
        <f aca="false">SUBTOTAL(9,AJ40:AJ49)</f>
        <v>13.2</v>
      </c>
      <c r="AK978" s="22" t="n">
        <f aca="false">SUBTOTAL(9,AK40:AK49)</f>
        <v>6</v>
      </c>
      <c r="AL978" s="22" t="n">
        <f aca="false">SUBTOTAL(9,AL40:AL49)</f>
        <v>48</v>
      </c>
      <c r="AM978" s="22" t="n">
        <f aca="false">SUBTOTAL(9,AM40:AM49)</f>
        <v>0</v>
      </c>
      <c r="AN978" s="22" t="n">
        <f aca="false">SUBTOTAL(9,AN40:AN49)</f>
        <v>67.2</v>
      </c>
    </row>
    <row r="979" customFormat="false" ht="13.8" hidden="false" customHeight="false" outlineLevel="0" collapsed="false">
      <c r="A979" s="1" t="s">
        <v>1171</v>
      </c>
      <c r="C979" s="1" t="s">
        <v>112</v>
      </c>
      <c r="E979" s="1" t="s">
        <v>111</v>
      </c>
      <c r="F979" s="1" t="n">
        <f aca="false">SUBTOTAL(9,F50)</f>
        <v>3</v>
      </c>
      <c r="G979" s="1" t="n">
        <f aca="false">SUBTOTAL(9,G50)</f>
        <v>1</v>
      </c>
      <c r="H979" s="1" t="n">
        <f aca="false">SUBTOTAL(9,H50)</f>
        <v>2</v>
      </c>
      <c r="I979" s="8" t="n">
        <f aca="false">SUBTOTAL(9,I50)</f>
        <v>450549</v>
      </c>
      <c r="J979" s="1" t="n">
        <f aca="false">SUBTOTAL(9,J50)</f>
        <v>1</v>
      </c>
      <c r="L979" s="1" t="n">
        <f aca="false">SUBTOTAL(9,L50)</f>
        <v>4</v>
      </c>
      <c r="M979" s="1" t="n">
        <f aca="false">SUBTOTAL(9,M50)</f>
        <v>1</v>
      </c>
      <c r="N979" s="1" t="n">
        <f aca="false">SUBTOTAL(9,N50)</f>
        <v>0</v>
      </c>
      <c r="O979" s="1" t="n">
        <f aca="false">SUBTOTAL(9,O50)</f>
        <v>2</v>
      </c>
      <c r="P979" s="1" t="n">
        <f aca="false">SUBTOTAL(9,P50)</f>
        <v>3</v>
      </c>
      <c r="Q979" s="1" t="n">
        <f aca="false">SUBTOTAL(9,Q50)</f>
        <v>0</v>
      </c>
      <c r="R979" s="1" t="n">
        <f aca="false">SUBTOTAL(9,R50)</f>
        <v>0</v>
      </c>
      <c r="S979" s="1" t="n">
        <f aca="false">SUBTOTAL(9,S50)</f>
        <v>0</v>
      </c>
      <c r="T979" s="1" t="n">
        <f aca="false">SUBTOTAL(9,T50)</f>
        <v>2</v>
      </c>
      <c r="U979" s="1" t="n">
        <f aca="false">SUBTOTAL(9,U50)</f>
        <v>0</v>
      </c>
      <c r="V979" s="1" t="n">
        <f aca="false">SUBTOTAL(9,V50)</f>
        <v>0</v>
      </c>
      <c r="W979" s="1" t="n">
        <f aca="false">SUBTOTAL(9,W50)</f>
        <v>2</v>
      </c>
      <c r="X979" s="1" t="n">
        <f aca="false">SUBTOTAL(9,X50)</f>
        <v>0</v>
      </c>
      <c r="Y979" s="1" t="n">
        <f aca="false">SUBTOTAL(9,Y50)</f>
        <v>0</v>
      </c>
      <c r="Z979" s="20" t="n">
        <f aca="false">SUBTOTAL(9,Z50)</f>
        <v>0</v>
      </c>
      <c r="AA979" s="20" t="n">
        <f aca="false">SUBTOTAL(9,AA50)</f>
        <v>0</v>
      </c>
      <c r="AB979" s="20" t="n">
        <f aca="false">SUBTOTAL(9,AB50)</f>
        <v>0</v>
      </c>
      <c r="AC979" s="20" t="n">
        <f aca="false">SUBTOTAL(9,AC50)</f>
        <v>2.4</v>
      </c>
      <c r="AD979" s="20" t="n">
        <f aca="false">SUBTOTAL(9,AD50)</f>
        <v>0</v>
      </c>
      <c r="AE979" s="20" t="n">
        <f aca="false">SUBTOTAL(9,AE50)</f>
        <v>0</v>
      </c>
      <c r="AF979" s="20" t="n">
        <f aca="false">SUBTOTAL(9,AF50)</f>
        <v>2.4</v>
      </c>
      <c r="AH979" s="22" t="n">
        <f aca="false">SUBTOTAL(9,AH50)</f>
        <v>0</v>
      </c>
      <c r="AI979" s="22" t="n">
        <f aca="false">SUBTOTAL(9,AI50)</f>
        <v>0</v>
      </c>
      <c r="AJ979" s="22" t="n">
        <f aca="false">SUBTOTAL(9,AJ50)</f>
        <v>0</v>
      </c>
      <c r="AK979" s="22" t="n">
        <f aca="false">SUBTOTAL(9,AK50)</f>
        <v>2.88</v>
      </c>
      <c r="AL979" s="22" t="n">
        <f aca="false">SUBTOTAL(9,AL50)</f>
        <v>0</v>
      </c>
      <c r="AM979" s="22" t="n">
        <f aca="false">SUBTOTAL(9,AM50)</f>
        <v>0</v>
      </c>
      <c r="AN979" s="22" t="n">
        <f aca="false">SUBTOTAL(9,AN50)</f>
        <v>2.88</v>
      </c>
    </row>
    <row r="980" customFormat="false" ht="13.8" hidden="false" customHeight="false" outlineLevel="0" collapsed="false">
      <c r="A980" s="1" t="s">
        <v>1171</v>
      </c>
      <c r="C980" s="1" t="s">
        <v>114</v>
      </c>
      <c r="E980" s="13" t="s">
        <v>115</v>
      </c>
      <c r="F980" s="13" t="n">
        <f aca="false">SUBTOTAL(9,F51:F52)</f>
        <v>27</v>
      </c>
      <c r="G980" s="1" t="n">
        <f aca="false">SUBTOTAL(9,G51:G52)</f>
        <v>2</v>
      </c>
      <c r="H980" s="1" t="n">
        <f aca="false">SUBTOTAL(9,H51:H52)</f>
        <v>25</v>
      </c>
      <c r="I980" s="8" t="n">
        <f aca="false">SUBTOTAL(9,I51:I52)</f>
        <v>2381904</v>
      </c>
      <c r="J980" s="1" t="n">
        <f aca="false">SUBTOTAL(9,J51:J52)</f>
        <v>3</v>
      </c>
      <c r="L980" s="1" t="n">
        <f aca="false">SUBTOTAL(9,L51:L52)</f>
        <v>7</v>
      </c>
      <c r="M980" s="1" t="n">
        <f aca="false">SUBTOTAL(9,M51:M52)</f>
        <v>1</v>
      </c>
      <c r="N980" s="1" t="n">
        <f aca="false">SUBTOTAL(9,N51:N52)</f>
        <v>0</v>
      </c>
      <c r="O980" s="1" t="n">
        <f aca="false">SUBTOTAL(9,O51:O52)</f>
        <v>6</v>
      </c>
      <c r="P980" s="1" t="n">
        <f aca="false">SUBTOTAL(9,P51:P52)</f>
        <v>7</v>
      </c>
      <c r="Q980" s="1" t="n">
        <f aca="false">SUBTOTAL(9,Q51:Q52)</f>
        <v>0</v>
      </c>
      <c r="R980" s="1" t="n">
        <f aca="false">SUBTOTAL(9,R51:R52)</f>
        <v>0</v>
      </c>
      <c r="S980" s="1" t="n">
        <f aca="false">SUBTOTAL(9,S51:S52)</f>
        <v>0</v>
      </c>
      <c r="T980" s="1" t="n">
        <f aca="false">SUBTOTAL(9,T51:T52)</f>
        <v>60</v>
      </c>
      <c r="U980" s="1" t="n">
        <f aca="false">SUBTOTAL(9,U51:U52)</f>
        <v>2</v>
      </c>
      <c r="V980" s="1" t="n">
        <f aca="false">SUBTOTAL(9,V51:V52)</f>
        <v>0</v>
      </c>
      <c r="W980" s="1" t="n">
        <f aca="false">SUBTOTAL(9,W51:W52)</f>
        <v>62</v>
      </c>
      <c r="X980" s="1" t="n">
        <f aca="false">SUBTOTAL(9,X51:X52)</f>
        <v>2</v>
      </c>
      <c r="Y980" s="1" t="n">
        <f aca="false">SUBTOTAL(9,Y51:Y52)</f>
        <v>0</v>
      </c>
      <c r="Z980" s="20" t="n">
        <f aca="false">SUBTOTAL(9,Z51:Z52)</f>
        <v>0</v>
      </c>
      <c r="AA980" s="20" t="n">
        <f aca="false">SUBTOTAL(9,AA51:AA52)</f>
        <v>0</v>
      </c>
      <c r="AB980" s="20" t="n">
        <f aca="false">SUBTOTAL(9,AB51:AB52)</f>
        <v>0</v>
      </c>
      <c r="AC980" s="20" t="n">
        <f aca="false">SUBTOTAL(9,AC51:AC52)</f>
        <v>84</v>
      </c>
      <c r="AD980" s="20" t="n">
        <f aca="false">SUBTOTAL(9,AD51:AD52)</f>
        <v>2.8</v>
      </c>
      <c r="AE980" s="20" t="n">
        <f aca="false">SUBTOTAL(9,AE51:AE52)</f>
        <v>0</v>
      </c>
      <c r="AF980" s="20" t="n">
        <f aca="false">SUBTOTAL(9,AF51:AF52)</f>
        <v>86.8</v>
      </c>
      <c r="AH980" s="22" t="n">
        <f aca="false">SUBTOTAL(9,AH51:AH52)</f>
        <v>0</v>
      </c>
      <c r="AI980" s="22" t="n">
        <f aca="false">SUBTOTAL(9,AI51:AI52)</f>
        <v>0</v>
      </c>
      <c r="AJ980" s="22" t="n">
        <f aca="false">SUBTOTAL(9,AJ51:AJ52)</f>
        <v>0</v>
      </c>
      <c r="AK980" s="22" t="n">
        <f aca="false">SUBTOTAL(9,AK51:AK52)</f>
        <v>100.8</v>
      </c>
      <c r="AL980" s="22" t="n">
        <f aca="false">SUBTOTAL(9,AL51:AL52)</f>
        <v>3.36</v>
      </c>
      <c r="AM980" s="22" t="n">
        <f aca="false">SUBTOTAL(9,AM51:AM52)</f>
        <v>0</v>
      </c>
      <c r="AN980" s="22" t="n">
        <f aca="false">SUBTOTAL(9,AN51:AN52)</f>
        <v>104.16</v>
      </c>
    </row>
    <row r="981" customFormat="false" ht="13.8" hidden="false" customHeight="false" outlineLevel="0" collapsed="false">
      <c r="A981" s="1" t="s">
        <v>1171</v>
      </c>
      <c r="C981" s="1" t="s">
        <v>117</v>
      </c>
      <c r="E981" s="1" t="s">
        <v>118</v>
      </c>
      <c r="F981" s="1" t="n">
        <f aca="false">SUBTOTAL(9,F53:F54)</f>
        <v>14</v>
      </c>
      <c r="G981" s="1" t="n">
        <f aca="false">SUBTOTAL(9,G53:G54)</f>
        <v>2</v>
      </c>
      <c r="H981" s="13" t="n">
        <f aca="false">SUBTOTAL(9,H53:H54)</f>
        <v>48</v>
      </c>
      <c r="I981" s="8" t="n">
        <f aca="false">SUBTOTAL(9,I53:I54)</f>
        <v>3787618</v>
      </c>
      <c r="J981" s="1" t="n">
        <f aca="false">SUBTOTAL(9,J53:J54)</f>
        <v>4</v>
      </c>
      <c r="L981" s="1" t="n">
        <f aca="false">SUBTOTAL(9,L53:L54)</f>
        <v>7</v>
      </c>
      <c r="M981" s="1" t="n">
        <f aca="false">SUBTOTAL(9,M53:M54)</f>
        <v>0</v>
      </c>
      <c r="N981" s="1" t="n">
        <f aca="false">SUBTOTAL(9,N53:N54)</f>
        <v>0</v>
      </c>
      <c r="O981" s="1" t="n">
        <f aca="false">SUBTOTAL(9,O53:O54)</f>
        <v>1</v>
      </c>
      <c r="P981" s="1" t="n">
        <f aca="false">SUBTOTAL(9,P53:P54)</f>
        <v>1</v>
      </c>
      <c r="Q981" s="1" t="n">
        <f aca="false">SUBTOTAL(9,Q53:Q54)</f>
        <v>12</v>
      </c>
      <c r="R981" s="1" t="n">
        <f aca="false">SUBTOTAL(9,R53:R54)</f>
        <v>15</v>
      </c>
      <c r="S981" s="1" t="n">
        <f aca="false">SUBTOTAL(9,S53:S54)</f>
        <v>382</v>
      </c>
      <c r="T981" s="1" t="n">
        <f aca="false">SUBTOTAL(9,T53:T54)</f>
        <v>189</v>
      </c>
      <c r="U981" s="1" t="n">
        <f aca="false">SUBTOTAL(9,U53:U54)</f>
        <v>20</v>
      </c>
      <c r="V981" s="1" t="n">
        <f aca="false">SUBTOTAL(9,V53:V54)</f>
        <v>0</v>
      </c>
      <c r="W981" s="1" t="n">
        <f aca="false">SUBTOTAL(9,W53:W54)</f>
        <v>618</v>
      </c>
      <c r="X981" s="1" t="n">
        <f aca="false">SUBTOTAL(9,X53:X54)</f>
        <v>6</v>
      </c>
      <c r="Y981" s="1" t="n">
        <f aca="false">SUBTOTAL(9,Y53:Y54)</f>
        <v>17</v>
      </c>
      <c r="Z981" s="20" t="n">
        <f aca="false">SUBTOTAL(9,Z53:Z54)</f>
        <v>16.8</v>
      </c>
      <c r="AA981" s="20" t="n">
        <f aca="false">SUBTOTAL(9,AA53:AA54)</f>
        <v>21</v>
      </c>
      <c r="AB981" s="20" t="n">
        <f aca="false">SUBTOTAL(9,AB53:AB54)</f>
        <v>534.8</v>
      </c>
      <c r="AC981" s="20" t="n">
        <f aca="false">SUBTOTAL(9,AC53:AC54)</f>
        <v>264.6</v>
      </c>
      <c r="AD981" s="20" t="n">
        <f aca="false">SUBTOTAL(9,AD53:AD54)</f>
        <v>28</v>
      </c>
      <c r="AE981" s="20" t="n">
        <f aca="false">SUBTOTAL(9,AE53:AE54)</f>
        <v>0</v>
      </c>
      <c r="AF981" s="20" t="n">
        <f aca="false">SUBTOTAL(9,AF53:AF54)</f>
        <v>865.2</v>
      </c>
      <c r="AH981" s="22" t="n">
        <f aca="false">SUBTOTAL(9,AH53:AH54)</f>
        <v>20.16</v>
      </c>
      <c r="AI981" s="22" t="n">
        <f aca="false">SUBTOTAL(9,AI53:AI54)</f>
        <v>25.2</v>
      </c>
      <c r="AJ981" s="22" t="n">
        <f aca="false">SUBTOTAL(9,AJ53:AJ54)</f>
        <v>641.76</v>
      </c>
      <c r="AK981" s="22" t="n">
        <f aca="false">SUBTOTAL(9,AK53:AK54)</f>
        <v>317.52</v>
      </c>
      <c r="AL981" s="22" t="n">
        <f aca="false">SUBTOTAL(9,AL53:AL54)</f>
        <v>33.6</v>
      </c>
      <c r="AM981" s="22" t="n">
        <f aca="false">SUBTOTAL(9,AM53:AM54)</f>
        <v>0</v>
      </c>
      <c r="AN981" s="22" t="n">
        <f aca="false">SUBTOTAL(9,AN53:AN54)</f>
        <v>1038.24</v>
      </c>
    </row>
    <row r="982" customFormat="false" ht="13.8" hidden="false" customHeight="false" outlineLevel="0" collapsed="false">
      <c r="A982" s="1" t="s">
        <v>1171</v>
      </c>
      <c r="C982" s="1" t="s">
        <v>122</v>
      </c>
      <c r="E982" s="1" t="s">
        <v>123</v>
      </c>
      <c r="F982" s="1" t="n">
        <f aca="false">SUBTOTAL(9,F55:F80)</f>
        <v>59</v>
      </c>
      <c r="G982" s="1" t="n">
        <f aca="false">SUBTOTAL(9,G55:G80)</f>
        <v>26</v>
      </c>
      <c r="H982" s="1" t="n">
        <f aca="false">SUBTOTAL(9,H55:H80)</f>
        <v>437</v>
      </c>
      <c r="I982" s="8" t="n">
        <f aca="false">SUBTOTAL(9,I55:I80)</f>
        <v>350948580</v>
      </c>
      <c r="J982" s="1" t="n">
        <f aca="false">SUBTOTAL(9,J55:J80)</f>
        <v>56</v>
      </c>
      <c r="L982" s="1" t="n">
        <f aca="false">SUBTOTAL(9,L55:L80)</f>
        <v>72</v>
      </c>
      <c r="M982" s="1" t="n">
        <f aca="false">SUBTOTAL(9,M55:M80)</f>
        <v>2</v>
      </c>
      <c r="N982" s="1" t="n">
        <f aca="false">SUBTOTAL(9,N55:N80)</f>
        <v>1</v>
      </c>
      <c r="O982" s="1" t="n">
        <f aca="false">SUBTOTAL(9,O55:O80)</f>
        <v>14</v>
      </c>
      <c r="P982" s="1" t="n">
        <f aca="false">SUBTOTAL(9,P55:P80)</f>
        <v>17</v>
      </c>
      <c r="Q982" s="1" t="n">
        <f aca="false">SUBTOTAL(9,Q55:Q80)</f>
        <v>8</v>
      </c>
      <c r="R982" s="1" t="n">
        <f aca="false">SUBTOTAL(9,R55:R80)</f>
        <v>1</v>
      </c>
      <c r="S982" s="1" t="n">
        <f aca="false">SUBTOTAL(9,S55:S80)</f>
        <v>22</v>
      </c>
      <c r="T982" s="1" t="n">
        <f aca="false">SUBTOTAL(9,T55:T80)</f>
        <v>212</v>
      </c>
      <c r="U982" s="1" t="n">
        <f aca="false">SUBTOTAL(9,U55:U80)</f>
        <v>38</v>
      </c>
      <c r="V982" s="1" t="n">
        <f aca="false">SUBTOTAL(9,V55:V80)</f>
        <v>40</v>
      </c>
      <c r="W982" s="1" t="n">
        <f aca="false">SUBTOTAL(9,W55:W80)</f>
        <v>321</v>
      </c>
      <c r="X982" s="1" t="n">
        <f aca="false">SUBTOTAL(9,X55:X80)</f>
        <v>21</v>
      </c>
      <c r="Y982" s="1" t="n">
        <f aca="false">SUBTOTAL(9,Y55:Y80)</f>
        <v>29</v>
      </c>
      <c r="Z982" s="20" t="n">
        <f aca="false">SUBTOTAL(9,Z55:Z80)</f>
        <v>11.2</v>
      </c>
      <c r="AA982" s="20" t="n">
        <f aca="false">SUBTOTAL(9,AA55:AA80)</f>
        <v>1.4</v>
      </c>
      <c r="AB982" s="20" t="n">
        <f aca="false">SUBTOTAL(9,AB55:AB80)</f>
        <v>34.6</v>
      </c>
      <c r="AC982" s="20" t="n">
        <f aca="false">SUBTOTAL(9,AC55:AC80)</f>
        <v>296.8</v>
      </c>
      <c r="AD982" s="20" t="n">
        <f aca="false">SUBTOTAL(9,AD55:AD80)</f>
        <v>55.8</v>
      </c>
      <c r="AE982" s="20" t="n">
        <f aca="false">SUBTOTAL(9,AE55:AE80)</f>
        <v>56</v>
      </c>
      <c r="AF982" s="20" t="n">
        <f aca="false">SUBTOTAL(9,AF55:AF80)</f>
        <v>455.8</v>
      </c>
      <c r="AH982" s="22" t="n">
        <f aca="false">SUBTOTAL(9,AH55:AH80)</f>
        <v>13.44</v>
      </c>
      <c r="AI982" s="22" t="n">
        <f aca="false">SUBTOTAL(9,AI55:AI80)</f>
        <v>1.68</v>
      </c>
      <c r="AJ982" s="22" t="n">
        <f aca="false">SUBTOTAL(9,AJ55:AJ80)</f>
        <v>41.52</v>
      </c>
      <c r="AK982" s="22" t="n">
        <f aca="false">SUBTOTAL(9,AK55:AK80)</f>
        <v>356.16</v>
      </c>
      <c r="AL982" s="22" t="n">
        <f aca="false">SUBTOTAL(9,AL55:AL80)</f>
        <v>66.96</v>
      </c>
      <c r="AM982" s="22" t="n">
        <f aca="false">SUBTOTAL(9,AM55:AM80)</f>
        <v>67.2</v>
      </c>
      <c r="AN982" s="22" t="n">
        <f aca="false">SUBTOTAL(9,AN55:AN80)</f>
        <v>546.96</v>
      </c>
    </row>
    <row r="983" customFormat="false" ht="13.8" hidden="false" customHeight="false" outlineLevel="0" collapsed="false">
      <c r="A983" s="1" t="s">
        <v>1171</v>
      </c>
      <c r="C983" s="1" t="s">
        <v>150</v>
      </c>
      <c r="E983" s="1" t="s">
        <v>151</v>
      </c>
      <c r="F983" s="1" t="n">
        <f aca="false">SUBTOTAL(9,F81:F84)</f>
        <v>49</v>
      </c>
      <c r="G983" s="1" t="n">
        <f aca="false">SUBTOTAL(9,G81:G84)</f>
        <v>4</v>
      </c>
      <c r="H983" s="1" t="n">
        <f aca="false">SUBTOTAL(9,H81:H84)</f>
        <v>32</v>
      </c>
      <c r="I983" s="8" t="n">
        <f aca="false">SUBTOTAL(9,I81:I84)</f>
        <v>6085518</v>
      </c>
      <c r="J983" s="1" t="n">
        <f aca="false">SUBTOTAL(9,J81:J84)</f>
        <v>9</v>
      </c>
      <c r="L983" s="1" t="n">
        <f aca="false">SUBTOTAL(9,L81:L84)</f>
        <v>17</v>
      </c>
      <c r="M983" s="1" t="n">
        <f aca="false">SUBTOTAL(9,M81:M84)</f>
        <v>3</v>
      </c>
      <c r="N983" s="1" t="n">
        <f aca="false">SUBTOTAL(9,N81:N84)</f>
        <v>0</v>
      </c>
      <c r="O983" s="1" t="n">
        <f aca="false">SUBTOTAL(9,O81:O84)</f>
        <v>11</v>
      </c>
      <c r="P983" s="1" t="n">
        <f aca="false">SUBTOTAL(9,P81:P84)</f>
        <v>14</v>
      </c>
      <c r="Q983" s="1" t="n">
        <f aca="false">SUBTOTAL(9,Q81:Q84)</f>
        <v>0</v>
      </c>
      <c r="R983" s="1" t="n">
        <f aca="false">SUBTOTAL(9,R81:R84)</f>
        <v>2</v>
      </c>
      <c r="S983" s="1" t="n">
        <f aca="false">SUBTOTAL(9,S81:S84)</f>
        <v>0</v>
      </c>
      <c r="T983" s="1" t="n">
        <f aca="false">SUBTOTAL(9,T81:T84)</f>
        <v>0</v>
      </c>
      <c r="U983" s="1" t="n">
        <f aca="false">SUBTOTAL(9,U81:U84)</f>
        <v>0</v>
      </c>
      <c r="V983" s="1" t="n">
        <f aca="false">SUBTOTAL(9,V81:V84)</f>
        <v>1</v>
      </c>
      <c r="W983" s="1" t="n">
        <f aca="false">SUBTOTAL(9,W81:W84)</f>
        <v>3</v>
      </c>
      <c r="X983" s="1" t="n">
        <f aca="false">SUBTOTAL(9,X81:X84)</f>
        <v>5</v>
      </c>
      <c r="Y983" s="1" t="n">
        <f aca="false">SUBTOTAL(9,Y81:Y84)</f>
        <v>4</v>
      </c>
      <c r="Z983" s="20" t="n">
        <f aca="false">SUBTOTAL(9,Z81:Z84)</f>
        <v>0</v>
      </c>
      <c r="AA983" s="20" t="n">
        <f aca="false">SUBTOTAL(9,AA81:AA84)</f>
        <v>3.2</v>
      </c>
      <c r="AB983" s="20" t="n">
        <f aca="false">SUBTOTAL(9,AB81:AB84)</f>
        <v>0</v>
      </c>
      <c r="AC983" s="20" t="n">
        <f aca="false">SUBTOTAL(9,AC81:AC84)</f>
        <v>0</v>
      </c>
      <c r="AD983" s="20" t="n">
        <f aca="false">SUBTOTAL(9,AD81:AD84)</f>
        <v>0</v>
      </c>
      <c r="AE983" s="20" t="n">
        <f aca="false">SUBTOTAL(9,AE81:AE84)</f>
        <v>1.4</v>
      </c>
      <c r="AF983" s="20" t="n">
        <f aca="false">SUBTOTAL(9,AF81:AF84)</f>
        <v>4.6</v>
      </c>
      <c r="AH983" s="22" t="n">
        <f aca="false">SUBTOTAL(9,AH81:AH84)</f>
        <v>0</v>
      </c>
      <c r="AI983" s="22" t="n">
        <f aca="false">SUBTOTAL(9,AI81:AI84)</f>
        <v>3.84</v>
      </c>
      <c r="AJ983" s="22" t="n">
        <f aca="false">SUBTOTAL(9,AJ81:AJ84)</f>
        <v>0</v>
      </c>
      <c r="AK983" s="22" t="n">
        <f aca="false">SUBTOTAL(9,AK81:AK84)</f>
        <v>0</v>
      </c>
      <c r="AL983" s="22" t="n">
        <f aca="false">SUBTOTAL(9,AL81:AL84)</f>
        <v>0</v>
      </c>
      <c r="AM983" s="22" t="n">
        <f aca="false">SUBTOTAL(9,AM81:AM84)</f>
        <v>1.68</v>
      </c>
      <c r="AN983" s="22" t="n">
        <f aca="false">SUBTOTAL(9,AN81:AN84)</f>
        <v>5.52</v>
      </c>
    </row>
    <row r="984" customFormat="false" ht="13.8" hidden="false" customHeight="false" outlineLevel="0" collapsed="false">
      <c r="A984" s="1" t="s">
        <v>1171</v>
      </c>
      <c r="C984" s="1" t="s">
        <v>156</v>
      </c>
      <c r="E984" s="1" t="s">
        <v>157</v>
      </c>
      <c r="F984" s="13" t="n">
        <f aca="false">SUBTOTAL(9,F85:F92)</f>
        <v>50</v>
      </c>
      <c r="G984" s="13" t="n">
        <f aca="false">SUBTOTAL(9,G85:G92)</f>
        <v>8</v>
      </c>
      <c r="H984" s="13" t="n">
        <f aca="false">SUBTOTAL(9,H85:H92)</f>
        <v>38</v>
      </c>
      <c r="I984" s="16" t="n">
        <f aca="false">SUBTOTAL(9,I85:I92)</f>
        <v>5063823</v>
      </c>
      <c r="J984" s="13" t="n">
        <f aca="false">SUBTOTAL(9,J85:J92)</f>
        <v>14</v>
      </c>
      <c r="L984" s="13" t="n">
        <f aca="false">SUBTOTAL(9,L85:L92)</f>
        <v>25</v>
      </c>
      <c r="M984" s="13" t="n">
        <f aca="false">SUBTOTAL(9,M85:M92)</f>
        <v>2</v>
      </c>
      <c r="N984" s="13" t="n">
        <f aca="false">SUBTOTAL(9,N85:N92)</f>
        <v>4</v>
      </c>
      <c r="O984" s="13" t="n">
        <f aca="false">SUBTOTAL(9,O85:O92)</f>
        <v>8</v>
      </c>
      <c r="P984" s="13" t="n">
        <f aca="false">SUBTOTAL(9,P85:P92)</f>
        <v>14</v>
      </c>
      <c r="Q984" s="13" t="n">
        <f aca="false">SUBTOTAL(9,Q85:Q92)</f>
        <v>3</v>
      </c>
      <c r="R984" s="13" t="n">
        <f aca="false">SUBTOTAL(9,R85:R92)</f>
        <v>1</v>
      </c>
      <c r="S984" s="1" t="n">
        <f aca="false">SUBTOTAL(9,S85:S92)</f>
        <v>0</v>
      </c>
      <c r="T984" s="13" t="n">
        <f aca="false">SUBTOTAL(9,T85:T92)</f>
        <v>64</v>
      </c>
      <c r="U984" s="13" t="n">
        <f aca="false">SUBTOTAL(9,U85:U92)</f>
        <v>38</v>
      </c>
      <c r="V984" s="13" t="n">
        <f aca="false">SUBTOTAL(9,V85:V92)</f>
        <v>4</v>
      </c>
      <c r="W984" s="13" t="n">
        <f aca="false">SUBTOTAL(9,W85:W92)</f>
        <v>110</v>
      </c>
      <c r="X984" s="13" t="n">
        <f aca="false">SUBTOTAL(9,X85:X92)</f>
        <v>5</v>
      </c>
      <c r="Y984" s="13" t="n">
        <f aca="false">SUBTOTAL(9,Y85:Y92)</f>
        <v>13</v>
      </c>
      <c r="Z984" s="23" t="n">
        <f aca="false">SUBTOTAL(9,Z85:Z92)</f>
        <v>3.6</v>
      </c>
      <c r="AA984" s="23" t="n">
        <f aca="false">SUBTOTAL(9,AA85:AA92)</f>
        <v>1.2</v>
      </c>
      <c r="AB984" s="20" t="n">
        <f aca="false">SUBTOTAL(9,AB85:AB92)</f>
        <v>0</v>
      </c>
      <c r="AC984" s="23" t="n">
        <f aca="false">SUBTOTAL(9,AC85:AC92)</f>
        <v>96.8</v>
      </c>
      <c r="AD984" s="23" t="n">
        <f aca="false">SUBTOTAL(9,AD85:AD92)</f>
        <v>56</v>
      </c>
      <c r="AE984" s="23" t="n">
        <f aca="false">SUBTOTAL(9,AE85:AE92)</f>
        <v>6.4</v>
      </c>
      <c r="AF984" s="23" t="n">
        <f aca="false">SUBTOTAL(9,AF85:AF92)</f>
        <v>164</v>
      </c>
      <c r="AH984" s="24" t="n">
        <f aca="false">SUBTOTAL(9,AH85:AH92)</f>
        <v>4.08</v>
      </c>
      <c r="AI984" s="24" t="n">
        <f aca="false">SUBTOTAL(9,AI85:AI92)</f>
        <v>1.2</v>
      </c>
      <c r="AJ984" s="22" t="n">
        <f aca="false">SUBTOTAL(9,AJ85:AJ92)</f>
        <v>0</v>
      </c>
      <c r="AK984" s="24" t="n">
        <f aca="false">SUBTOTAL(9,AK85:AK92)</f>
        <v>116.16</v>
      </c>
      <c r="AL984" s="24" t="n">
        <f aca="false">SUBTOTAL(9,AL85:AL92)</f>
        <v>67.2</v>
      </c>
      <c r="AM984" s="24" t="n">
        <f aca="false">SUBTOTAL(9,AM85:AM92)</f>
        <v>7.68</v>
      </c>
      <c r="AN984" s="24" t="n">
        <f aca="false">SUBTOTAL(9,AN85:AN92)</f>
        <v>196.32</v>
      </c>
    </row>
    <row r="985" customFormat="false" ht="13.8" hidden="false" customHeight="false" outlineLevel="0" collapsed="false">
      <c r="A985" s="1" t="s">
        <v>1171</v>
      </c>
      <c r="C985" s="1" t="s">
        <v>166</v>
      </c>
      <c r="E985" s="1" t="s">
        <v>167</v>
      </c>
      <c r="F985" s="1" t="n">
        <f aca="false">SUBTOTAL(9,F93:F114)</f>
        <v>127</v>
      </c>
      <c r="G985" s="1" t="n">
        <f aca="false">SUBTOTAL(9,G93:G114)</f>
        <v>22</v>
      </c>
      <c r="H985" s="1" t="n">
        <f aca="false">SUBTOTAL(9,H93:H114)</f>
        <v>353</v>
      </c>
      <c r="I985" s="8" t="n">
        <f aca="false">SUBTOTAL(9,I93:I114)</f>
        <v>340402824</v>
      </c>
      <c r="J985" s="1" t="n">
        <f aca="false">SUBTOTAL(9,J93:J114)</f>
        <v>49</v>
      </c>
      <c r="L985" s="1" t="n">
        <f aca="false">SUBTOTAL(9,L93:L114)</f>
        <v>92</v>
      </c>
      <c r="M985" s="1" t="n">
        <f aca="false">SUBTOTAL(9,M93:M114)</f>
        <v>11</v>
      </c>
      <c r="N985" s="1" t="n">
        <f aca="false">SUBTOTAL(9,N93:N114)</f>
        <v>1</v>
      </c>
      <c r="O985" s="1" t="n">
        <f aca="false">SUBTOTAL(9,O93:O114)</f>
        <v>21</v>
      </c>
      <c r="P985" s="1" t="n">
        <f aca="false">SUBTOTAL(9,P93:P114)</f>
        <v>33</v>
      </c>
      <c r="Q985" s="1" t="n">
        <f aca="false">SUBTOTAL(9,Q93:Q114)</f>
        <v>2</v>
      </c>
      <c r="R985" s="1" t="n">
        <f aca="false">SUBTOTAL(9,R93:R114)</f>
        <v>0</v>
      </c>
      <c r="S985" s="1" t="n">
        <f aca="false">SUBTOTAL(9,S93:S114)</f>
        <v>0</v>
      </c>
      <c r="T985" s="1" t="n">
        <f aca="false">SUBTOTAL(9,T93:T114)</f>
        <v>6</v>
      </c>
      <c r="U985" s="1" t="n">
        <f aca="false">SUBTOTAL(9,U93:U114)</f>
        <v>25</v>
      </c>
      <c r="V985" s="1" t="n">
        <f aca="false">SUBTOTAL(9,V93:V114)</f>
        <v>0</v>
      </c>
      <c r="W985" s="1" t="n">
        <f aca="false">SUBTOTAL(9,W93:W114)</f>
        <v>33</v>
      </c>
      <c r="X985" s="1" t="n">
        <f aca="false">SUBTOTAL(9,X93:X114)</f>
        <v>17</v>
      </c>
      <c r="Y985" s="1" t="n">
        <f aca="false">SUBTOTAL(9,Y93:Y114)</f>
        <v>26</v>
      </c>
      <c r="Z985" s="20" t="n">
        <f aca="false">SUBTOTAL(9,Z93:Z114)</f>
        <v>2.4</v>
      </c>
      <c r="AA985" s="20" t="n">
        <f aca="false">SUBTOTAL(9,AA93:AA114)</f>
        <v>0</v>
      </c>
      <c r="AB985" s="20" t="n">
        <f aca="false">SUBTOTAL(9,AB93:AB114)</f>
        <v>0</v>
      </c>
      <c r="AC985" s="20" t="n">
        <f aca="false">SUBTOTAL(9,AC93:AC114)</f>
        <v>9.6</v>
      </c>
      <c r="AD985" s="20" t="n">
        <f aca="false">SUBTOTAL(9,AD93:AD114)</f>
        <v>45</v>
      </c>
      <c r="AE985" s="20" t="n">
        <f aca="false">SUBTOTAL(9,AE93:AE114)</f>
        <v>0</v>
      </c>
      <c r="AF985" s="20" t="n">
        <f aca="false">SUBTOTAL(9,AF93:AF114)</f>
        <v>57</v>
      </c>
      <c r="AH985" s="22" t="n">
        <f aca="false">SUBTOTAL(9,AH93:AH114)</f>
        <v>2.4</v>
      </c>
      <c r="AI985" s="22" t="n">
        <f aca="false">SUBTOTAL(9,AI93:AI114)</f>
        <v>0</v>
      </c>
      <c r="AJ985" s="22" t="n">
        <f aca="false">SUBTOTAL(9,AJ93:AJ114)</f>
        <v>0</v>
      </c>
      <c r="AK985" s="22" t="n">
        <f aca="false">SUBTOTAL(9,AK93:AK114)</f>
        <v>11.52</v>
      </c>
      <c r="AL985" s="22" t="n">
        <f aca="false">SUBTOTAL(9,AL93:AL114)</f>
        <v>45</v>
      </c>
      <c r="AM985" s="22" t="n">
        <f aca="false">SUBTOTAL(9,AM93:AM114)</f>
        <v>0</v>
      </c>
      <c r="AN985" s="22" t="n">
        <f aca="false">SUBTOTAL(9,AN93:AN114)</f>
        <v>58.92</v>
      </c>
    </row>
    <row r="986" customFormat="false" ht="13.8" hidden="false" customHeight="false" outlineLevel="0" collapsed="false">
      <c r="A986" s="1" t="s">
        <v>1171</v>
      </c>
      <c r="C986" s="1" t="s">
        <v>190</v>
      </c>
      <c r="E986" s="1" t="s">
        <v>191</v>
      </c>
      <c r="F986" s="1" t="n">
        <f aca="false">SUBTOTAL(9,F115:F117)</f>
        <v>16</v>
      </c>
      <c r="G986" s="1" t="n">
        <f aca="false">SUBTOTAL(9,G115:G117)</f>
        <v>3</v>
      </c>
      <c r="H986" s="1" t="n">
        <f aca="false">SUBTOTAL(9,H115:H117)</f>
        <v>25</v>
      </c>
      <c r="I986" s="8" t="n">
        <f aca="false">SUBTOTAL(9,I115:I117)</f>
        <v>8002747</v>
      </c>
      <c r="J986" s="1" t="n">
        <f aca="false">SUBTOTAL(9,J115:J117)</f>
        <v>5</v>
      </c>
      <c r="L986" s="1" t="n">
        <f aca="false">SUBTOTAL(9,L115:L117)</f>
        <v>11</v>
      </c>
      <c r="M986" s="1" t="n">
        <f aca="false">SUBTOTAL(9,M115:M117)</f>
        <v>1</v>
      </c>
      <c r="N986" s="1" t="n">
        <f aca="false">SUBTOTAL(9,N115:N117)</f>
        <v>0</v>
      </c>
      <c r="O986" s="1" t="n">
        <f aca="false">SUBTOTAL(9,O115:O117)</f>
        <v>7</v>
      </c>
      <c r="P986" s="1" t="n">
        <f aca="false">SUBTOTAL(9,P115:P117)</f>
        <v>8</v>
      </c>
      <c r="Q986" s="1" t="n">
        <f aca="false">SUBTOTAL(9,Q115:Q117)</f>
        <v>15</v>
      </c>
      <c r="R986" s="1" t="n">
        <f aca="false">SUBTOTAL(9,R115:R117)</f>
        <v>0</v>
      </c>
      <c r="S986" s="1" t="n">
        <f aca="false">SUBTOTAL(9,S115:S117)</f>
        <v>0</v>
      </c>
      <c r="T986" s="1" t="n">
        <f aca="false">SUBTOTAL(9,T115:T117)</f>
        <v>0</v>
      </c>
      <c r="U986" s="1" t="n">
        <f aca="false">SUBTOTAL(9,U115:U117)</f>
        <v>0</v>
      </c>
      <c r="V986" s="1" t="n">
        <f aca="false">SUBTOTAL(9,V115:V117)</f>
        <v>0</v>
      </c>
      <c r="W986" s="1" t="n">
        <f aca="false">SUBTOTAL(9,W115:W117)</f>
        <v>15</v>
      </c>
      <c r="X986" s="1" t="n">
        <f aca="false">SUBTOTAL(9,X115:X117)</f>
        <v>6</v>
      </c>
      <c r="Y986" s="1" t="n">
        <f aca="false">SUBTOTAL(9,Y115:Y117)</f>
        <v>6</v>
      </c>
      <c r="Z986" s="20" t="n">
        <f aca="false">SUBTOTAL(9,Z115:Z117)</f>
        <v>21</v>
      </c>
      <c r="AA986" s="20" t="n">
        <f aca="false">SUBTOTAL(9,AA115:AA117)</f>
        <v>0</v>
      </c>
      <c r="AB986" s="20" t="n">
        <f aca="false">SUBTOTAL(9,AB115:AB117)</f>
        <v>0</v>
      </c>
      <c r="AC986" s="20" t="n">
        <f aca="false">SUBTOTAL(9,AC115:AC117)</f>
        <v>0</v>
      </c>
      <c r="AD986" s="20" t="n">
        <f aca="false">SUBTOTAL(9,AD115:AD117)</f>
        <v>0</v>
      </c>
      <c r="AE986" s="20" t="n">
        <f aca="false">SUBTOTAL(9,AE115:AE117)</f>
        <v>0</v>
      </c>
      <c r="AF986" s="20" t="n">
        <f aca="false">SUBTOTAL(9,AF115:AF117)</f>
        <v>21</v>
      </c>
      <c r="AH986" s="22" t="n">
        <f aca="false">SUBTOTAL(9,AH115:AH117)</f>
        <v>25.2</v>
      </c>
      <c r="AI986" s="22" t="n">
        <f aca="false">SUBTOTAL(9,AI115:AI117)</f>
        <v>0</v>
      </c>
      <c r="AJ986" s="22" t="n">
        <f aca="false">SUBTOTAL(9,AJ115:AJ117)</f>
        <v>0</v>
      </c>
      <c r="AK986" s="22" t="n">
        <f aca="false">SUBTOTAL(9,AK115:AK117)</f>
        <v>0</v>
      </c>
      <c r="AL986" s="22" t="n">
        <f aca="false">SUBTOTAL(9,AL115:AL117)</f>
        <v>0</v>
      </c>
      <c r="AM986" s="22" t="n">
        <f aca="false">SUBTOTAL(9,AM115:AM117)</f>
        <v>0</v>
      </c>
      <c r="AN986" s="22" t="n">
        <f aca="false">SUBTOTAL(9,AN115:AN117)</f>
        <v>25.2</v>
      </c>
    </row>
    <row r="987" customFormat="false" ht="13.8" hidden="false" customHeight="false" outlineLevel="0" collapsed="false">
      <c r="A987" s="1" t="s">
        <v>1171</v>
      </c>
      <c r="C987" s="1" t="s">
        <v>195</v>
      </c>
      <c r="E987" s="1" t="s">
        <v>196</v>
      </c>
      <c r="F987" s="1" t="n">
        <f aca="false">SUBTOTAL(9,F118)</f>
        <v>3</v>
      </c>
      <c r="G987" s="1" t="n">
        <f aca="false">SUBTOTAL(9,G118)</f>
        <v>1</v>
      </c>
      <c r="H987" s="1" t="n">
        <f aca="false">SUBTOTAL(9,H118)</f>
        <v>12</v>
      </c>
      <c r="I987" s="8" t="n">
        <f aca="false">SUBTOTAL(9,I118)</f>
        <v>7014752</v>
      </c>
      <c r="J987" s="1" t="n">
        <f aca="false">SUBTOTAL(9,J118)</f>
        <v>1</v>
      </c>
      <c r="L987" s="1" t="n">
        <f aca="false">SUBTOTAL(9,L118)</f>
        <v>6</v>
      </c>
      <c r="M987" s="1" t="n">
        <f aca="false">SUBTOTAL(9,M118)</f>
        <v>3</v>
      </c>
      <c r="N987" s="1" t="n">
        <f aca="false">SUBTOTAL(9,N118)</f>
        <v>0</v>
      </c>
      <c r="O987" s="1" t="n">
        <f aca="false">SUBTOTAL(9,O118)</f>
        <v>3</v>
      </c>
      <c r="P987" s="1" t="n">
        <f aca="false">SUBTOTAL(9,P118)</f>
        <v>6</v>
      </c>
      <c r="Q987" s="1" t="n">
        <f aca="false">SUBTOTAL(9,Q118)</f>
        <v>0</v>
      </c>
      <c r="R987" s="1" t="n">
        <f aca="false">SUBTOTAL(9,R118)</f>
        <v>0</v>
      </c>
      <c r="S987" s="1" t="n">
        <f aca="false">SUBTOTAL(9,S118)</f>
        <v>0</v>
      </c>
      <c r="T987" s="1" t="n">
        <f aca="false">SUBTOTAL(9,T118)</f>
        <v>3</v>
      </c>
      <c r="U987" s="1" t="n">
        <f aca="false">SUBTOTAL(9,U118)</f>
        <v>3</v>
      </c>
      <c r="V987" s="1" t="n">
        <f aca="false">SUBTOTAL(9,V118)</f>
        <v>0</v>
      </c>
      <c r="W987" s="1" t="n">
        <f aca="false">SUBTOTAL(9,W118)</f>
        <v>6</v>
      </c>
      <c r="X987" s="1" t="n">
        <f aca="false">SUBTOTAL(9,X118)</f>
        <v>0</v>
      </c>
      <c r="Y987" s="1" t="n">
        <f aca="false">SUBTOTAL(9,Y118)</f>
        <v>0</v>
      </c>
      <c r="Z987" s="20" t="n">
        <f aca="false">SUBTOTAL(9,Z118)</f>
        <v>0</v>
      </c>
      <c r="AA987" s="20" t="n">
        <f aca="false">SUBTOTAL(9,AA118)</f>
        <v>0</v>
      </c>
      <c r="AB987" s="20" t="n">
        <f aca="false">SUBTOTAL(9,AB118)</f>
        <v>0</v>
      </c>
      <c r="AC987" s="20" t="n">
        <f aca="false">SUBTOTAL(9,AC118)</f>
        <v>3.6</v>
      </c>
      <c r="AD987" s="20" t="n">
        <f aca="false">SUBTOTAL(9,AD118)</f>
        <v>3.6</v>
      </c>
      <c r="AE987" s="20" t="n">
        <f aca="false">SUBTOTAL(9,AE118)</f>
        <v>0</v>
      </c>
      <c r="AF987" s="20" t="n">
        <f aca="false">SUBTOTAL(9,AF118)</f>
        <v>7.2</v>
      </c>
      <c r="AH987" s="22" t="n">
        <f aca="false">SUBTOTAL(9,AH118)</f>
        <v>0</v>
      </c>
      <c r="AI987" s="22" t="n">
        <f aca="false">SUBTOTAL(9,AI118)</f>
        <v>0</v>
      </c>
      <c r="AJ987" s="22" t="n">
        <f aca="false">SUBTOTAL(9,AJ118)</f>
        <v>0</v>
      </c>
      <c r="AK987" s="22" t="n">
        <f aca="false">SUBTOTAL(9,AK118)</f>
        <v>4.32</v>
      </c>
      <c r="AL987" s="22" t="n">
        <f aca="false">SUBTOTAL(9,AL118)</f>
        <v>4.32</v>
      </c>
      <c r="AM987" s="22" t="n">
        <f aca="false">SUBTOTAL(9,AM118)</f>
        <v>0</v>
      </c>
      <c r="AN987" s="22" t="n">
        <f aca="false">SUBTOTAL(9,AN118)</f>
        <v>8.64</v>
      </c>
    </row>
    <row r="988" customFormat="false" ht="13.8" hidden="false" customHeight="false" outlineLevel="0" collapsed="false">
      <c r="A988" s="1" t="s">
        <v>1171</v>
      </c>
      <c r="C988" s="1" t="s">
        <v>198</v>
      </c>
      <c r="E988" s="1" t="s">
        <v>197</v>
      </c>
      <c r="F988" s="1" t="n">
        <f aca="false">SUBTOTAL(9,F119)</f>
        <v>3</v>
      </c>
      <c r="G988" s="1" t="n">
        <f aca="false">SUBTOTAL(9,G119)</f>
        <v>1</v>
      </c>
      <c r="H988" s="1" t="n">
        <f aca="false">SUBTOTAL(9,H119)</f>
        <v>3</v>
      </c>
      <c r="I988" s="8" t="n">
        <f aca="false">SUBTOTAL(9,I119)</f>
        <v>504471</v>
      </c>
      <c r="J988" s="1" t="n">
        <f aca="false">SUBTOTAL(9,J119)</f>
        <v>2</v>
      </c>
      <c r="L988" s="1" t="n">
        <f aca="false">SUBTOTAL(9,L119)</f>
        <v>4</v>
      </c>
      <c r="M988" s="1" t="n">
        <f aca="false">SUBTOTAL(9,M119)</f>
        <v>1</v>
      </c>
      <c r="N988" s="1" t="n">
        <f aca="false">SUBTOTAL(9,N119)</f>
        <v>0</v>
      </c>
      <c r="O988" s="1" t="n">
        <f aca="false">SUBTOTAL(9,O119)</f>
        <v>2</v>
      </c>
      <c r="P988" s="1" t="n">
        <f aca="false">SUBTOTAL(9,P119)</f>
        <v>3</v>
      </c>
      <c r="Q988" s="1" t="n">
        <f aca="false">SUBTOTAL(9,Q119)</f>
        <v>0</v>
      </c>
      <c r="R988" s="1" t="n">
        <f aca="false">SUBTOTAL(9,R119)</f>
        <v>0</v>
      </c>
      <c r="S988" s="1" t="n">
        <f aca="false">SUBTOTAL(9,S119)</f>
        <v>0</v>
      </c>
      <c r="T988" s="1" t="n">
        <f aca="false">SUBTOTAL(9,T119)</f>
        <v>0</v>
      </c>
      <c r="U988" s="1" t="n">
        <f aca="false">SUBTOTAL(9,U119)</f>
        <v>0</v>
      </c>
      <c r="V988" s="1" t="n">
        <f aca="false">SUBTOTAL(9,V119)</f>
        <v>1</v>
      </c>
      <c r="W988" s="1" t="n">
        <f aca="false">SUBTOTAL(9,W119)</f>
        <v>1</v>
      </c>
      <c r="X988" s="1" t="n">
        <f aca="false">SUBTOTAL(9,X119)</f>
        <v>1</v>
      </c>
      <c r="Y988" s="1" t="n">
        <f aca="false">SUBTOTAL(9,Y119)</f>
        <v>1</v>
      </c>
      <c r="Z988" s="20" t="n">
        <f aca="false">SUBTOTAL(9,Z119)</f>
        <v>0</v>
      </c>
      <c r="AA988" s="20" t="n">
        <f aca="false">SUBTOTAL(9,AA119)</f>
        <v>0</v>
      </c>
      <c r="AB988" s="20" t="n">
        <f aca="false">SUBTOTAL(9,AB119)</f>
        <v>0</v>
      </c>
      <c r="AC988" s="20" t="n">
        <f aca="false">SUBTOTAL(9,AC119)</f>
        <v>0</v>
      </c>
      <c r="AD988" s="20" t="n">
        <f aca="false">SUBTOTAL(9,AD119)</f>
        <v>0</v>
      </c>
      <c r="AE988" s="20" t="n">
        <f aca="false">SUBTOTAL(9,AE119)</f>
        <v>1.4</v>
      </c>
      <c r="AF988" s="20" t="n">
        <f aca="false">SUBTOTAL(9,AF119)</f>
        <v>1.4</v>
      </c>
      <c r="AH988" s="22" t="n">
        <f aca="false">SUBTOTAL(9,AH119)</f>
        <v>0</v>
      </c>
      <c r="AI988" s="22" t="n">
        <f aca="false">SUBTOTAL(9,AI119)</f>
        <v>0</v>
      </c>
      <c r="AJ988" s="22" t="n">
        <f aca="false">SUBTOTAL(9,AJ119)</f>
        <v>0</v>
      </c>
      <c r="AK988" s="22" t="n">
        <f aca="false">SUBTOTAL(9,AK119)</f>
        <v>0</v>
      </c>
      <c r="AL988" s="22" t="n">
        <f aca="false">SUBTOTAL(9,AL119)</f>
        <v>0</v>
      </c>
      <c r="AM988" s="22" t="n">
        <f aca="false">SUBTOTAL(9,AM119)</f>
        <v>1.68</v>
      </c>
      <c r="AN988" s="22" t="n">
        <f aca="false">SUBTOTAL(9,AN119)</f>
        <v>1.68</v>
      </c>
    </row>
    <row r="989" customFormat="false" ht="13.8" hidden="false" customHeight="false" outlineLevel="0" collapsed="false">
      <c r="A989" s="1" t="s">
        <v>1171</v>
      </c>
      <c r="C989" s="1" t="s">
        <v>200</v>
      </c>
      <c r="E989" s="1" t="s">
        <v>199</v>
      </c>
      <c r="F989" s="1" t="n">
        <f aca="false">SUBTOTAL(9,F120)</f>
        <v>6</v>
      </c>
      <c r="G989" s="1" t="n">
        <f aca="false">SUBTOTAL(9,G120)</f>
        <v>1</v>
      </c>
      <c r="H989" s="1" t="n">
        <f aca="false">SUBTOTAL(9,H120)</f>
        <v>10</v>
      </c>
      <c r="I989" s="8" t="n">
        <f aca="false">SUBTOTAL(9,I120)</f>
        <v>3612323</v>
      </c>
      <c r="J989" s="1" t="n">
        <f aca="false">SUBTOTAL(9,J120)</f>
        <v>2</v>
      </c>
      <c r="L989" s="1" t="n">
        <f aca="false">SUBTOTAL(9,L120)</f>
        <v>4</v>
      </c>
      <c r="M989" s="1" t="n">
        <f aca="false">SUBTOTAL(9,M120)</f>
        <v>1</v>
      </c>
      <c r="N989" s="1" t="n">
        <f aca="false">SUBTOTAL(9,N120)</f>
        <v>0</v>
      </c>
      <c r="O989" s="1" t="n">
        <f aca="false">SUBTOTAL(9,O120)</f>
        <v>3</v>
      </c>
      <c r="P989" s="1" t="n">
        <f aca="false">SUBTOTAL(9,P120)</f>
        <v>4</v>
      </c>
      <c r="Q989" s="1" t="n">
        <f aca="false">SUBTOTAL(9,Q120)</f>
        <v>0</v>
      </c>
      <c r="R989" s="1" t="n">
        <f aca="false">SUBTOTAL(9,R120)</f>
        <v>0</v>
      </c>
      <c r="S989" s="1" t="n">
        <f aca="false">SUBTOTAL(9,S120)</f>
        <v>0</v>
      </c>
      <c r="T989" s="1" t="n">
        <f aca="false">SUBTOTAL(9,T120)</f>
        <v>0</v>
      </c>
      <c r="U989" s="1" t="n">
        <f aca="false">SUBTOTAL(9,U120)</f>
        <v>3</v>
      </c>
      <c r="V989" s="1" t="n">
        <f aca="false">SUBTOTAL(9,V120)</f>
        <v>90</v>
      </c>
      <c r="W989" s="1" t="n">
        <f aca="false">SUBTOTAL(9,W120)</f>
        <v>93</v>
      </c>
      <c r="X989" s="1" t="n">
        <f aca="false">SUBTOTAL(9,X120)</f>
        <v>1</v>
      </c>
      <c r="Y989" s="1" t="n">
        <f aca="false">SUBTOTAL(9,Y120)</f>
        <v>4</v>
      </c>
      <c r="Z989" s="20" t="n">
        <f aca="false">SUBTOTAL(9,Z120)</f>
        <v>0</v>
      </c>
      <c r="AA989" s="20" t="n">
        <f aca="false">SUBTOTAL(9,AA120)</f>
        <v>0</v>
      </c>
      <c r="AB989" s="20" t="n">
        <f aca="false">SUBTOTAL(9,AB120)</f>
        <v>0</v>
      </c>
      <c r="AC989" s="20" t="n">
        <f aca="false">SUBTOTAL(9,AC120)</f>
        <v>0</v>
      </c>
      <c r="AD989" s="20" t="n">
        <f aca="false">SUBTOTAL(9,AD120)</f>
        <v>4.2</v>
      </c>
      <c r="AE989" s="20" t="n">
        <f aca="false">SUBTOTAL(9,AE120)</f>
        <v>126</v>
      </c>
      <c r="AF989" s="20" t="n">
        <f aca="false">SUBTOTAL(9,AF120)</f>
        <v>130.2</v>
      </c>
      <c r="AH989" s="22" t="n">
        <f aca="false">SUBTOTAL(9,AH120)</f>
        <v>0</v>
      </c>
      <c r="AI989" s="22" t="n">
        <f aca="false">SUBTOTAL(9,AI120)</f>
        <v>0</v>
      </c>
      <c r="AJ989" s="22" t="n">
        <f aca="false">SUBTOTAL(9,AJ120)</f>
        <v>0</v>
      </c>
      <c r="AK989" s="22" t="n">
        <f aca="false">SUBTOTAL(9,AK120)</f>
        <v>0</v>
      </c>
      <c r="AL989" s="22" t="n">
        <f aca="false">SUBTOTAL(9,AL120)</f>
        <v>5.04</v>
      </c>
      <c r="AM989" s="22" t="n">
        <f aca="false">SUBTOTAL(9,AM120)</f>
        <v>151.2</v>
      </c>
      <c r="AN989" s="22" t="n">
        <f aca="false">SUBTOTAL(9,AN120)</f>
        <v>156.24</v>
      </c>
    </row>
    <row r="990" customFormat="false" ht="13.8" hidden="false" customHeight="false" outlineLevel="0" collapsed="false">
      <c r="A990" s="1" t="s">
        <v>1171</v>
      </c>
      <c r="C990" s="1" t="s">
        <v>202</v>
      </c>
      <c r="E990" s="1" t="s">
        <v>203</v>
      </c>
      <c r="F990" s="1" t="n">
        <f aca="false">SUBTOTAL(9,F121:F129)</f>
        <v>96</v>
      </c>
      <c r="G990" s="1" t="n">
        <f aca="false">SUBTOTAL(9,G121:G129)</f>
        <v>9</v>
      </c>
      <c r="H990" s="1" t="n">
        <f aca="false">SUBTOTAL(9,H121:H129)</f>
        <v>66</v>
      </c>
      <c r="I990" s="8" t="n">
        <f aca="false">SUBTOTAL(9,I121:I129)</f>
        <v>15048248</v>
      </c>
      <c r="J990" s="1" t="n">
        <f aca="false">SUBTOTAL(9,J121:J129)</f>
        <v>30</v>
      </c>
      <c r="L990" s="1" t="n">
        <f aca="false">SUBTOTAL(9,L121:L129)</f>
        <v>36</v>
      </c>
      <c r="M990" s="1" t="n">
        <f aca="false">SUBTOTAL(9,M121:M129)</f>
        <v>9</v>
      </c>
      <c r="N990" s="1" t="n">
        <f aca="false">SUBTOTAL(9,N121:N129)</f>
        <v>0</v>
      </c>
      <c r="O990" s="1" t="n">
        <f aca="false">SUBTOTAL(9,O121:O129)</f>
        <v>16</v>
      </c>
      <c r="P990" s="1" t="n">
        <f aca="false">SUBTOTAL(9,P121:P129)</f>
        <v>25</v>
      </c>
      <c r="Q990" s="1" t="n">
        <f aca="false">SUBTOTAL(9,Q121:Q129)</f>
        <v>2</v>
      </c>
      <c r="R990" s="1" t="n">
        <f aca="false">SUBTOTAL(9,R121:R129)</f>
        <v>0</v>
      </c>
      <c r="S990" s="1" t="n">
        <f aca="false">SUBTOTAL(9,S121:S129)</f>
        <v>0</v>
      </c>
      <c r="T990" s="1" t="n">
        <f aca="false">SUBTOTAL(9,T121:T129)</f>
        <v>1</v>
      </c>
      <c r="U990" s="1" t="n">
        <f aca="false">SUBTOTAL(9,U121:U129)</f>
        <v>26</v>
      </c>
      <c r="V990" s="1" t="n">
        <f aca="false">SUBTOTAL(9,V121:V129)</f>
        <v>3</v>
      </c>
      <c r="W990" s="1" t="n">
        <f aca="false">SUBTOTAL(9,W121:W129)</f>
        <v>32</v>
      </c>
      <c r="X990" s="1" t="n">
        <f aca="false">SUBTOTAL(9,X121:X129)</f>
        <v>13</v>
      </c>
      <c r="Y990" s="1" t="n">
        <f aca="false">SUBTOTAL(9,Y121:Y129)</f>
        <v>0</v>
      </c>
      <c r="Z990" s="20" t="n">
        <f aca="false">SUBTOTAL(9,Z121:Z129)</f>
        <v>3.6</v>
      </c>
      <c r="AA990" s="20" t="n">
        <f aca="false">SUBTOTAL(9,AA121:AA129)</f>
        <v>0</v>
      </c>
      <c r="AB990" s="20" t="n">
        <f aca="false">SUBTOTAL(9,AB121:AB129)</f>
        <v>0</v>
      </c>
      <c r="AC990" s="20" t="n">
        <f aca="false">SUBTOTAL(9,AC121:AC129)</f>
        <v>1.6</v>
      </c>
      <c r="AD990" s="20" t="n">
        <f aca="false">SUBTOTAL(9,AD121:AD129)</f>
        <v>44.2</v>
      </c>
      <c r="AE990" s="20" t="n">
        <f aca="false">SUBTOTAL(9,AE121:AE129)</f>
        <v>4.8</v>
      </c>
      <c r="AF990" s="20" t="n">
        <f aca="false">SUBTOTAL(9,AF121:AF129)</f>
        <v>54.2</v>
      </c>
      <c r="AH990" s="22" t="n">
        <f aca="false">SUBTOTAL(9,AH121:AH129)</f>
        <v>4.32</v>
      </c>
      <c r="AI990" s="22" t="n">
        <f aca="false">SUBTOTAL(9,AI121:AI129)</f>
        <v>0</v>
      </c>
      <c r="AJ990" s="22" t="n">
        <f aca="false">SUBTOTAL(9,AJ121:AJ129)</f>
        <v>0</v>
      </c>
      <c r="AK990" s="22" t="n">
        <f aca="false">SUBTOTAL(9,AK121:AK129)</f>
        <v>1.92</v>
      </c>
      <c r="AL990" s="22" t="n">
        <f aca="false">SUBTOTAL(9,AL121:AL129)</f>
        <v>48.88</v>
      </c>
      <c r="AM990" s="22" t="n">
        <f aca="false">SUBTOTAL(9,AM121:AM129)</f>
        <v>4.8</v>
      </c>
      <c r="AN990" s="22" t="n">
        <f aca="false">SUBTOTAL(9,AN121:AN129)</f>
        <v>59.92</v>
      </c>
    </row>
    <row r="991" customFormat="false" ht="13.8" hidden="false" customHeight="false" outlineLevel="0" collapsed="false">
      <c r="A991" s="1" t="s">
        <v>1171</v>
      </c>
      <c r="C991" s="1" t="s">
        <v>213</v>
      </c>
      <c r="E991" s="1" t="s">
        <v>214</v>
      </c>
      <c r="F991" s="1" t="n">
        <f aca="false">SUBTOTAL(9,F130:F136)</f>
        <v>39</v>
      </c>
      <c r="G991" s="1" t="n">
        <f aca="false">SUBTOTAL(9,G130:G136)</f>
        <v>7</v>
      </c>
      <c r="H991" s="1" t="n">
        <f aca="false">SUBTOTAL(9,H130:H136)</f>
        <v>29</v>
      </c>
      <c r="I991" s="8" t="n">
        <f aca="false">SUBTOTAL(9,I130:I136)</f>
        <v>3754827</v>
      </c>
      <c r="J991" s="1" t="n">
        <f aca="false">SUBTOTAL(9,J130:J136)</f>
        <v>17</v>
      </c>
      <c r="L991" s="1" t="n">
        <f aca="false">SUBTOTAL(9,L130:L136)</f>
        <v>18</v>
      </c>
      <c r="M991" s="1" t="n">
        <f aca="false">SUBTOTAL(9,M130:M136)</f>
        <v>2</v>
      </c>
      <c r="N991" s="1" t="n">
        <f aca="false">SUBTOTAL(9,N130:N136)</f>
        <v>4</v>
      </c>
      <c r="O991" s="1" t="n">
        <f aca="false">SUBTOTAL(9,O130:O136)</f>
        <v>8</v>
      </c>
      <c r="P991" s="1" t="n">
        <f aca="false">SUBTOTAL(9,P130:P136)</f>
        <v>14</v>
      </c>
      <c r="Q991" s="1" t="n">
        <f aca="false">SUBTOTAL(9,Q130:Q136)</f>
        <v>0</v>
      </c>
      <c r="R991" s="1" t="n">
        <f aca="false">SUBTOTAL(9,R130:R136)</f>
        <v>10</v>
      </c>
      <c r="S991" s="1" t="n">
        <f aca="false">SUBTOTAL(9,S130:S136)</f>
        <v>0</v>
      </c>
      <c r="T991" s="1" t="n">
        <f aca="false">SUBTOTAL(9,T130:T136)</f>
        <v>0</v>
      </c>
      <c r="U991" s="1" t="n">
        <f aca="false">SUBTOTAL(9,U130:U136)</f>
        <v>0</v>
      </c>
      <c r="V991" s="1" t="n">
        <f aca="false">SUBTOTAL(9,V130:V136)</f>
        <v>0</v>
      </c>
      <c r="W991" s="1" t="n">
        <f aca="false">SUBTOTAL(9,W130:W136)</f>
        <v>10</v>
      </c>
      <c r="X991" s="1" t="n">
        <f aca="false">SUBTOTAL(9,X130:X136)</f>
        <v>8</v>
      </c>
      <c r="Y991" s="1" t="n">
        <f aca="false">SUBTOTAL(9,Y130:Y136)</f>
        <v>19</v>
      </c>
      <c r="Z991" s="20" t="n">
        <f aca="false">SUBTOTAL(9,Z130:Z136)</f>
        <v>0</v>
      </c>
      <c r="AA991" s="20" t="n">
        <f aca="false">SUBTOTAL(9,AA130:AA136)</f>
        <v>12</v>
      </c>
      <c r="AB991" s="20" t="n">
        <f aca="false">SUBTOTAL(9,AB130:AB136)</f>
        <v>0</v>
      </c>
      <c r="AC991" s="20" t="n">
        <f aca="false">SUBTOTAL(9,AC130:AC136)</f>
        <v>0</v>
      </c>
      <c r="AD991" s="20" t="n">
        <f aca="false">SUBTOTAL(9,AD130:AD136)</f>
        <v>0</v>
      </c>
      <c r="AE991" s="20" t="n">
        <f aca="false">SUBTOTAL(9,AE130:AE136)</f>
        <v>0</v>
      </c>
      <c r="AF991" s="20" t="n">
        <f aca="false">SUBTOTAL(9,AF130:AF136)</f>
        <v>12</v>
      </c>
      <c r="AH991" s="22" t="n">
        <f aca="false">SUBTOTAL(9,AH130:AH136)</f>
        <v>0</v>
      </c>
      <c r="AI991" s="22" t="n">
        <f aca="false">SUBTOTAL(9,AI130:AI136)</f>
        <v>14.4</v>
      </c>
      <c r="AJ991" s="22" t="n">
        <f aca="false">SUBTOTAL(9,AJ130:AJ136)</f>
        <v>0</v>
      </c>
      <c r="AK991" s="22" t="n">
        <f aca="false">SUBTOTAL(9,AK130:AK136)</f>
        <v>0</v>
      </c>
      <c r="AL991" s="22" t="n">
        <f aca="false">SUBTOTAL(9,AL130:AL136)</f>
        <v>0</v>
      </c>
      <c r="AM991" s="22" t="n">
        <f aca="false">SUBTOTAL(9,AM130:AM136)</f>
        <v>0</v>
      </c>
      <c r="AN991" s="22" t="n">
        <f aca="false">SUBTOTAL(9,AN130:AN136)</f>
        <v>14.4</v>
      </c>
    </row>
    <row r="992" customFormat="false" ht="13.8" hidden="false" customHeight="false" outlineLevel="0" collapsed="false">
      <c r="A992" s="1" t="s">
        <v>1171</v>
      </c>
      <c r="C992" s="1" t="s">
        <v>222</v>
      </c>
      <c r="E992" s="1" t="s">
        <v>221</v>
      </c>
      <c r="F992" s="1" t="n">
        <f aca="false">SUBTOTAL(9,F137)</f>
        <v>6</v>
      </c>
      <c r="G992" s="1" t="n">
        <f aca="false">SUBTOTAL(9,G137)</f>
        <v>1</v>
      </c>
      <c r="H992" s="1" t="n">
        <f aca="false">SUBTOTAL(9,H137)</f>
        <v>4</v>
      </c>
      <c r="I992" s="8" t="n">
        <f aca="false">SUBTOTAL(9,I137)</f>
        <v>1257533</v>
      </c>
      <c r="J992" s="1" t="n">
        <f aca="false">SUBTOTAL(9,J137)</f>
        <v>2</v>
      </c>
      <c r="L992" s="1" t="n">
        <f aca="false">SUBTOTAL(9,L137)</f>
        <v>4</v>
      </c>
      <c r="M992" s="1" t="n">
        <f aca="false">SUBTOTAL(9,M137)</f>
        <v>1</v>
      </c>
      <c r="N992" s="1" t="n">
        <f aca="false">SUBTOTAL(9,N137)</f>
        <v>0</v>
      </c>
      <c r="O992" s="1" t="n">
        <f aca="false">SUBTOTAL(9,O137)</f>
        <v>3</v>
      </c>
      <c r="P992" s="1" t="n">
        <f aca="false">SUBTOTAL(9,P137)</f>
        <v>4</v>
      </c>
      <c r="Q992" s="1" t="n">
        <f aca="false">SUBTOTAL(9,Q137)</f>
        <v>0</v>
      </c>
      <c r="R992" s="1" t="n">
        <f aca="false">SUBTOTAL(9,R137)</f>
        <v>0</v>
      </c>
      <c r="S992" s="1" t="n">
        <f aca="false">SUBTOTAL(9,S137)</f>
        <v>0</v>
      </c>
      <c r="T992" s="1" t="n">
        <f aca="false">SUBTOTAL(9,T137)</f>
        <v>0</v>
      </c>
      <c r="U992" s="1" t="n">
        <f aca="false">SUBTOTAL(9,U137)</f>
        <v>0</v>
      </c>
      <c r="V992" s="1" t="n">
        <f aca="false">SUBTOTAL(9,V137)</f>
        <v>1</v>
      </c>
      <c r="W992" s="1" t="n">
        <f aca="false">SUBTOTAL(9,W137)</f>
        <v>1</v>
      </c>
      <c r="X992" s="1" t="n">
        <f aca="false">SUBTOTAL(9,X137)</f>
        <v>1</v>
      </c>
      <c r="Y992" s="1" t="n">
        <f aca="false">SUBTOTAL(9,Y137)</f>
        <v>2</v>
      </c>
      <c r="Z992" s="20" t="n">
        <f aca="false">SUBTOTAL(9,Z137)</f>
        <v>0</v>
      </c>
      <c r="AA992" s="20" t="n">
        <f aca="false">SUBTOTAL(9,AA137)</f>
        <v>0</v>
      </c>
      <c r="AB992" s="20" t="n">
        <f aca="false">SUBTOTAL(9,AB137)</f>
        <v>0</v>
      </c>
      <c r="AC992" s="20" t="n">
        <f aca="false">SUBTOTAL(9,AC137)</f>
        <v>0</v>
      </c>
      <c r="AD992" s="20" t="n">
        <f aca="false">SUBTOTAL(9,AD137)</f>
        <v>0</v>
      </c>
      <c r="AE992" s="20" t="n">
        <f aca="false">SUBTOTAL(9,AE137)</f>
        <v>1.4</v>
      </c>
      <c r="AF992" s="20" t="n">
        <f aca="false">SUBTOTAL(9,AF137)</f>
        <v>1.4</v>
      </c>
      <c r="AH992" s="22" t="n">
        <f aca="false">SUBTOTAL(9,AH137)</f>
        <v>0</v>
      </c>
      <c r="AI992" s="22" t="n">
        <f aca="false">SUBTOTAL(9,AI137)</f>
        <v>0</v>
      </c>
      <c r="AJ992" s="22" t="n">
        <f aca="false">SUBTOTAL(9,AJ137)</f>
        <v>0</v>
      </c>
      <c r="AK992" s="22" t="n">
        <f aca="false">SUBTOTAL(9,AK137)</f>
        <v>0</v>
      </c>
      <c r="AL992" s="22" t="n">
        <f aca="false">SUBTOTAL(9,AL137)</f>
        <v>0</v>
      </c>
      <c r="AM992" s="22" t="n">
        <f aca="false">SUBTOTAL(9,AM137)</f>
        <v>1.68</v>
      </c>
      <c r="AN992" s="22" t="n">
        <f aca="false">SUBTOTAL(9,AN137)</f>
        <v>1.68</v>
      </c>
    </row>
    <row r="993" customFormat="false" ht="13.8" hidden="false" customHeight="false" outlineLevel="0" collapsed="false">
      <c r="A993" s="1" t="s">
        <v>1171</v>
      </c>
      <c r="C993" s="1" t="s">
        <v>224</v>
      </c>
      <c r="E993" s="1" t="s">
        <v>225</v>
      </c>
      <c r="F993" s="13" t="n">
        <f aca="false">SUBTOTAL(9,F138:F160)</f>
        <v>86</v>
      </c>
      <c r="G993" s="1" t="n">
        <f aca="false">SUBTOTAL(9,G138:G160)</f>
        <v>23</v>
      </c>
      <c r="H993" s="13" t="n">
        <f aca="false">SUBTOTAL(9,H138:H160)</f>
        <v>261</v>
      </c>
      <c r="I993" s="8" t="n">
        <f aca="false">SUBTOTAL(9,I138:I160)</f>
        <v>10215521</v>
      </c>
      <c r="J993" s="1" t="n">
        <f aca="false">SUBTOTAL(9,J138:J160)</f>
        <v>32</v>
      </c>
      <c r="L993" s="1" t="n">
        <f aca="false">SUBTOTAL(9,L138:L160)</f>
        <v>43</v>
      </c>
      <c r="M993" s="1" t="n">
        <f aca="false">SUBTOTAL(9,M138:M160)</f>
        <v>5</v>
      </c>
      <c r="N993" s="1" t="n">
        <f aca="false">SUBTOTAL(9,N138:N160)</f>
        <v>1</v>
      </c>
      <c r="O993" s="1" t="n">
        <f aca="false">SUBTOTAL(9,O138:O160)</f>
        <v>13</v>
      </c>
      <c r="P993" s="1" t="n">
        <f aca="false">SUBTOTAL(9,P138:P160)</f>
        <v>19</v>
      </c>
      <c r="Q993" s="1" t="n">
        <f aca="false">SUBTOTAL(9,Q138:Q160)</f>
        <v>1</v>
      </c>
      <c r="R993" s="1" t="n">
        <f aca="false">SUBTOTAL(9,R138:R160)</f>
        <v>23</v>
      </c>
      <c r="S993" s="1" t="n">
        <f aca="false">SUBTOTAL(9,S138:S160)</f>
        <v>0</v>
      </c>
      <c r="T993" s="1" t="n">
        <f aca="false">SUBTOTAL(9,T138:T160)</f>
        <v>0</v>
      </c>
      <c r="U993" s="1" t="n">
        <f aca="false">SUBTOTAL(9,U138:U160)</f>
        <v>8</v>
      </c>
      <c r="V993" s="1" t="n">
        <f aca="false">SUBTOTAL(9,V138:V160)</f>
        <v>0</v>
      </c>
      <c r="W993" s="1" t="n">
        <f aca="false">SUBTOTAL(9,W138:W160)</f>
        <v>32</v>
      </c>
      <c r="X993" s="1" t="n">
        <f aca="false">SUBTOTAL(9,X138:X160)</f>
        <v>14</v>
      </c>
      <c r="Y993" s="1" t="n">
        <f aca="false">SUBTOTAL(9,Y138:Y160)</f>
        <v>20</v>
      </c>
      <c r="Z993" s="20" t="n">
        <f aca="false">SUBTOTAL(9,Z138:Z160)</f>
        <v>1.6</v>
      </c>
      <c r="AA993" s="20" t="n">
        <f aca="false">SUBTOTAL(9,AA138:AA160)</f>
        <v>32.4</v>
      </c>
      <c r="AB993" s="20" t="n">
        <f aca="false">SUBTOTAL(9,AB138:AB160)</f>
        <v>0</v>
      </c>
      <c r="AC993" s="20" t="n">
        <f aca="false">SUBTOTAL(9,AC138:AC160)</f>
        <v>0</v>
      </c>
      <c r="AD993" s="20" t="n">
        <f aca="false">SUBTOTAL(9,AD138:AD160)</f>
        <v>12.8</v>
      </c>
      <c r="AE993" s="20" t="n">
        <f aca="false">SUBTOTAL(9,AE138:AE160)</f>
        <v>0</v>
      </c>
      <c r="AF993" s="20" t="n">
        <f aca="false">SUBTOTAL(9,AF138:AF160)</f>
        <v>46.8</v>
      </c>
      <c r="AH993" s="22" t="n">
        <f aca="false">SUBTOTAL(9,AH138:AH160)</f>
        <v>1.92</v>
      </c>
      <c r="AI993" s="22" t="n">
        <f aca="false">SUBTOTAL(9,AI138:AI160)</f>
        <v>37.2</v>
      </c>
      <c r="AJ993" s="22" t="n">
        <f aca="false">SUBTOTAL(9,AJ138:AJ160)</f>
        <v>0</v>
      </c>
      <c r="AK993" s="22" t="n">
        <f aca="false">SUBTOTAL(9,AK138:AK160)</f>
        <v>0</v>
      </c>
      <c r="AL993" s="22" t="n">
        <f aca="false">SUBTOTAL(9,AL138:AL160)</f>
        <v>15.36</v>
      </c>
      <c r="AM993" s="22" t="n">
        <f aca="false">SUBTOTAL(9,AM138:AM160)</f>
        <v>0</v>
      </c>
      <c r="AN993" s="22" t="n">
        <f aca="false">SUBTOTAL(9,AN138:AN160)</f>
        <v>54.48</v>
      </c>
    </row>
    <row r="994" customFormat="false" ht="13.8" hidden="false" customHeight="false" outlineLevel="0" collapsed="false">
      <c r="A994" s="1" t="s">
        <v>1171</v>
      </c>
      <c r="C994" s="1" t="s">
        <v>249</v>
      </c>
      <c r="E994" s="1" t="s">
        <v>250</v>
      </c>
      <c r="F994" s="1" t="n">
        <f aca="false">SUBTOTAL(9,F161:F168)</f>
        <v>15</v>
      </c>
      <c r="G994" s="1" t="n">
        <f aca="false">SUBTOTAL(9,G161:G168)</f>
        <v>8</v>
      </c>
      <c r="H994" s="1" t="n">
        <f aca="false">SUBTOTAL(9,H161:H168)</f>
        <v>205</v>
      </c>
      <c r="I994" s="8" t="n">
        <f aca="false">SUBTOTAL(9,I161:I168)</f>
        <v>60837621</v>
      </c>
      <c r="J994" s="1" t="n">
        <f aca="false">SUBTOTAL(9,J161:J168)</f>
        <v>14</v>
      </c>
      <c r="L994" s="1" t="n">
        <f aca="false">SUBTOTAL(9,L161:L168)</f>
        <v>23</v>
      </c>
      <c r="M994" s="1" t="n">
        <f aca="false">SUBTOTAL(9,M161:M168)</f>
        <v>0</v>
      </c>
      <c r="N994" s="1" t="n">
        <f aca="false">SUBTOTAL(9,N161:N168)</f>
        <v>1</v>
      </c>
      <c r="O994" s="1" t="n">
        <f aca="false">SUBTOTAL(9,O161:O168)</f>
        <v>2</v>
      </c>
      <c r="P994" s="1" t="n">
        <f aca="false">SUBTOTAL(9,P161:P168)</f>
        <v>3</v>
      </c>
      <c r="Q994" s="1" t="n">
        <f aca="false">SUBTOTAL(9,Q161:Q168)</f>
        <v>27</v>
      </c>
      <c r="R994" s="1" t="n">
        <f aca="false">SUBTOTAL(9,R161:R168)</f>
        <v>28</v>
      </c>
      <c r="S994" s="1" t="n">
        <f aca="false">SUBTOTAL(9,S161:S168)</f>
        <v>407</v>
      </c>
      <c r="T994" s="1" t="n">
        <f aca="false">SUBTOTAL(9,T161:T168)</f>
        <v>0</v>
      </c>
      <c r="U994" s="1" t="n">
        <f aca="false">SUBTOTAL(9,U161:U168)</f>
        <v>0</v>
      </c>
      <c r="V994" s="1" t="n">
        <f aca="false">SUBTOTAL(9,V161:V168)</f>
        <v>0</v>
      </c>
      <c r="W994" s="1" t="n">
        <f aca="false">SUBTOTAL(9,W161:W168)</f>
        <v>462</v>
      </c>
      <c r="X994" s="1" t="n">
        <f aca="false">SUBTOTAL(9,X161:X168)</f>
        <v>8</v>
      </c>
      <c r="Y994" s="1" t="n">
        <f aca="false">SUBTOTAL(9,Y161:Y168)</f>
        <v>34</v>
      </c>
      <c r="Z994" s="20" t="n">
        <f aca="false">SUBTOTAL(9,Z161:Z168)</f>
        <v>38.8</v>
      </c>
      <c r="AA994" s="20" t="n">
        <f aca="false">SUBTOTAL(9,AA161:AA168)</f>
        <v>39.2</v>
      </c>
      <c r="AB994" s="20" t="n">
        <f aca="false">SUBTOTAL(9,AB161:AB168)</f>
        <v>582.8</v>
      </c>
      <c r="AC994" s="20" t="n">
        <f aca="false">SUBTOTAL(9,AC161:AC168)</f>
        <v>0</v>
      </c>
      <c r="AD994" s="20" t="n">
        <f aca="false">SUBTOTAL(9,AD161:AD168)</f>
        <v>0</v>
      </c>
      <c r="AE994" s="20" t="n">
        <f aca="false">SUBTOTAL(9,AE161:AE168)</f>
        <v>0</v>
      </c>
      <c r="AF994" s="20" t="n">
        <f aca="false">SUBTOTAL(9,AF161:AF168)</f>
        <v>660.8</v>
      </c>
      <c r="AH994" s="22" t="n">
        <f aca="false">SUBTOTAL(9,AH161:AH168)</f>
        <v>46.56</v>
      </c>
      <c r="AI994" s="22" t="n">
        <f aca="false">SUBTOTAL(9,AI161:AI168)</f>
        <v>47.04</v>
      </c>
      <c r="AJ994" s="22" t="n">
        <f aca="false">SUBTOTAL(9,AJ161:AJ168)</f>
        <v>699.36</v>
      </c>
      <c r="AK994" s="22" t="n">
        <f aca="false">SUBTOTAL(9,AK161:AK168)</f>
        <v>0</v>
      </c>
      <c r="AL994" s="22" t="n">
        <f aca="false">SUBTOTAL(9,AL161:AL168)</f>
        <v>0</v>
      </c>
      <c r="AM994" s="22" t="n">
        <f aca="false">SUBTOTAL(9,AM161:AM168)</f>
        <v>0</v>
      </c>
      <c r="AN994" s="22" t="n">
        <f aca="false">SUBTOTAL(9,AN161:AN168)</f>
        <v>792.96</v>
      </c>
    </row>
    <row r="995" customFormat="false" ht="13.8" hidden="false" customHeight="false" outlineLevel="0" collapsed="false">
      <c r="A995" s="1" t="s">
        <v>1171</v>
      </c>
      <c r="C995" s="1" t="s">
        <v>259</v>
      </c>
      <c r="E995" s="1" t="s">
        <v>258</v>
      </c>
      <c r="F995" s="13" t="n">
        <f aca="false">SUBTOTAL(9,F169:F171)</f>
        <v>20</v>
      </c>
      <c r="G995" s="13" t="n">
        <f aca="false">SUBTOTAL(9,G169:G171)</f>
        <v>3</v>
      </c>
      <c r="H995" s="13" t="n">
        <f aca="false">SUBTOTAL(9,H169:H171)</f>
        <v>13</v>
      </c>
      <c r="I995" s="16" t="n">
        <f aca="false">SUBTOTAL(9,I169:I171)</f>
        <v>2084092</v>
      </c>
      <c r="J995" s="13" t="n">
        <f aca="false">SUBTOTAL(9,J169:J171)</f>
        <v>5</v>
      </c>
      <c r="L995" s="13" t="n">
        <f aca="false">SUBTOTAL(9,L169:L171)</f>
        <v>7</v>
      </c>
      <c r="M995" s="1" t="n">
        <f aca="false">SUBTOTAL(9,M169:M171)</f>
        <v>1</v>
      </c>
      <c r="N995" s="1" t="n">
        <f aca="false">SUBTOTAL(9,N169:N171)</f>
        <v>0</v>
      </c>
      <c r="O995" s="13" t="n">
        <f aca="false">SUBTOTAL(9,O169:O171)</f>
        <v>5</v>
      </c>
      <c r="P995" s="13" t="n">
        <f aca="false">SUBTOTAL(9,P169:P171)</f>
        <v>6</v>
      </c>
      <c r="Q995" s="1" t="n">
        <f aca="false">SUBTOTAL(9,Q169:Q171)</f>
        <v>2</v>
      </c>
      <c r="R995" s="1" t="n">
        <f aca="false">SUBTOTAL(9,R169:R171)</f>
        <v>0</v>
      </c>
      <c r="S995" s="1" t="n">
        <f aca="false">SUBTOTAL(9,S169:S171)</f>
        <v>0</v>
      </c>
      <c r="T995" s="1" t="n">
        <f aca="false">SUBTOTAL(9,T169:T171)</f>
        <v>0</v>
      </c>
      <c r="U995" s="1" t="n">
        <f aca="false">SUBTOTAL(9,U169:U171)</f>
        <v>0</v>
      </c>
      <c r="V995" s="1" t="n">
        <f aca="false">SUBTOTAL(9,V169:V171)</f>
        <v>0</v>
      </c>
      <c r="W995" s="1" t="n">
        <f aca="false">SUBTOTAL(9,W169:W171)</f>
        <v>2</v>
      </c>
      <c r="X995" s="13" t="n">
        <f aca="false">SUBTOTAL(9,X169:X171)</f>
        <v>2</v>
      </c>
      <c r="Y995" s="1" t="n">
        <f aca="false">SUBTOTAL(9,Y169:Y171)</f>
        <v>5</v>
      </c>
      <c r="Z995" s="20" t="n">
        <f aca="false">SUBTOTAL(9,Z169:Z171)</f>
        <v>2.8</v>
      </c>
      <c r="AA995" s="20" t="n">
        <f aca="false">SUBTOTAL(9,AA169:AA171)</f>
        <v>0</v>
      </c>
      <c r="AB995" s="20" t="n">
        <f aca="false">SUBTOTAL(9,AB169:AB171)</f>
        <v>0</v>
      </c>
      <c r="AC995" s="20" t="n">
        <f aca="false">SUBTOTAL(9,AC169:AC171)</f>
        <v>0</v>
      </c>
      <c r="AD995" s="20" t="n">
        <f aca="false">SUBTOTAL(9,AD169:AD171)</f>
        <v>0</v>
      </c>
      <c r="AE995" s="20" t="n">
        <f aca="false">SUBTOTAL(9,AE169:AE171)</f>
        <v>0</v>
      </c>
      <c r="AF995" s="20" t="n">
        <f aca="false">SUBTOTAL(9,AF169:AF171)</f>
        <v>2.8</v>
      </c>
      <c r="AH995" s="22" t="n">
        <f aca="false">SUBTOTAL(9,AH169:AH171)</f>
        <v>3.36</v>
      </c>
      <c r="AI995" s="22" t="n">
        <f aca="false">SUBTOTAL(9,AI169:AI171)</f>
        <v>0</v>
      </c>
      <c r="AJ995" s="22" t="n">
        <f aca="false">SUBTOTAL(9,AJ169:AJ171)</f>
        <v>0</v>
      </c>
      <c r="AK995" s="22" t="n">
        <f aca="false">SUBTOTAL(9,AK169:AK171)</f>
        <v>0</v>
      </c>
      <c r="AL995" s="22" t="n">
        <f aca="false">SUBTOTAL(9,AL169:AL171)</f>
        <v>0</v>
      </c>
      <c r="AM995" s="22" t="n">
        <f aca="false">SUBTOTAL(9,AM169:AM171)</f>
        <v>0</v>
      </c>
      <c r="AN995" s="22" t="n">
        <f aca="false">SUBTOTAL(9,AN169:AN171)</f>
        <v>3.36</v>
      </c>
    </row>
    <row r="996" customFormat="false" ht="13.8" hidden="false" customHeight="false" outlineLevel="0" collapsed="false">
      <c r="A996" s="1" t="s">
        <v>1171</v>
      </c>
      <c r="C996" s="1" t="s">
        <v>264</v>
      </c>
      <c r="E996" s="1" t="s">
        <v>263</v>
      </c>
      <c r="F996" s="1" t="n">
        <f aca="false">SUBTOTAL(9,F172)</f>
        <v>3</v>
      </c>
      <c r="G996" s="1" t="n">
        <f aca="false">SUBTOTAL(9,G172)</f>
        <v>1</v>
      </c>
      <c r="H996" s="1" t="n">
        <f aca="false">SUBTOTAL(9,H172)</f>
        <v>2</v>
      </c>
      <c r="I996" s="8" t="n">
        <f aca="false">SUBTOTAL(9,I172)</f>
        <v>1439366</v>
      </c>
      <c r="J996" s="1" t="n">
        <f aca="false">SUBTOTAL(9,J172)</f>
        <v>2</v>
      </c>
      <c r="L996" s="1" t="n">
        <f aca="false">SUBTOTAL(9,L172)</f>
        <v>4</v>
      </c>
      <c r="M996" s="1" t="n">
        <f aca="false">SUBTOTAL(9,M172)</f>
        <v>1</v>
      </c>
      <c r="N996" s="1" t="n">
        <f aca="false">SUBTOTAL(9,N172)</f>
        <v>0</v>
      </c>
      <c r="O996" s="1" t="n">
        <f aca="false">SUBTOTAL(9,O172)</f>
        <v>2</v>
      </c>
      <c r="P996" s="1" t="n">
        <f aca="false">SUBTOTAL(9,P172)</f>
        <v>3</v>
      </c>
      <c r="Q996" s="1" t="n">
        <f aca="false">SUBTOTAL(9,Q172)</f>
        <v>0</v>
      </c>
      <c r="R996" s="1" t="n">
        <f aca="false">SUBTOTAL(9,R172)</f>
        <v>0</v>
      </c>
      <c r="S996" s="1" t="n">
        <f aca="false">SUBTOTAL(9,S172)</f>
        <v>0</v>
      </c>
      <c r="T996" s="1" t="n">
        <f aca="false">SUBTOTAL(9,T172)</f>
        <v>0</v>
      </c>
      <c r="U996" s="1" t="n">
        <f aca="false">SUBTOTAL(9,U172)</f>
        <v>0</v>
      </c>
      <c r="V996" s="1" t="n">
        <f aca="false">SUBTOTAL(9,V172)</f>
        <v>1</v>
      </c>
      <c r="W996" s="1" t="n">
        <f aca="false">SUBTOTAL(9,W172)</f>
        <v>1</v>
      </c>
      <c r="X996" s="1" t="n">
        <f aca="false">SUBTOTAL(9,X172)</f>
        <v>1</v>
      </c>
      <c r="Y996" s="1" t="n">
        <f aca="false">SUBTOTAL(9,Y172)</f>
        <v>1</v>
      </c>
      <c r="Z996" s="20" t="n">
        <f aca="false">SUBTOTAL(9,Z172)</f>
        <v>0</v>
      </c>
      <c r="AA996" s="20" t="n">
        <f aca="false">SUBTOTAL(9,AA172)</f>
        <v>0</v>
      </c>
      <c r="AB996" s="20" t="n">
        <f aca="false">SUBTOTAL(9,AB172)</f>
        <v>0</v>
      </c>
      <c r="AC996" s="20" t="n">
        <f aca="false">SUBTOTAL(9,AC172)</f>
        <v>0</v>
      </c>
      <c r="AD996" s="20" t="n">
        <f aca="false">SUBTOTAL(9,AD172)</f>
        <v>0</v>
      </c>
      <c r="AE996" s="20" t="n">
        <f aca="false">SUBTOTAL(9,AE172)</f>
        <v>1.4</v>
      </c>
      <c r="AF996" s="20" t="n">
        <f aca="false">SUBTOTAL(9,AF172)</f>
        <v>1.4</v>
      </c>
      <c r="AH996" s="22" t="n">
        <f aca="false">SUBTOTAL(9,AH172)</f>
        <v>0</v>
      </c>
      <c r="AI996" s="22" t="n">
        <f aca="false">SUBTOTAL(9,AI172)</f>
        <v>0</v>
      </c>
      <c r="AJ996" s="22" t="n">
        <f aca="false">SUBTOTAL(9,AJ172)</f>
        <v>0</v>
      </c>
      <c r="AK996" s="22" t="n">
        <f aca="false">SUBTOTAL(9,AK172)</f>
        <v>0</v>
      </c>
      <c r="AL996" s="22" t="n">
        <f aca="false">SUBTOTAL(9,AL172)</f>
        <v>0</v>
      </c>
      <c r="AM996" s="22" t="n">
        <f aca="false">SUBTOTAL(9,AM172)</f>
        <v>1.68</v>
      </c>
      <c r="AN996" s="22" t="n">
        <f aca="false">SUBTOTAL(9,AN172)</f>
        <v>1.68</v>
      </c>
    </row>
    <row r="997" customFormat="false" ht="13.8" hidden="false" customHeight="false" outlineLevel="0" collapsed="false">
      <c r="A997" s="1" t="s">
        <v>1171</v>
      </c>
      <c r="C997" s="1" t="s">
        <v>266</v>
      </c>
      <c r="E997" s="1" t="s">
        <v>267</v>
      </c>
      <c r="F997" s="1" t="n">
        <f aca="false">SUBTOTAL(9,F173:F177)</f>
        <v>11</v>
      </c>
      <c r="G997" s="1" t="n">
        <f aca="false">SUBTOTAL(9,G173:G177)</f>
        <v>5</v>
      </c>
      <c r="H997" s="1" t="n">
        <f aca="false">SUBTOTAL(9,H173:H177)</f>
        <v>24</v>
      </c>
      <c r="I997" s="8" t="n">
        <f aca="false">SUBTOTAL(9,I173:I177)</f>
        <v>1108412</v>
      </c>
      <c r="J997" s="1" t="n">
        <f aca="false">SUBTOTAL(9,J173:J177)</f>
        <v>13</v>
      </c>
      <c r="L997" s="1" t="n">
        <f aca="false">SUBTOTAL(9,L173:L177)</f>
        <v>13</v>
      </c>
      <c r="M997" s="1" t="n">
        <f aca="false">SUBTOTAL(9,M173:M177)</f>
        <v>2</v>
      </c>
      <c r="N997" s="1" t="n">
        <f aca="false">SUBTOTAL(9,N173:N177)</f>
        <v>0</v>
      </c>
      <c r="O997" s="1" t="n">
        <f aca="false">SUBTOTAL(9,O173:O177)</f>
        <v>4</v>
      </c>
      <c r="P997" s="1" t="n">
        <f aca="false">SUBTOTAL(9,P173:P177)</f>
        <v>6</v>
      </c>
      <c r="Q997" s="1" t="n">
        <f aca="false">SUBTOTAL(9,Q173:Q177)</f>
        <v>0</v>
      </c>
      <c r="R997" s="1" t="n">
        <f aca="false">SUBTOTAL(9,R173:R177)</f>
        <v>0</v>
      </c>
      <c r="S997" s="1" t="n">
        <f aca="false">SUBTOTAL(9,S173:S177)</f>
        <v>0</v>
      </c>
      <c r="T997" s="1" t="n">
        <f aca="false">SUBTOTAL(9,T173:T177)</f>
        <v>0</v>
      </c>
      <c r="U997" s="1" t="n">
        <f aca="false">SUBTOTAL(9,U173:U177)</f>
        <v>2</v>
      </c>
      <c r="V997" s="1" t="n">
        <f aca="false">SUBTOTAL(9,V173:V177)</f>
        <v>0</v>
      </c>
      <c r="W997" s="1" t="n">
        <f aca="false">SUBTOTAL(9,W173:W177)</f>
        <v>2</v>
      </c>
      <c r="X997" s="1" t="n">
        <f aca="false">SUBTOTAL(9,X173:X177)</f>
        <v>2</v>
      </c>
      <c r="Y997" s="1" t="n">
        <f aca="false">SUBTOTAL(9,Y173:Y177)</f>
        <v>4</v>
      </c>
      <c r="Z997" s="20" t="n">
        <f aca="false">SUBTOTAL(9,Z173:Z177)</f>
        <v>0</v>
      </c>
      <c r="AA997" s="20" t="n">
        <f aca="false">SUBTOTAL(9,AA173:AA177)</f>
        <v>0</v>
      </c>
      <c r="AB997" s="20" t="n">
        <f aca="false">SUBTOTAL(9,AB173:AB177)</f>
        <v>0</v>
      </c>
      <c r="AC997" s="20" t="n">
        <f aca="false">SUBTOTAL(9,AC173:AC177)</f>
        <v>0</v>
      </c>
      <c r="AD997" s="20" t="n">
        <f aca="false">SUBTOTAL(9,AD173:AD177)</f>
        <v>3.2</v>
      </c>
      <c r="AE997" s="20" t="n">
        <f aca="false">SUBTOTAL(9,AE173:AE177)</f>
        <v>0</v>
      </c>
      <c r="AF997" s="20" t="n">
        <f aca="false">SUBTOTAL(9,AF173:AF177)</f>
        <v>3.2</v>
      </c>
      <c r="AH997" s="22" t="n">
        <f aca="false">SUBTOTAL(9,AH173:AH177)</f>
        <v>0</v>
      </c>
      <c r="AI997" s="22" t="n">
        <f aca="false">SUBTOTAL(9,AI173:AI177)</f>
        <v>0</v>
      </c>
      <c r="AJ997" s="22" t="n">
        <f aca="false">SUBTOTAL(9,AJ173:AJ177)</f>
        <v>0</v>
      </c>
      <c r="AK997" s="22" t="n">
        <f aca="false">SUBTOTAL(9,AK173:AK177)</f>
        <v>0</v>
      </c>
      <c r="AL997" s="22" t="n">
        <f aca="false">SUBTOTAL(9,AL173:AL177)</f>
        <v>3.2</v>
      </c>
      <c r="AM997" s="22" t="n">
        <f aca="false">SUBTOTAL(9,AM173:AM177)</f>
        <v>0</v>
      </c>
      <c r="AN997" s="22" t="n">
        <f aca="false">SUBTOTAL(9,AN173:AN177)</f>
        <v>3.2</v>
      </c>
    </row>
    <row r="998" customFormat="false" ht="13.8" hidden="false" customHeight="false" outlineLevel="0" collapsed="false">
      <c r="A998" s="1" t="s">
        <v>1171</v>
      </c>
      <c r="C998" s="1" t="s">
        <v>273</v>
      </c>
      <c r="E998" s="1" t="s">
        <v>274</v>
      </c>
      <c r="F998" s="1" t="n">
        <f aca="false">SUBTOTAL(9,F178:F187)</f>
        <v>32</v>
      </c>
      <c r="G998" s="1" t="n">
        <f aca="false">SUBTOTAL(9,G178:G187)</f>
        <v>10</v>
      </c>
      <c r="H998" s="1" t="n">
        <f aca="false">SUBTOTAL(9,H178:H187)</f>
        <v>34</v>
      </c>
      <c r="I998" s="8" t="n">
        <f aca="false">SUBTOTAL(9,I178:I187)</f>
        <v>9912085</v>
      </c>
      <c r="J998" s="1" t="n">
        <f aca="false">SUBTOTAL(9,J178:J187)</f>
        <v>2</v>
      </c>
      <c r="L998" s="1" t="n">
        <f aca="false">SUBTOTAL(9,L178:L187)</f>
        <v>15</v>
      </c>
      <c r="M998" s="1" t="n">
        <f aca="false">SUBTOTAL(9,M178:M187)</f>
        <v>2</v>
      </c>
      <c r="N998" s="1" t="n">
        <f aca="false">SUBTOTAL(9,N178:N187)</f>
        <v>0</v>
      </c>
      <c r="O998" s="1" t="n">
        <f aca="false">SUBTOTAL(9,O178:O187)</f>
        <v>2</v>
      </c>
      <c r="P998" s="1" t="n">
        <f aca="false">SUBTOTAL(9,P178:P187)</f>
        <v>4</v>
      </c>
      <c r="Q998" s="1" t="n">
        <f aca="false">SUBTOTAL(9,Q178:Q187)</f>
        <v>0</v>
      </c>
      <c r="R998" s="1" t="n">
        <f aca="false">SUBTOTAL(9,R178:R187)</f>
        <v>0</v>
      </c>
      <c r="S998" s="1" t="n">
        <f aca="false">SUBTOTAL(9,S178:S187)</f>
        <v>5</v>
      </c>
      <c r="T998" s="1" t="n">
        <f aca="false">SUBTOTAL(9,T178:T187)</f>
        <v>0</v>
      </c>
      <c r="U998" s="1" t="n">
        <f aca="false">SUBTOTAL(9,U178:U187)</f>
        <v>0</v>
      </c>
      <c r="V998" s="1" t="n">
        <f aca="false">SUBTOTAL(9,V178:V187)</f>
        <v>0</v>
      </c>
      <c r="W998" s="1" t="n">
        <f aca="false">SUBTOTAL(9,W178:W187)</f>
        <v>5</v>
      </c>
      <c r="X998" s="1" t="n">
        <f aca="false">SUBTOTAL(9,X178:X187)</f>
        <v>2</v>
      </c>
      <c r="Y998" s="1" t="n">
        <f aca="false">SUBTOTAL(9,Y178:Y187)</f>
        <v>0</v>
      </c>
      <c r="Z998" s="20" t="n">
        <f aca="false">SUBTOTAL(9,Z178:Z187)</f>
        <v>0</v>
      </c>
      <c r="AA998" s="20" t="n">
        <f aca="false">SUBTOTAL(9,AA178:AA187)</f>
        <v>0</v>
      </c>
      <c r="AB998" s="20" t="n">
        <f aca="false">SUBTOTAL(9,AB178:AB187)</f>
        <v>5</v>
      </c>
      <c r="AC998" s="20" t="n">
        <f aca="false">SUBTOTAL(9,AC178:AC187)</f>
        <v>0</v>
      </c>
      <c r="AD998" s="20" t="n">
        <f aca="false">SUBTOTAL(9,AD178:AD187)</f>
        <v>0</v>
      </c>
      <c r="AE998" s="20" t="n">
        <f aca="false">SUBTOTAL(9,AE178:AE187)</f>
        <v>0</v>
      </c>
      <c r="AF998" s="20" t="n">
        <f aca="false">SUBTOTAL(9,AF178:AF187)</f>
        <v>5</v>
      </c>
      <c r="AH998" s="22" t="n">
        <f aca="false">SUBTOTAL(9,AH178:AH187)</f>
        <v>0</v>
      </c>
      <c r="AI998" s="22" t="n">
        <f aca="false">SUBTOTAL(9,AI178:AI187)</f>
        <v>0</v>
      </c>
      <c r="AJ998" s="22" t="n">
        <f aca="false">SUBTOTAL(9,AJ178:AJ187)</f>
        <v>5</v>
      </c>
      <c r="AK998" s="22" t="n">
        <f aca="false">SUBTOTAL(9,AK178:AK187)</f>
        <v>0</v>
      </c>
      <c r="AL998" s="22" t="n">
        <f aca="false">SUBTOTAL(9,AL178:AL187)</f>
        <v>0</v>
      </c>
      <c r="AM998" s="22" t="n">
        <f aca="false">SUBTOTAL(9,AM178:AM187)</f>
        <v>0</v>
      </c>
      <c r="AN998" s="22" t="n">
        <f aca="false">SUBTOTAL(9,AN178:AN187)</f>
        <v>5</v>
      </c>
    </row>
    <row r="999" customFormat="false" ht="13.8" hidden="false" customHeight="false" outlineLevel="0" collapsed="false">
      <c r="A999" s="1" t="s">
        <v>1171</v>
      </c>
      <c r="C999" s="1" t="s">
        <v>285</v>
      </c>
      <c r="E999" s="1" t="s">
        <v>286</v>
      </c>
      <c r="F999" s="1" t="n">
        <f aca="false">SUBTOTAL(9,F188:F200)</f>
        <v>59</v>
      </c>
      <c r="G999" s="1" t="n">
        <f aca="false">SUBTOTAL(9,G188:G200)</f>
        <v>13</v>
      </c>
      <c r="H999" s="1" t="n">
        <f aca="false">SUBTOTAL(9,H188:H200)</f>
        <v>173</v>
      </c>
      <c r="I999" s="8" t="n">
        <f aca="false">SUBTOTAL(9,I188:I200)</f>
        <v>3811668</v>
      </c>
      <c r="J999" s="1" t="n">
        <f aca="false">SUBTOTAL(9,J188:J200)</f>
        <v>19</v>
      </c>
      <c r="L999" s="1" t="n">
        <f aca="false">SUBTOTAL(9,L188:L200)</f>
        <v>30</v>
      </c>
      <c r="M999" s="1" t="n">
        <f aca="false">SUBTOTAL(9,M188:M200)</f>
        <v>3</v>
      </c>
      <c r="N999" s="1" t="n">
        <f aca="false">SUBTOTAL(9,N188:N200)</f>
        <v>1</v>
      </c>
      <c r="O999" s="1" t="n">
        <f aca="false">SUBTOTAL(9,O188:O200)</f>
        <v>7</v>
      </c>
      <c r="P999" s="1" t="n">
        <f aca="false">SUBTOTAL(9,P188:P200)</f>
        <v>11</v>
      </c>
      <c r="Q999" s="1" t="n">
        <f aca="false">SUBTOTAL(9,Q188:Q200)</f>
        <v>0</v>
      </c>
      <c r="R999" s="1" t="n">
        <f aca="false">SUBTOTAL(9,R188:R200)</f>
        <v>0</v>
      </c>
      <c r="S999" s="1" t="n">
        <f aca="false">SUBTOTAL(9,S188:S200)</f>
        <v>0</v>
      </c>
      <c r="T999" s="1" t="n">
        <f aca="false">SUBTOTAL(9,T188:T200)</f>
        <v>0</v>
      </c>
      <c r="U999" s="1" t="n">
        <f aca="false">SUBTOTAL(9,U188:U200)</f>
        <v>10</v>
      </c>
      <c r="V999" s="1" t="n">
        <f aca="false">SUBTOTAL(9,V188:V200)</f>
        <v>2</v>
      </c>
      <c r="W999" s="1" t="n">
        <f aca="false">SUBTOTAL(9,W188:W200)</f>
        <v>12</v>
      </c>
      <c r="X999" s="1" t="n">
        <f aca="false">SUBTOTAL(9,X188:X200)</f>
        <v>5</v>
      </c>
      <c r="Y999" s="1" t="n">
        <f aca="false">SUBTOTAL(9,Y188:Y200)</f>
        <v>11</v>
      </c>
      <c r="Z999" s="20" t="n">
        <f aca="false">SUBTOTAL(9,Z188:Z200)</f>
        <v>0</v>
      </c>
      <c r="AA999" s="20" t="n">
        <f aca="false">SUBTOTAL(9,AA188:AA200)</f>
        <v>0</v>
      </c>
      <c r="AB999" s="20" t="n">
        <f aca="false">SUBTOTAL(9,AB188:AB200)</f>
        <v>0</v>
      </c>
      <c r="AC999" s="20" t="n">
        <f aca="false">SUBTOTAL(9,AC188:AC200)</f>
        <v>0</v>
      </c>
      <c r="AD999" s="20" t="n">
        <f aca="false">SUBTOTAL(9,AD188:AD200)</f>
        <v>12</v>
      </c>
      <c r="AE999" s="20" t="n">
        <f aca="false">SUBTOTAL(9,AE188:AE200)</f>
        <v>2.4</v>
      </c>
      <c r="AF999" s="20" t="n">
        <f aca="false">SUBTOTAL(9,AF188:AF200)</f>
        <v>14.4</v>
      </c>
      <c r="AH999" s="22" t="n">
        <f aca="false">SUBTOTAL(9,AH188:AH200)</f>
        <v>0</v>
      </c>
      <c r="AI999" s="22" t="n">
        <f aca="false">SUBTOTAL(9,AI188:AI200)</f>
        <v>0</v>
      </c>
      <c r="AJ999" s="22" t="n">
        <f aca="false">SUBTOTAL(9,AJ188:AJ200)</f>
        <v>0</v>
      </c>
      <c r="AK999" s="22" t="n">
        <f aca="false">SUBTOTAL(9,AK188:AK200)</f>
        <v>0</v>
      </c>
      <c r="AL999" s="22" t="n">
        <f aca="false">SUBTOTAL(9,AL188:AL200)</f>
        <v>12.72</v>
      </c>
      <c r="AM999" s="22" t="n">
        <f aca="false">SUBTOTAL(9,AM188:AM200)</f>
        <v>2.4</v>
      </c>
      <c r="AN999" s="22" t="n">
        <f aca="false">SUBTOTAL(9,AN188:AN200)</f>
        <v>15.12</v>
      </c>
    </row>
    <row r="1000" customFormat="false" ht="13.8" hidden="false" customHeight="false" outlineLevel="0" collapsed="false">
      <c r="A1000" s="1" t="s">
        <v>1171</v>
      </c>
      <c r="C1000" s="1" t="s">
        <v>301</v>
      </c>
      <c r="E1000" s="1" t="s">
        <v>302</v>
      </c>
      <c r="F1000" s="1" t="n">
        <f aca="false">SUBTOTAL(9,F201:F275)</f>
        <v>369</v>
      </c>
      <c r="G1000" s="1" t="n">
        <f aca="false">SUBTOTAL(9,G201:G275)</f>
        <v>75</v>
      </c>
      <c r="H1000" s="1" t="n">
        <f aca="false">SUBTOTAL(9,H201:H275)</f>
        <v>647</v>
      </c>
      <c r="I1000" s="8" t="n">
        <f aca="false">SUBTOTAL(9,I201:I275)</f>
        <v>112013131</v>
      </c>
      <c r="J1000" s="13" t="n">
        <f aca="false">SUBTOTAL(9,J201:J275)</f>
        <v>162</v>
      </c>
      <c r="L1000" s="1" t="n">
        <f aca="false">SUBTOTAL(9,L201:L275)</f>
        <v>200</v>
      </c>
      <c r="M1000" s="1" t="n">
        <f aca="false">SUBTOTAL(9,M201:M275)</f>
        <v>8</v>
      </c>
      <c r="N1000" s="1" t="n">
        <f aca="false">SUBTOTAL(9,N201:N275)</f>
        <v>11</v>
      </c>
      <c r="O1000" s="1" t="n">
        <f aca="false">SUBTOTAL(9,O201:O275)</f>
        <v>35</v>
      </c>
      <c r="P1000" s="1" t="n">
        <f aca="false">SUBTOTAL(9,P201:P275)</f>
        <v>54</v>
      </c>
      <c r="Q1000" s="1" t="n">
        <f aca="false">SUBTOTAL(9,Q201:Q275)</f>
        <v>0</v>
      </c>
      <c r="R1000" s="1" t="n">
        <f aca="false">SUBTOTAL(9,R201:R275)</f>
        <v>209</v>
      </c>
      <c r="S1000" s="1" t="n">
        <f aca="false">SUBTOTAL(9,S201:S275)</f>
        <v>59</v>
      </c>
      <c r="T1000" s="1" t="n">
        <f aca="false">SUBTOTAL(9,T201:T275)</f>
        <v>27</v>
      </c>
      <c r="U1000" s="1" t="n">
        <f aca="false">SUBTOTAL(9,U201:U275)</f>
        <v>327</v>
      </c>
      <c r="V1000" s="1" t="n">
        <f aca="false">SUBTOTAL(9,V201:V275)</f>
        <v>108</v>
      </c>
      <c r="W1000" s="1" t="n">
        <f aca="false">SUBTOTAL(9,W201:W275)</f>
        <v>730</v>
      </c>
      <c r="X1000" s="1" t="n">
        <f aca="false">SUBTOTAL(9,X201:X275)</f>
        <v>108</v>
      </c>
      <c r="Y1000" s="1" t="n">
        <f aca="false">SUBTOTAL(9,Y201:Y275)</f>
        <v>113</v>
      </c>
      <c r="Z1000" s="20" t="n">
        <f aca="false">SUBTOTAL(9,Z201:Z275)</f>
        <v>0</v>
      </c>
      <c r="AA1000" s="20" t="n">
        <f aca="false">SUBTOTAL(9,AA201:AA275)</f>
        <v>340</v>
      </c>
      <c r="AB1000" s="20" t="n">
        <f aca="false">SUBTOTAL(9,AB201:AB275)</f>
        <v>82</v>
      </c>
      <c r="AC1000" s="20" t="n">
        <f aca="false">SUBTOTAL(9,AC201:AC275)</f>
        <v>37.8</v>
      </c>
      <c r="AD1000" s="20" t="n">
        <f aca="false">SUBTOTAL(9,AD201:AD275)</f>
        <v>532</v>
      </c>
      <c r="AE1000" s="20" t="n">
        <f aca="false">SUBTOTAL(9,AE201:AE275)</f>
        <v>151.2</v>
      </c>
      <c r="AF1000" s="20" t="n">
        <f aca="false">SUBTOTAL(9,AF201:AF275)</f>
        <v>1143</v>
      </c>
      <c r="AH1000" s="22" t="n">
        <f aca="false">SUBTOTAL(9,AH201:AH275)</f>
        <v>0</v>
      </c>
      <c r="AI1000" s="22" t="n">
        <f aca="false">SUBTOTAL(9,AI201:AI275)</f>
        <v>399.6</v>
      </c>
      <c r="AJ1000" s="22" t="n">
        <f aca="false">SUBTOTAL(9,AJ201:AJ275)</f>
        <v>97.68</v>
      </c>
      <c r="AK1000" s="22" t="n">
        <f aca="false">SUBTOTAL(9,AK201:AK275)</f>
        <v>45.36</v>
      </c>
      <c r="AL1000" s="22" t="n">
        <f aca="false">SUBTOTAL(9,AL201:AL275)</f>
        <v>623.84</v>
      </c>
      <c r="AM1000" s="22" t="n">
        <f aca="false">SUBTOTAL(9,AM201:AM275)</f>
        <v>181.44</v>
      </c>
      <c r="AN1000" s="22" t="n">
        <f aca="false">SUBTOTAL(9,AN201:AN275)</f>
        <v>1347.92</v>
      </c>
    </row>
    <row r="1001" customFormat="false" ht="13.8" hidden="false" customHeight="false" outlineLevel="0" collapsed="false">
      <c r="A1001" s="1" t="s">
        <v>1171</v>
      </c>
      <c r="C1001" s="1" t="s">
        <v>379</v>
      </c>
      <c r="E1001" s="1" t="s">
        <v>380</v>
      </c>
      <c r="F1001" s="1" t="n">
        <f aca="false">SUBTOTAL(9,F276:F298)</f>
        <v>289</v>
      </c>
      <c r="G1001" s="1" t="n">
        <f aca="false">SUBTOTAL(9,G276:G298)</f>
        <v>23</v>
      </c>
      <c r="H1001" s="1" t="n">
        <f aca="false">SUBTOTAL(9,H276:H298)</f>
        <v>236</v>
      </c>
      <c r="I1001" s="8" t="n">
        <f aca="false">SUBTOTAL(9,I276:I298)</f>
        <v>65546969</v>
      </c>
      <c r="J1001" s="1" t="n">
        <f aca="false">SUBTOTAL(9,J276:J298)</f>
        <v>79</v>
      </c>
      <c r="L1001" s="1" t="n">
        <f aca="false">SUBTOTAL(9,L276:L298)</f>
        <v>160</v>
      </c>
      <c r="M1001" s="1" t="n">
        <f aca="false">SUBTOTAL(9,M276:M298)</f>
        <v>28</v>
      </c>
      <c r="N1001" s="1" t="n">
        <f aca="false">SUBTOTAL(9,N276:N298)</f>
        <v>10</v>
      </c>
      <c r="O1001" s="1" t="n">
        <f aca="false">SUBTOTAL(9,O276:O298)</f>
        <v>34</v>
      </c>
      <c r="P1001" s="1" t="n">
        <f aca="false">SUBTOTAL(9,P276:P298)</f>
        <v>72</v>
      </c>
      <c r="Q1001" s="1" t="n">
        <f aca="false">SUBTOTAL(9,Q276:Q298)</f>
        <v>2</v>
      </c>
      <c r="R1001" s="1" t="n">
        <f aca="false">SUBTOTAL(9,R276:R298)</f>
        <v>81</v>
      </c>
      <c r="S1001" s="1" t="n">
        <f aca="false">SUBTOTAL(9,S276:S298)</f>
        <v>0</v>
      </c>
      <c r="T1001" s="1" t="n">
        <f aca="false">SUBTOTAL(9,T276:T298)</f>
        <v>3</v>
      </c>
      <c r="U1001" s="1" t="n">
        <f aca="false">SUBTOTAL(9,U276:U298)</f>
        <v>160</v>
      </c>
      <c r="V1001" s="1" t="n">
        <f aca="false">SUBTOTAL(9,V276:V298)</f>
        <v>3</v>
      </c>
      <c r="W1001" s="1" t="n">
        <f aca="false">SUBTOTAL(9,W276:W298)</f>
        <v>249</v>
      </c>
      <c r="X1001" s="1" t="n">
        <f aca="false">SUBTOTAL(9,X276:X298)</f>
        <v>47</v>
      </c>
      <c r="Y1001" s="1" t="n">
        <f aca="false">SUBTOTAL(9,Y276:Y298)</f>
        <v>33</v>
      </c>
      <c r="Z1001" s="20" t="n">
        <f aca="false">SUBTOTAL(9,Z276:Z298)</f>
        <v>3.6</v>
      </c>
      <c r="AA1001" s="20" t="n">
        <f aca="false">SUBTOTAL(9,AA276:AA298)</f>
        <v>137.2</v>
      </c>
      <c r="AB1001" s="20" t="n">
        <f aca="false">SUBTOTAL(9,AB276:AB298)</f>
        <v>0</v>
      </c>
      <c r="AC1001" s="20" t="n">
        <f aca="false">SUBTOTAL(9,AC276:AC298)</f>
        <v>4.8</v>
      </c>
      <c r="AD1001" s="20" t="n">
        <f aca="false">SUBTOTAL(9,AD276:AD298)</f>
        <v>281.2</v>
      </c>
      <c r="AE1001" s="20" t="n">
        <f aca="false">SUBTOTAL(9,AE276:AE298)</f>
        <v>4.8</v>
      </c>
      <c r="AF1001" s="20" t="n">
        <f aca="false">SUBTOTAL(9,AF276:AF298)</f>
        <v>431.6</v>
      </c>
      <c r="AH1001" s="22" t="n">
        <f aca="false">SUBTOTAL(9,AH276:AH298)</f>
        <v>4.32</v>
      </c>
      <c r="AI1001" s="22" t="n">
        <f aca="false">SUBTOTAL(9,AI276:AI298)</f>
        <v>159.84</v>
      </c>
      <c r="AJ1001" s="22" t="n">
        <f aca="false">SUBTOTAL(9,AJ276:AJ298)</f>
        <v>0</v>
      </c>
      <c r="AK1001" s="22" t="n">
        <f aca="false">SUBTOTAL(9,AK276:AK298)</f>
        <v>5.76</v>
      </c>
      <c r="AL1001" s="22" t="n">
        <f aca="false">SUBTOTAL(9,AL276:AL298)</f>
        <v>337.44</v>
      </c>
      <c r="AM1001" s="22" t="n">
        <f aca="false">SUBTOTAL(9,AM276:AM298)</f>
        <v>5.76</v>
      </c>
      <c r="AN1001" s="22" t="n">
        <f aca="false">SUBTOTAL(9,AN276:AN298)</f>
        <v>513.12</v>
      </c>
    </row>
    <row r="1002" customFormat="false" ht="13.8" hidden="false" customHeight="false" outlineLevel="0" collapsed="false">
      <c r="A1002" s="1" t="s">
        <v>1171</v>
      </c>
      <c r="C1002" s="1" t="s">
        <v>405</v>
      </c>
      <c r="E1002" s="1" t="s">
        <v>406</v>
      </c>
      <c r="F1002" s="1" t="n">
        <f aca="false">SUBTOTAL(9,F299:F303)</f>
        <v>19</v>
      </c>
      <c r="G1002" s="1" t="n">
        <f aca="false">SUBTOTAL(9,G299:G303)</f>
        <v>5</v>
      </c>
      <c r="H1002" s="1" t="n">
        <f aca="false">SUBTOTAL(9,H299:H303)</f>
        <v>72</v>
      </c>
      <c r="I1002" s="8" t="n">
        <f aca="false">SUBTOTAL(9,I299:I303)</f>
        <v>50181582</v>
      </c>
      <c r="J1002" s="1" t="n">
        <f aca="false">SUBTOTAL(9,J299:J303)</f>
        <v>9</v>
      </c>
      <c r="L1002" s="1" t="n">
        <f aca="false">SUBTOTAL(9,L299:L303)</f>
        <v>22</v>
      </c>
      <c r="M1002" s="1" t="n">
        <f aca="false">SUBTOTAL(9,M299:M303)</f>
        <v>3</v>
      </c>
      <c r="N1002" s="1" t="n">
        <f aca="false">SUBTOTAL(9,N299:N303)</f>
        <v>0</v>
      </c>
      <c r="O1002" s="1" t="n">
        <f aca="false">SUBTOTAL(9,O299:O303)</f>
        <v>6</v>
      </c>
      <c r="P1002" s="1" t="n">
        <f aca="false">SUBTOTAL(9,P299:P303)</f>
        <v>9</v>
      </c>
      <c r="Q1002" s="1" t="n">
        <f aca="false">SUBTOTAL(9,Q299:Q303)</f>
        <v>0</v>
      </c>
      <c r="R1002" s="1" t="n">
        <f aca="false">SUBTOTAL(9,R299:R303)</f>
        <v>0</v>
      </c>
      <c r="S1002" s="1" t="n">
        <f aca="false">SUBTOTAL(9,S299:S303)</f>
        <v>0</v>
      </c>
      <c r="T1002" s="1" t="n">
        <f aca="false">SUBTOTAL(9,T299:T303)</f>
        <v>49</v>
      </c>
      <c r="U1002" s="1" t="n">
        <f aca="false">SUBTOTAL(9,U299:U303)</f>
        <v>53</v>
      </c>
      <c r="V1002" s="1" t="n">
        <f aca="false">SUBTOTAL(9,V299:V303)</f>
        <v>12</v>
      </c>
      <c r="W1002" s="1" t="n">
        <f aca="false">SUBTOTAL(9,W299:W303)</f>
        <v>114</v>
      </c>
      <c r="X1002" s="1" t="n">
        <f aca="false">SUBTOTAL(9,X299:X303)</f>
        <v>6</v>
      </c>
      <c r="Y1002" s="1" t="n">
        <f aca="false">SUBTOTAL(9,Y299:Y303)</f>
        <v>8</v>
      </c>
      <c r="Z1002" s="20" t="n">
        <f aca="false">SUBTOTAL(9,Z299:Z303)</f>
        <v>0</v>
      </c>
      <c r="AA1002" s="20" t="n">
        <f aca="false">SUBTOTAL(9,AA299:AA303)</f>
        <v>0</v>
      </c>
      <c r="AB1002" s="20" t="n">
        <f aca="false">SUBTOTAL(9,AB299:AB303)</f>
        <v>0</v>
      </c>
      <c r="AC1002" s="20" t="n">
        <f aca="false">SUBTOTAL(9,AC299:AC303)</f>
        <v>68.6</v>
      </c>
      <c r="AD1002" s="20" t="n">
        <f aca="false">SUBTOTAL(9,AD299:AD303)</f>
        <v>74.2</v>
      </c>
      <c r="AE1002" s="20" t="n">
        <f aca="false">SUBTOTAL(9,AE299:AE303)</f>
        <v>16.8</v>
      </c>
      <c r="AF1002" s="20" t="n">
        <f aca="false">SUBTOTAL(9,AF299:AF303)</f>
        <v>159.6</v>
      </c>
      <c r="AH1002" s="22" t="n">
        <f aca="false">SUBTOTAL(9,AH299:AH303)</f>
        <v>0</v>
      </c>
      <c r="AI1002" s="22" t="n">
        <f aca="false">SUBTOTAL(9,AI299:AI303)</f>
        <v>0</v>
      </c>
      <c r="AJ1002" s="22" t="n">
        <f aca="false">SUBTOTAL(9,AJ299:AJ303)</f>
        <v>0</v>
      </c>
      <c r="AK1002" s="22" t="n">
        <f aca="false">SUBTOTAL(9,AK299:AK303)</f>
        <v>78.12</v>
      </c>
      <c r="AL1002" s="22" t="n">
        <f aca="false">SUBTOTAL(9,AL299:AL303)</f>
        <v>84.84</v>
      </c>
      <c r="AM1002" s="22" t="n">
        <f aca="false">SUBTOTAL(9,AM299:AM303)</f>
        <v>19.32</v>
      </c>
      <c r="AN1002" s="22" t="n">
        <f aca="false">SUBTOTAL(9,AN299:AN303)</f>
        <v>182.28</v>
      </c>
    </row>
    <row r="1003" customFormat="false" ht="13.8" hidden="false" customHeight="false" outlineLevel="0" collapsed="false">
      <c r="A1003" s="1" t="s">
        <v>1171</v>
      </c>
      <c r="C1003" s="1" t="s">
        <v>412</v>
      </c>
      <c r="E1003" s="1" t="s">
        <v>411</v>
      </c>
      <c r="F1003" s="1" t="n">
        <f aca="false">SUBTOTAL(9,F304)</f>
        <v>3</v>
      </c>
      <c r="G1003" s="1" t="n">
        <f aca="false">SUBTOTAL(9,G304)</f>
        <v>1</v>
      </c>
      <c r="H1003" s="1" t="n">
        <f aca="false">SUBTOTAL(9,H304)</f>
        <v>4</v>
      </c>
      <c r="I1003" s="8" t="n">
        <f aca="false">SUBTOTAL(9,I304)</f>
        <v>1773162</v>
      </c>
      <c r="J1003" s="1" t="n">
        <f aca="false">SUBTOTAL(9,J304)</f>
        <v>2</v>
      </c>
      <c r="L1003" s="1" t="n">
        <f aca="false">SUBTOTAL(9,L304)</f>
        <v>4</v>
      </c>
      <c r="M1003" s="1" t="n">
        <f aca="false">SUBTOTAL(9,M304)</f>
        <v>1</v>
      </c>
      <c r="N1003" s="1" t="n">
        <f aca="false">SUBTOTAL(9,N304)</f>
        <v>0</v>
      </c>
      <c r="O1003" s="1" t="n">
        <f aca="false">SUBTOTAL(9,O304)</f>
        <v>2</v>
      </c>
      <c r="P1003" s="1" t="n">
        <f aca="false">SUBTOTAL(9,P304)</f>
        <v>3</v>
      </c>
      <c r="Q1003" s="1" t="n">
        <f aca="false">SUBTOTAL(9,Q304)</f>
        <v>0</v>
      </c>
      <c r="R1003" s="1" t="n">
        <f aca="false">SUBTOTAL(9,R304)</f>
        <v>0</v>
      </c>
      <c r="S1003" s="1" t="n">
        <f aca="false">SUBTOTAL(9,S304)</f>
        <v>0</v>
      </c>
      <c r="T1003" s="1" t="n">
        <f aca="false">SUBTOTAL(9,T304)</f>
        <v>0</v>
      </c>
      <c r="U1003" s="1" t="n">
        <f aca="false">SUBTOTAL(9,U304)</f>
        <v>0</v>
      </c>
      <c r="V1003" s="1" t="n">
        <f aca="false">SUBTOTAL(9,V304)</f>
        <v>4</v>
      </c>
      <c r="W1003" s="1" t="n">
        <f aca="false">SUBTOTAL(9,W304)</f>
        <v>4</v>
      </c>
      <c r="X1003" s="1" t="n">
        <f aca="false">SUBTOTAL(9,X304)</f>
        <v>1</v>
      </c>
      <c r="Y1003" s="1" t="n">
        <f aca="false">SUBTOTAL(9,Y304)</f>
        <v>2</v>
      </c>
      <c r="Z1003" s="20" t="n">
        <f aca="false">SUBTOTAL(9,Z304)</f>
        <v>0</v>
      </c>
      <c r="AA1003" s="20" t="n">
        <f aca="false">SUBTOTAL(9,AA304)</f>
        <v>0</v>
      </c>
      <c r="AB1003" s="20" t="n">
        <f aca="false">SUBTOTAL(9,AB304)</f>
        <v>0</v>
      </c>
      <c r="AC1003" s="20" t="n">
        <f aca="false">SUBTOTAL(9,AC304)</f>
        <v>0</v>
      </c>
      <c r="AD1003" s="20" t="n">
        <f aca="false">SUBTOTAL(9,AD304)</f>
        <v>0</v>
      </c>
      <c r="AE1003" s="20" t="n">
        <f aca="false">SUBTOTAL(9,AE304)</f>
        <v>5.6</v>
      </c>
      <c r="AF1003" s="20" t="n">
        <f aca="false">SUBTOTAL(9,AF304)</f>
        <v>5.6</v>
      </c>
      <c r="AH1003" s="22" t="n">
        <f aca="false">SUBTOTAL(9,AH304)</f>
        <v>0</v>
      </c>
      <c r="AI1003" s="22" t="n">
        <f aca="false">SUBTOTAL(9,AI304)</f>
        <v>0</v>
      </c>
      <c r="AJ1003" s="22" t="n">
        <f aca="false">SUBTOTAL(9,AJ304)</f>
        <v>0</v>
      </c>
      <c r="AK1003" s="22" t="n">
        <f aca="false">SUBTOTAL(9,AK304)</f>
        <v>0</v>
      </c>
      <c r="AL1003" s="22" t="n">
        <f aca="false">SUBTOTAL(9,AL304)</f>
        <v>0</v>
      </c>
      <c r="AM1003" s="22" t="n">
        <f aca="false">SUBTOTAL(9,AM304)</f>
        <v>6.72</v>
      </c>
      <c r="AN1003" s="22" t="n">
        <f aca="false">SUBTOTAL(9,AN304)</f>
        <v>6.72</v>
      </c>
    </row>
    <row r="1004" customFormat="false" ht="13.8" hidden="false" customHeight="false" outlineLevel="0" collapsed="false">
      <c r="A1004" s="1" t="s">
        <v>1171</v>
      </c>
      <c r="C1004" s="1" t="s">
        <v>414</v>
      </c>
      <c r="E1004" s="1" t="s">
        <v>413</v>
      </c>
      <c r="F1004" s="1" t="n">
        <f aca="false">SUBTOTAL(9,F305)</f>
        <v>5</v>
      </c>
      <c r="G1004" s="1" t="n">
        <f aca="false">SUBTOTAL(9,G305)</f>
        <v>1</v>
      </c>
      <c r="H1004" s="1" t="n">
        <f aca="false">SUBTOTAL(9,H305)</f>
        <v>3</v>
      </c>
      <c r="I1004" s="8" t="n">
        <f aca="false">SUBTOTAL(9,I305)</f>
        <v>2382905</v>
      </c>
      <c r="J1004" s="1" t="n">
        <f aca="false">SUBTOTAL(9,J305)</f>
        <v>2</v>
      </c>
      <c r="L1004" s="1" t="n">
        <f aca="false">SUBTOTAL(9,L305)</f>
        <v>4</v>
      </c>
      <c r="M1004" s="1" t="n">
        <f aca="false">SUBTOTAL(9,M305)</f>
        <v>1</v>
      </c>
      <c r="N1004" s="1" t="n">
        <f aca="false">SUBTOTAL(9,N305)</f>
        <v>0</v>
      </c>
      <c r="O1004" s="1" t="n">
        <f aca="false">SUBTOTAL(9,O305)</f>
        <v>2</v>
      </c>
      <c r="P1004" s="1" t="n">
        <f aca="false">SUBTOTAL(9,P305)</f>
        <v>3</v>
      </c>
      <c r="Q1004" s="1" t="n">
        <f aca="false">SUBTOTAL(9,Q305)</f>
        <v>0</v>
      </c>
      <c r="R1004" s="1" t="n">
        <f aca="false">SUBTOTAL(9,R305)</f>
        <v>0</v>
      </c>
      <c r="S1004" s="1" t="n">
        <f aca="false">SUBTOTAL(9,S305)</f>
        <v>0</v>
      </c>
      <c r="T1004" s="1" t="n">
        <f aca="false">SUBTOTAL(9,T305)</f>
        <v>0</v>
      </c>
      <c r="U1004" s="1" t="n">
        <f aca="false">SUBTOTAL(9,U305)</f>
        <v>0</v>
      </c>
      <c r="V1004" s="1" t="n">
        <f aca="false">SUBTOTAL(9,V305)</f>
        <v>2</v>
      </c>
      <c r="W1004" s="1" t="n">
        <f aca="false">SUBTOTAL(9,W305)</f>
        <v>2</v>
      </c>
      <c r="X1004" s="1" t="n">
        <f aca="false">SUBTOTAL(9,X305)</f>
        <v>1</v>
      </c>
      <c r="Y1004" s="1" t="n">
        <f aca="false">SUBTOTAL(9,Y305)</f>
        <v>3</v>
      </c>
      <c r="Z1004" s="20" t="n">
        <f aca="false">SUBTOTAL(9,Z305)</f>
        <v>0</v>
      </c>
      <c r="AA1004" s="20" t="n">
        <f aca="false">SUBTOTAL(9,AA305)</f>
        <v>0</v>
      </c>
      <c r="AB1004" s="20" t="n">
        <f aca="false">SUBTOTAL(9,AB305)</f>
        <v>0</v>
      </c>
      <c r="AC1004" s="20" t="n">
        <f aca="false">SUBTOTAL(9,AC305)</f>
        <v>0</v>
      </c>
      <c r="AD1004" s="20" t="n">
        <f aca="false">SUBTOTAL(9,AD305)</f>
        <v>0</v>
      </c>
      <c r="AE1004" s="20" t="n">
        <f aca="false">SUBTOTAL(9,AE305)</f>
        <v>2.8</v>
      </c>
      <c r="AF1004" s="20" t="n">
        <f aca="false">SUBTOTAL(9,AF305)</f>
        <v>2.8</v>
      </c>
      <c r="AH1004" s="22" t="n">
        <f aca="false">SUBTOTAL(9,AH305)</f>
        <v>0</v>
      </c>
      <c r="AI1004" s="22" t="n">
        <f aca="false">SUBTOTAL(9,AI305)</f>
        <v>0</v>
      </c>
      <c r="AJ1004" s="22" t="n">
        <f aca="false">SUBTOTAL(9,AJ305)</f>
        <v>0</v>
      </c>
      <c r="AK1004" s="22" t="n">
        <f aca="false">SUBTOTAL(9,AK305)</f>
        <v>0</v>
      </c>
      <c r="AL1004" s="22" t="n">
        <f aca="false">SUBTOTAL(9,AL305)</f>
        <v>0</v>
      </c>
      <c r="AM1004" s="22" t="n">
        <f aca="false">SUBTOTAL(9,AM305)</f>
        <v>3.36</v>
      </c>
      <c r="AN1004" s="22" t="n">
        <f aca="false">SUBTOTAL(9,AN305)</f>
        <v>3.36</v>
      </c>
    </row>
    <row r="1005" customFormat="false" ht="13.8" hidden="false" customHeight="false" outlineLevel="0" collapsed="false">
      <c r="A1005" s="1" t="s">
        <v>1171</v>
      </c>
      <c r="C1005" s="1" t="s">
        <v>416</v>
      </c>
      <c r="E1005" s="1" t="s">
        <v>415</v>
      </c>
      <c r="F1005" s="1" t="n">
        <f aca="false">SUBTOTAL(9,F306)</f>
        <v>3</v>
      </c>
      <c r="G1005" s="1" t="n">
        <f aca="false">SUBTOTAL(9,G306)</f>
        <v>1</v>
      </c>
      <c r="H1005" s="1" t="n">
        <f aca="false">SUBTOTAL(9,H306)</f>
        <v>3</v>
      </c>
      <c r="I1005" s="8" t="n">
        <f aca="false">SUBTOTAL(9,I306)</f>
        <v>860811</v>
      </c>
      <c r="J1005" s="1" t="n">
        <f aca="false">SUBTOTAL(9,J306)</f>
        <v>2</v>
      </c>
      <c r="L1005" s="1" t="n">
        <f aca="false">SUBTOTAL(9,L306)</f>
        <v>4</v>
      </c>
      <c r="M1005" s="1" t="n">
        <f aca="false">SUBTOTAL(9,M306)</f>
        <v>1</v>
      </c>
      <c r="N1005" s="1" t="n">
        <f aca="false">SUBTOTAL(9,N306)</f>
        <v>0</v>
      </c>
      <c r="O1005" s="1" t="n">
        <f aca="false">SUBTOTAL(9,O306)</f>
        <v>2</v>
      </c>
      <c r="P1005" s="1" t="n">
        <f aca="false">SUBTOTAL(9,P306)</f>
        <v>3</v>
      </c>
      <c r="Q1005" s="1" t="n">
        <f aca="false">SUBTOTAL(9,Q306)</f>
        <v>0</v>
      </c>
      <c r="R1005" s="1" t="n">
        <f aca="false">SUBTOTAL(9,R306)</f>
        <v>0</v>
      </c>
      <c r="S1005" s="1" t="n">
        <f aca="false">SUBTOTAL(9,S306)</f>
        <v>0</v>
      </c>
      <c r="T1005" s="1" t="n">
        <f aca="false">SUBTOTAL(9,T306)</f>
        <v>0</v>
      </c>
      <c r="U1005" s="1" t="n">
        <f aca="false">SUBTOTAL(9,U306)</f>
        <v>0</v>
      </c>
      <c r="V1005" s="1" t="n">
        <f aca="false">SUBTOTAL(9,V306)</f>
        <v>1</v>
      </c>
      <c r="W1005" s="1" t="n">
        <f aca="false">SUBTOTAL(9,W306)</f>
        <v>1</v>
      </c>
      <c r="X1005" s="1" t="n">
        <f aca="false">SUBTOTAL(9,X306)</f>
        <v>1</v>
      </c>
      <c r="Y1005" s="1" t="n">
        <f aca="false">SUBTOTAL(9,Y306)</f>
        <v>2</v>
      </c>
      <c r="Z1005" s="20" t="n">
        <f aca="false">SUBTOTAL(9,Z306)</f>
        <v>0</v>
      </c>
      <c r="AA1005" s="20" t="n">
        <f aca="false">SUBTOTAL(9,AA306)</f>
        <v>0</v>
      </c>
      <c r="AB1005" s="20" t="n">
        <f aca="false">SUBTOTAL(9,AB306)</f>
        <v>0</v>
      </c>
      <c r="AC1005" s="20" t="n">
        <f aca="false">SUBTOTAL(9,AC306)</f>
        <v>0</v>
      </c>
      <c r="AD1005" s="20" t="n">
        <f aca="false">SUBTOTAL(9,AD306)</f>
        <v>0</v>
      </c>
      <c r="AE1005" s="20" t="n">
        <f aca="false">SUBTOTAL(9,AE306)</f>
        <v>1.4</v>
      </c>
      <c r="AF1005" s="20" t="n">
        <f aca="false">SUBTOTAL(9,AF306)</f>
        <v>1.4</v>
      </c>
      <c r="AH1005" s="22" t="n">
        <f aca="false">SUBTOTAL(9,AH306)</f>
        <v>0</v>
      </c>
      <c r="AI1005" s="22" t="n">
        <f aca="false">SUBTOTAL(9,AI306)</f>
        <v>0</v>
      </c>
      <c r="AJ1005" s="22" t="n">
        <f aca="false">SUBTOTAL(9,AJ306)</f>
        <v>0</v>
      </c>
      <c r="AK1005" s="22" t="n">
        <f aca="false">SUBTOTAL(9,AK306)</f>
        <v>0</v>
      </c>
      <c r="AL1005" s="22" t="n">
        <f aca="false">SUBTOTAL(9,AL306)</f>
        <v>0</v>
      </c>
      <c r="AM1005" s="22" t="n">
        <f aca="false">SUBTOTAL(9,AM306)</f>
        <v>1.68</v>
      </c>
      <c r="AN1005" s="22" t="n">
        <f aca="false">SUBTOTAL(9,AN306)</f>
        <v>1.68</v>
      </c>
    </row>
    <row r="1006" customFormat="false" ht="13.8" hidden="false" customHeight="false" outlineLevel="0" collapsed="false">
      <c r="A1006" s="1" t="s">
        <v>1171</v>
      </c>
      <c r="C1006" s="1" t="s">
        <v>418</v>
      </c>
      <c r="E1006" s="1" t="s">
        <v>417</v>
      </c>
      <c r="F1006" s="1" t="n">
        <f aca="false">SUBTOTAL(9,F307)</f>
        <v>1</v>
      </c>
      <c r="G1006" s="1" t="n">
        <f aca="false">SUBTOTAL(9,G307)</f>
        <v>1</v>
      </c>
      <c r="H1006" s="1" t="n">
        <f aca="false">SUBTOTAL(9,H307)</f>
        <v>7</v>
      </c>
      <c r="I1006" s="8" t="n">
        <f aca="false">SUBTOTAL(9,I307)</f>
        <v>116011</v>
      </c>
      <c r="J1006" s="1" t="n">
        <f aca="false">SUBTOTAL(9,J307)</f>
        <v>1</v>
      </c>
      <c r="L1006" s="1" t="n">
        <f aca="false">SUBTOTAL(9,L307)</f>
        <v>2</v>
      </c>
      <c r="M1006" s="1" t="n">
        <f aca="false">SUBTOTAL(9,M307)</f>
        <v>0</v>
      </c>
      <c r="N1006" s="1" t="n">
        <f aca="false">SUBTOTAL(9,N307)</f>
        <v>1</v>
      </c>
      <c r="O1006" s="1" t="n">
        <f aca="false">SUBTOTAL(9,O307)</f>
        <v>1</v>
      </c>
      <c r="P1006" s="1" t="n">
        <f aca="false">SUBTOTAL(9,P307)</f>
        <v>2</v>
      </c>
      <c r="Q1006" s="1" t="n">
        <f aca="false">SUBTOTAL(9,Q307)</f>
        <v>0</v>
      </c>
      <c r="R1006" s="1" t="n">
        <f aca="false">SUBTOTAL(9,R307)</f>
        <v>0</v>
      </c>
      <c r="S1006" s="1" t="n">
        <f aca="false">SUBTOTAL(9,S307)</f>
        <v>0</v>
      </c>
      <c r="T1006" s="1" t="n">
        <f aca="false">SUBTOTAL(9,T307)</f>
        <v>0</v>
      </c>
      <c r="U1006" s="1" t="n">
        <f aca="false">SUBTOTAL(9,U307)</f>
        <v>0</v>
      </c>
      <c r="V1006" s="1" t="n">
        <f aca="false">SUBTOTAL(9,V307)</f>
        <v>0</v>
      </c>
      <c r="W1006" s="1" t="n">
        <f aca="false">SUBTOTAL(9,W307)</f>
        <v>0</v>
      </c>
      <c r="X1006" s="1" t="n">
        <f aca="false">SUBTOTAL(9,X307)</f>
        <v>0</v>
      </c>
      <c r="Y1006" s="1" t="n">
        <f aca="false">SUBTOTAL(9,Y307)</f>
        <v>1</v>
      </c>
      <c r="Z1006" s="20" t="n">
        <f aca="false">SUBTOTAL(9,Z307)</f>
        <v>0</v>
      </c>
      <c r="AA1006" s="20" t="n">
        <f aca="false">SUBTOTAL(9,AA307)</f>
        <v>0</v>
      </c>
      <c r="AB1006" s="20" t="n">
        <f aca="false">SUBTOTAL(9,AB307)</f>
        <v>0</v>
      </c>
      <c r="AC1006" s="20" t="n">
        <f aca="false">SUBTOTAL(9,AC307)</f>
        <v>0</v>
      </c>
      <c r="AD1006" s="20" t="n">
        <f aca="false">SUBTOTAL(9,AD307)</f>
        <v>0</v>
      </c>
      <c r="AE1006" s="20" t="n">
        <f aca="false">SUBTOTAL(9,AE307)</f>
        <v>0</v>
      </c>
      <c r="AF1006" s="20" t="n">
        <f aca="false">SUBTOTAL(9,AF307)</f>
        <v>0</v>
      </c>
      <c r="AH1006" s="22" t="n">
        <f aca="false">SUBTOTAL(9,AH307)</f>
        <v>0</v>
      </c>
      <c r="AI1006" s="22" t="n">
        <f aca="false">SUBTOTAL(9,AI307)</f>
        <v>0</v>
      </c>
      <c r="AJ1006" s="22" t="n">
        <f aca="false">SUBTOTAL(9,AJ307)</f>
        <v>0</v>
      </c>
      <c r="AK1006" s="22" t="n">
        <f aca="false">SUBTOTAL(9,AK307)</f>
        <v>0</v>
      </c>
      <c r="AL1006" s="22" t="n">
        <f aca="false">SUBTOTAL(9,AL307)</f>
        <v>0</v>
      </c>
      <c r="AM1006" s="22" t="n">
        <f aca="false">SUBTOTAL(9,AM307)</f>
        <v>0</v>
      </c>
      <c r="AN1006" s="22" t="n">
        <f aca="false">SUBTOTAL(9,AN307)</f>
        <v>0</v>
      </c>
    </row>
    <row r="1007" customFormat="false" ht="13.8" hidden="false" customHeight="false" outlineLevel="0" collapsed="false">
      <c r="A1007" s="1" t="s">
        <v>1171</v>
      </c>
      <c r="C1007" s="1" t="s">
        <v>420</v>
      </c>
      <c r="E1007" s="1" t="s">
        <v>421</v>
      </c>
      <c r="F1007" s="1" t="n">
        <f aca="false">SUBTOTAL(9,F308:F319)</f>
        <v>51</v>
      </c>
      <c r="G1007" s="1" t="n">
        <f aca="false">SUBTOTAL(9,G308:G319)</f>
        <v>12</v>
      </c>
      <c r="H1007" s="1" t="n">
        <f aca="false">SUBTOTAL(9,H308:H319)</f>
        <v>89</v>
      </c>
      <c r="I1007" s="8" t="n">
        <f aca="false">SUBTOTAL(9,I308:I319)</f>
        <v>12605368</v>
      </c>
      <c r="J1007" s="1" t="n">
        <f aca="false">SUBTOTAL(9,J308:J319)</f>
        <v>20</v>
      </c>
      <c r="L1007" s="1" t="n">
        <f aca="false">SUBTOTAL(9,L308:L319)</f>
        <v>22</v>
      </c>
      <c r="M1007" s="1" t="n">
        <f aca="false">SUBTOTAL(9,M308:M319)</f>
        <v>1</v>
      </c>
      <c r="N1007" s="1" t="n">
        <f aca="false">SUBTOTAL(9,N308:N319)</f>
        <v>0</v>
      </c>
      <c r="O1007" s="1" t="n">
        <f aca="false">SUBTOTAL(9,O308:O319)</f>
        <v>4</v>
      </c>
      <c r="P1007" s="1" t="n">
        <f aca="false">SUBTOTAL(9,P308:P319)</f>
        <v>5</v>
      </c>
      <c r="Q1007" s="1" t="n">
        <f aca="false">SUBTOTAL(9,Q308:Q319)</f>
        <v>50</v>
      </c>
      <c r="R1007" s="1" t="n">
        <f aca="false">SUBTOTAL(9,R308:R319)</f>
        <v>0</v>
      </c>
      <c r="S1007" s="1" t="n">
        <f aca="false">SUBTOTAL(9,S308:S319)</f>
        <v>0</v>
      </c>
      <c r="T1007" s="1" t="n">
        <f aca="false">SUBTOTAL(9,T308:T319)</f>
        <v>0</v>
      </c>
      <c r="U1007" s="1" t="n">
        <f aca="false">SUBTOTAL(9,U308:U319)</f>
        <v>0</v>
      </c>
      <c r="V1007" s="1" t="n">
        <f aca="false">SUBTOTAL(9,V308:V319)</f>
        <v>0</v>
      </c>
      <c r="W1007" s="1" t="n">
        <f aca="false">SUBTOTAL(9,W308:W319)</f>
        <v>50</v>
      </c>
      <c r="X1007" s="1" t="n">
        <f aca="false">SUBTOTAL(9,X308:X319)</f>
        <v>3</v>
      </c>
      <c r="Y1007" s="1" t="n">
        <f aca="false">SUBTOTAL(9,Y308:Y319)</f>
        <v>7</v>
      </c>
      <c r="Z1007" s="20" t="n">
        <f aca="false">SUBTOTAL(9,Z308:Z319)</f>
        <v>71.2</v>
      </c>
      <c r="AA1007" s="20" t="n">
        <f aca="false">SUBTOTAL(9,AA308:AA319)</f>
        <v>0</v>
      </c>
      <c r="AB1007" s="20" t="n">
        <f aca="false">SUBTOTAL(9,AB308:AB319)</f>
        <v>0</v>
      </c>
      <c r="AC1007" s="20" t="n">
        <f aca="false">SUBTOTAL(9,AC308:AC319)</f>
        <v>0</v>
      </c>
      <c r="AD1007" s="20" t="n">
        <f aca="false">SUBTOTAL(9,AD308:AD319)</f>
        <v>0</v>
      </c>
      <c r="AE1007" s="20" t="n">
        <f aca="false">SUBTOTAL(9,AE308:AE319)</f>
        <v>0</v>
      </c>
      <c r="AF1007" s="20" t="n">
        <f aca="false">SUBTOTAL(9,AF308:AF319)</f>
        <v>71.2</v>
      </c>
      <c r="AH1007" s="22" t="n">
        <f aca="false">SUBTOTAL(9,AH308:AH319)</f>
        <v>82.56</v>
      </c>
      <c r="AI1007" s="22" t="n">
        <f aca="false">SUBTOTAL(9,AI308:AI319)</f>
        <v>0</v>
      </c>
      <c r="AJ1007" s="22" t="n">
        <f aca="false">SUBTOTAL(9,AJ308:AJ319)</f>
        <v>0</v>
      </c>
      <c r="AK1007" s="22" t="n">
        <f aca="false">SUBTOTAL(9,AK308:AK319)</f>
        <v>0</v>
      </c>
      <c r="AL1007" s="22" t="n">
        <f aca="false">SUBTOTAL(9,AL308:AL319)</f>
        <v>0</v>
      </c>
      <c r="AM1007" s="22" t="n">
        <f aca="false">SUBTOTAL(9,AM308:AM319)</f>
        <v>0</v>
      </c>
      <c r="AN1007" s="22" t="n">
        <f aca="false">SUBTOTAL(9,AN308:AN319)</f>
        <v>82.56</v>
      </c>
    </row>
    <row r="1008" customFormat="false" ht="13.8" hidden="false" customHeight="false" outlineLevel="0" collapsed="false">
      <c r="A1008" s="1" t="s">
        <v>1171</v>
      </c>
      <c r="C1008" s="1" t="s">
        <v>434</v>
      </c>
      <c r="E1008" s="1" t="s">
        <v>435</v>
      </c>
      <c r="F1008" s="1" t="n">
        <f aca="false">SUBTOTAL(9,F320:F322)</f>
        <v>29</v>
      </c>
      <c r="G1008" s="1" t="n">
        <f aca="false">SUBTOTAL(9,G320:G322)</f>
        <v>3</v>
      </c>
      <c r="H1008" s="1" t="n">
        <f aca="false">SUBTOTAL(9,H320:H322)</f>
        <v>29</v>
      </c>
      <c r="I1008" s="8" t="n">
        <f aca="false">SUBTOTAL(9,I320:I322)</f>
        <v>3353087</v>
      </c>
      <c r="J1008" s="1" t="n">
        <f aca="false">SUBTOTAL(9,J320:J322)</f>
        <v>6</v>
      </c>
      <c r="L1008" s="1" t="n">
        <f aca="false">SUBTOTAL(9,L320:L322)</f>
        <v>8</v>
      </c>
      <c r="M1008" s="1" t="n">
        <f aca="false">SUBTOTAL(9,M320:M322)</f>
        <v>1</v>
      </c>
      <c r="N1008" s="1" t="n">
        <f aca="false">SUBTOTAL(9,N320:N322)</f>
        <v>0</v>
      </c>
      <c r="O1008" s="1" t="n">
        <f aca="false">SUBTOTAL(9,O320:O322)</f>
        <v>2</v>
      </c>
      <c r="P1008" s="1" t="n">
        <f aca="false">SUBTOTAL(9,P320:P322)</f>
        <v>3</v>
      </c>
      <c r="Q1008" s="1" t="n">
        <f aca="false">SUBTOTAL(9,Q320:Q322)</f>
        <v>23</v>
      </c>
      <c r="R1008" s="1" t="n">
        <f aca="false">SUBTOTAL(9,R320:R322)</f>
        <v>0</v>
      </c>
      <c r="S1008" s="1" t="n">
        <f aca="false">SUBTOTAL(9,S320:S322)</f>
        <v>0</v>
      </c>
      <c r="T1008" s="1" t="n">
        <f aca="false">SUBTOTAL(9,T320:T322)</f>
        <v>0</v>
      </c>
      <c r="U1008" s="1" t="n">
        <f aca="false">SUBTOTAL(9,U320:U322)</f>
        <v>0</v>
      </c>
      <c r="V1008" s="1" t="n">
        <f aca="false">SUBTOTAL(9,V320:V322)</f>
        <v>0</v>
      </c>
      <c r="W1008" s="1" t="n">
        <f aca="false">SUBTOTAL(9,W320:W322)</f>
        <v>23</v>
      </c>
      <c r="X1008" s="1" t="n">
        <f aca="false">SUBTOTAL(9,X320:X322)</f>
        <v>4</v>
      </c>
      <c r="Y1008" s="1" t="n">
        <f aca="false">SUBTOTAL(9,Y320:Y322)</f>
        <v>1</v>
      </c>
      <c r="Z1008" s="20" t="n">
        <f aca="false">SUBTOTAL(9,Z320:Z322)</f>
        <v>35.2</v>
      </c>
      <c r="AA1008" s="20" t="n">
        <f aca="false">SUBTOTAL(9,AA320:AA322)</f>
        <v>0</v>
      </c>
      <c r="AB1008" s="20" t="n">
        <f aca="false">SUBTOTAL(9,AB320:AB322)</f>
        <v>0</v>
      </c>
      <c r="AC1008" s="20" t="n">
        <f aca="false">SUBTOTAL(9,AC320:AC322)</f>
        <v>0</v>
      </c>
      <c r="AD1008" s="20" t="n">
        <f aca="false">SUBTOTAL(9,AD320:AD322)</f>
        <v>0</v>
      </c>
      <c r="AE1008" s="20" t="n">
        <f aca="false">SUBTOTAL(9,AE320:AE322)</f>
        <v>0</v>
      </c>
      <c r="AF1008" s="20" t="n">
        <f aca="false">SUBTOTAL(9,AF320:AF322)</f>
        <v>35.2</v>
      </c>
      <c r="AH1008" s="22" t="n">
        <f aca="false">SUBTOTAL(9,AH320:AH322)</f>
        <v>42.24</v>
      </c>
      <c r="AI1008" s="22" t="n">
        <f aca="false">SUBTOTAL(9,AI320:AI322)</f>
        <v>0</v>
      </c>
      <c r="AJ1008" s="22" t="n">
        <f aca="false">SUBTOTAL(9,AJ320:AJ322)</f>
        <v>0</v>
      </c>
      <c r="AK1008" s="22" t="n">
        <f aca="false">SUBTOTAL(9,AK320:AK322)</f>
        <v>0</v>
      </c>
      <c r="AL1008" s="22" t="n">
        <f aca="false">SUBTOTAL(9,AL320:AL322)</f>
        <v>0</v>
      </c>
      <c r="AM1008" s="22" t="n">
        <f aca="false">SUBTOTAL(9,AM320:AM322)</f>
        <v>0</v>
      </c>
      <c r="AN1008" s="22" t="n">
        <f aca="false">SUBTOTAL(9,AN320:AN322)</f>
        <v>42.24</v>
      </c>
    </row>
    <row r="1009" customFormat="false" ht="13.8" hidden="false" customHeight="false" outlineLevel="0" collapsed="false">
      <c r="A1009" s="1" t="s">
        <v>1171</v>
      </c>
      <c r="C1009" s="1" t="s">
        <v>439</v>
      </c>
      <c r="E1009" s="1" t="s">
        <v>440</v>
      </c>
      <c r="F1009" s="1" t="n">
        <f aca="false">SUBTOTAL(9,F323:F325)</f>
        <v>22</v>
      </c>
      <c r="G1009" s="1" t="n">
        <f aca="false">SUBTOTAL(9,G323:G325)</f>
        <v>3</v>
      </c>
      <c r="H1009" s="1" t="n">
        <f aca="false">SUBTOTAL(9,H323:H325)</f>
        <v>27</v>
      </c>
      <c r="I1009" s="8" t="n">
        <f aca="false">SUBTOTAL(9,I323:I325)</f>
        <v>2969720</v>
      </c>
      <c r="J1009" s="1" t="n">
        <f aca="false">SUBTOTAL(9,J323:J325)</f>
        <v>10</v>
      </c>
      <c r="L1009" s="1" t="n">
        <f aca="false">SUBTOTAL(9,L323:L325)</f>
        <v>14</v>
      </c>
      <c r="M1009" s="1" t="n">
        <f aca="false">SUBTOTAL(9,M323:M325)</f>
        <v>1</v>
      </c>
      <c r="N1009" s="1" t="n">
        <f aca="false">SUBTOTAL(9,N323:N325)</f>
        <v>0</v>
      </c>
      <c r="O1009" s="1" t="n">
        <f aca="false">SUBTOTAL(9,O323:O325)</f>
        <v>8</v>
      </c>
      <c r="P1009" s="1" t="n">
        <f aca="false">SUBTOTAL(9,P323:P325)</f>
        <v>9</v>
      </c>
      <c r="Q1009" s="1" t="n">
        <f aca="false">SUBTOTAL(9,Q323:Q325)</f>
        <v>0</v>
      </c>
      <c r="R1009" s="1" t="n">
        <f aca="false">SUBTOTAL(9,R323:R325)</f>
        <v>0</v>
      </c>
      <c r="S1009" s="1" t="n">
        <f aca="false">SUBTOTAL(9,S323:S325)</f>
        <v>0</v>
      </c>
      <c r="T1009" s="1" t="n">
        <f aca="false">SUBTOTAL(9,T323:T325)</f>
        <v>0</v>
      </c>
      <c r="U1009" s="1" t="n">
        <f aca="false">SUBTOTAL(9,U323:U325)</f>
        <v>2</v>
      </c>
      <c r="V1009" s="1" t="n">
        <f aca="false">SUBTOTAL(9,V323:V325)</f>
        <v>0</v>
      </c>
      <c r="W1009" s="1" t="n">
        <f aca="false">SUBTOTAL(9,W323:W325)</f>
        <v>2</v>
      </c>
      <c r="X1009" s="1" t="n">
        <f aca="false">SUBTOTAL(9,X323:X325)</f>
        <v>3</v>
      </c>
      <c r="Y1009" s="1" t="n">
        <f aca="false">SUBTOTAL(9,Y323:Y325)</f>
        <v>6</v>
      </c>
      <c r="Z1009" s="20" t="n">
        <f aca="false">SUBTOTAL(9,Z323:Z325)</f>
        <v>0</v>
      </c>
      <c r="AA1009" s="20" t="n">
        <f aca="false">SUBTOTAL(9,AA323:AA325)</f>
        <v>0</v>
      </c>
      <c r="AB1009" s="20" t="n">
        <f aca="false">SUBTOTAL(9,AB323:AB325)</f>
        <v>0</v>
      </c>
      <c r="AC1009" s="20" t="n">
        <f aca="false">SUBTOTAL(9,AC323:AC325)</f>
        <v>0</v>
      </c>
      <c r="AD1009" s="20" t="n">
        <f aca="false">SUBTOTAL(9,AD323:AD325)</f>
        <v>3.6</v>
      </c>
      <c r="AE1009" s="20" t="n">
        <f aca="false">SUBTOTAL(9,AE323:AE325)</f>
        <v>0</v>
      </c>
      <c r="AF1009" s="20" t="n">
        <f aca="false">SUBTOTAL(9,AF323:AF325)</f>
        <v>3.6</v>
      </c>
      <c r="AH1009" s="22" t="n">
        <f aca="false">SUBTOTAL(9,AH323:AH325)</f>
        <v>0</v>
      </c>
      <c r="AI1009" s="22" t="n">
        <f aca="false">SUBTOTAL(9,AI323:AI325)</f>
        <v>0</v>
      </c>
      <c r="AJ1009" s="22" t="n">
        <f aca="false">SUBTOTAL(9,AJ323:AJ325)</f>
        <v>0</v>
      </c>
      <c r="AK1009" s="22" t="n">
        <f aca="false">SUBTOTAL(9,AK323:AK325)</f>
        <v>0</v>
      </c>
      <c r="AL1009" s="22" t="n">
        <f aca="false">SUBTOTAL(9,AL323:AL325)</f>
        <v>4.32</v>
      </c>
      <c r="AM1009" s="22" t="n">
        <f aca="false">SUBTOTAL(9,AM323:AM325)</f>
        <v>0</v>
      </c>
      <c r="AN1009" s="22" t="n">
        <f aca="false">SUBTOTAL(9,AN323:AN325)</f>
        <v>4.32</v>
      </c>
    </row>
    <row r="1010" customFormat="false" ht="13.8" hidden="false" customHeight="false" outlineLevel="0" collapsed="false">
      <c r="A1010" s="1" t="s">
        <v>1171</v>
      </c>
      <c r="C1010" s="1" t="s">
        <v>444</v>
      </c>
      <c r="E1010" s="1" t="s">
        <v>445</v>
      </c>
      <c r="F1010" s="1" t="n">
        <f aca="false">SUBTOTAL(9,F326:F354)</f>
        <v>224</v>
      </c>
      <c r="G1010" s="1" t="n">
        <f aca="false">SUBTOTAL(9,G326:G354)</f>
        <v>29</v>
      </c>
      <c r="H1010" s="1" t="n">
        <f aca="false">SUBTOTAL(9,H326:H354)</f>
        <v>221</v>
      </c>
      <c r="I1010" s="8" t="n">
        <f aca="false">SUBTOTAL(9,I326:I354)</f>
        <v>45004539</v>
      </c>
      <c r="J1010" s="1" t="n">
        <f aca="false">SUBTOTAL(9,J326:J354)</f>
        <v>69</v>
      </c>
      <c r="L1010" s="1" t="n">
        <f aca="false">SUBTOTAL(9,L326:L354)</f>
        <v>110</v>
      </c>
      <c r="M1010" s="1" t="n">
        <f aca="false">SUBTOTAL(9,M326:M354)</f>
        <v>20</v>
      </c>
      <c r="N1010" s="1" t="n">
        <f aca="false">SUBTOTAL(9,N326:N354)</f>
        <v>15</v>
      </c>
      <c r="O1010" s="1" t="n">
        <f aca="false">SUBTOTAL(9,O326:O354)</f>
        <v>21</v>
      </c>
      <c r="P1010" s="1" t="n">
        <f aca="false">SUBTOTAL(9,P326:P354)</f>
        <v>56</v>
      </c>
      <c r="Q1010" s="1" t="n">
        <f aca="false">SUBTOTAL(9,Q326:Q354)</f>
        <v>0</v>
      </c>
      <c r="R1010" s="1" t="n">
        <f aca="false">SUBTOTAL(9,R326:R354)</f>
        <v>60</v>
      </c>
      <c r="S1010" s="1" t="n">
        <f aca="false">SUBTOTAL(9,S326:S354)</f>
        <v>0</v>
      </c>
      <c r="T1010" s="1" t="n">
        <f aca="false">SUBTOTAL(9,T326:T354)</f>
        <v>1</v>
      </c>
      <c r="U1010" s="1" t="n">
        <f aca="false">SUBTOTAL(9,U326:U354)</f>
        <v>62</v>
      </c>
      <c r="V1010" s="1" t="n">
        <f aca="false">SUBTOTAL(9,V326:V354)</f>
        <v>2</v>
      </c>
      <c r="W1010" s="1" t="n">
        <f aca="false">SUBTOTAL(9,W326:W354)</f>
        <v>125</v>
      </c>
      <c r="X1010" s="1" t="n">
        <f aca="false">SUBTOTAL(9,X326:X354)</f>
        <v>72</v>
      </c>
      <c r="Y1010" s="1" t="n">
        <f aca="false">SUBTOTAL(9,Y326:Y354)</f>
        <v>121</v>
      </c>
      <c r="Z1010" s="20" t="n">
        <f aca="false">SUBTOTAL(9,Z326:Z354)</f>
        <v>0</v>
      </c>
      <c r="AA1010" s="20" t="n">
        <f aca="false">SUBTOTAL(9,AA326:AA354)</f>
        <v>98.2</v>
      </c>
      <c r="AB1010" s="20" t="n">
        <f aca="false">SUBTOTAL(9,AB326:AB354)</f>
        <v>0</v>
      </c>
      <c r="AC1010" s="20" t="n">
        <f aca="false">SUBTOTAL(9,AC326:AC354)</f>
        <v>1.8</v>
      </c>
      <c r="AD1010" s="20" t="n">
        <f aca="false">SUBTOTAL(9,AD326:AD354)</f>
        <v>103.4</v>
      </c>
      <c r="AE1010" s="20" t="n">
        <f aca="false">SUBTOTAL(9,AE326:AE354)</f>
        <v>3.6</v>
      </c>
      <c r="AF1010" s="20" t="n">
        <f aca="false">SUBTOTAL(9,AF326:AF354)</f>
        <v>207</v>
      </c>
      <c r="AH1010" s="22" t="n">
        <f aca="false">SUBTOTAL(9,AH326:AH354)</f>
        <v>0</v>
      </c>
      <c r="AI1010" s="22" t="n">
        <f aca="false">SUBTOTAL(9,AI326:AI354)</f>
        <v>113.92</v>
      </c>
      <c r="AJ1010" s="22" t="n">
        <f aca="false">SUBTOTAL(9,AJ326:AJ354)</f>
        <v>0</v>
      </c>
      <c r="AK1010" s="22" t="n">
        <f aca="false">SUBTOTAL(9,AK326:AK354)</f>
        <v>2.16</v>
      </c>
      <c r="AL1010" s="22" t="n">
        <f aca="false">SUBTOTAL(9,AL326:AL354)</f>
        <v>124.08</v>
      </c>
      <c r="AM1010" s="22" t="n">
        <f aca="false">SUBTOTAL(9,AM326:AM354)</f>
        <v>4.32</v>
      </c>
      <c r="AN1010" s="22" t="n">
        <f aca="false">SUBTOTAL(9,AN326:AN354)</f>
        <v>244.48</v>
      </c>
    </row>
    <row r="1011" customFormat="false" ht="13.8" hidden="false" customHeight="false" outlineLevel="0" collapsed="false">
      <c r="A1011" s="1" t="s">
        <v>1171</v>
      </c>
      <c r="C1011" s="1" t="s">
        <v>475</v>
      </c>
      <c r="E1011" s="1" t="s">
        <v>476</v>
      </c>
      <c r="F1011" s="1" t="n">
        <f aca="false">SUBTOTAL(9,F355:F378)</f>
        <v>380</v>
      </c>
      <c r="G1011" s="1" t="n">
        <f aca="false">SUBTOTAL(9,G355:G378)</f>
        <v>24</v>
      </c>
      <c r="H1011" s="1" t="n">
        <f aca="false">SUBTOTAL(9,H355:H378)</f>
        <v>233</v>
      </c>
      <c r="I1011" s="8" t="n">
        <f aca="false">SUBTOTAL(9,I355:I378)</f>
        <v>98061289</v>
      </c>
      <c r="J1011" s="1" t="n">
        <f aca="false">SUBTOTAL(9,J355:J378)</f>
        <v>61</v>
      </c>
      <c r="L1011" s="1" t="n">
        <f aca="false">SUBTOTAL(9,L355:L378)</f>
        <v>108</v>
      </c>
      <c r="M1011" s="1" t="n">
        <f aca="false">SUBTOTAL(9,M355:M378)</f>
        <v>16</v>
      </c>
      <c r="N1011" s="1" t="n">
        <f aca="false">SUBTOTAL(9,N355:N378)</f>
        <v>15</v>
      </c>
      <c r="O1011" s="1" t="n">
        <f aca="false">SUBTOTAL(9,O355:O378)</f>
        <v>25</v>
      </c>
      <c r="P1011" s="1" t="n">
        <f aca="false">SUBTOTAL(9,P355:P378)</f>
        <v>56</v>
      </c>
      <c r="Q1011" s="1" t="n">
        <f aca="false">SUBTOTAL(9,Q355:Q378)</f>
        <v>3</v>
      </c>
      <c r="R1011" s="1" t="n">
        <f aca="false">SUBTOTAL(9,R355:R378)</f>
        <v>4</v>
      </c>
      <c r="S1011" s="1" t="n">
        <f aca="false">SUBTOTAL(9,S355:S378)</f>
        <v>0</v>
      </c>
      <c r="T1011" s="1" t="n">
        <f aca="false">SUBTOTAL(9,T355:T378)</f>
        <v>36</v>
      </c>
      <c r="U1011" s="1" t="n">
        <f aca="false">SUBTOTAL(9,U355:U378)</f>
        <v>72</v>
      </c>
      <c r="V1011" s="1" t="n">
        <f aca="false">SUBTOTAL(9,V355:V378)</f>
        <v>52</v>
      </c>
      <c r="W1011" s="1" t="n">
        <f aca="false">SUBTOTAL(9,W355:W378)</f>
        <v>167</v>
      </c>
      <c r="X1011" s="1" t="n">
        <f aca="false">SUBTOTAL(9,X355:X378)</f>
        <v>42</v>
      </c>
      <c r="Y1011" s="1" t="n">
        <f aca="false">SUBTOTAL(9,Y355:Y378)</f>
        <v>91</v>
      </c>
      <c r="Z1011" s="20" t="n">
        <f aca="false">SUBTOTAL(9,Z355:Z378)</f>
        <v>4.2</v>
      </c>
      <c r="AA1011" s="20" t="n">
        <f aca="false">SUBTOTAL(9,AA355:AA378)</f>
        <v>7.2</v>
      </c>
      <c r="AB1011" s="20" t="n">
        <f aca="false">SUBTOTAL(9,AB355:AB378)</f>
        <v>0</v>
      </c>
      <c r="AC1011" s="20" t="n">
        <f aca="false">SUBTOTAL(9,AC355:AC378)</f>
        <v>50.4</v>
      </c>
      <c r="AD1011" s="20" t="n">
        <f aca="false">SUBTOTAL(9,AD355:AD378)</f>
        <v>100.8</v>
      </c>
      <c r="AE1011" s="20" t="n">
        <f aca="false">SUBTOTAL(9,AE355:AE378)</f>
        <v>93.6</v>
      </c>
      <c r="AF1011" s="20" t="n">
        <f aca="false">SUBTOTAL(9,AF355:AF378)</f>
        <v>256.2</v>
      </c>
      <c r="AH1011" s="22" t="n">
        <f aca="false">SUBTOTAL(9,AH355:AH378)</f>
        <v>5.04</v>
      </c>
      <c r="AI1011" s="22" t="n">
        <f aca="false">SUBTOTAL(9,AI355:AI378)</f>
        <v>8.64</v>
      </c>
      <c r="AJ1011" s="22" t="n">
        <f aca="false">SUBTOTAL(9,AJ355:AJ378)</f>
        <v>0</v>
      </c>
      <c r="AK1011" s="22" t="n">
        <f aca="false">SUBTOTAL(9,AK355:AK378)</f>
        <v>60.48</v>
      </c>
      <c r="AL1011" s="22" t="n">
        <f aca="false">SUBTOTAL(9,AL355:AL378)</f>
        <v>120.96</v>
      </c>
      <c r="AM1011" s="22" t="n">
        <f aca="false">SUBTOTAL(9,AM355:AM378)</f>
        <v>112.32</v>
      </c>
      <c r="AN1011" s="22" t="n">
        <f aca="false">SUBTOTAL(9,AN355:AN378)</f>
        <v>307.44</v>
      </c>
    </row>
    <row r="1012" customFormat="false" ht="13.8" hidden="false" customHeight="false" outlineLevel="0" collapsed="false">
      <c r="A1012" s="1" t="s">
        <v>1171</v>
      </c>
      <c r="C1012" s="1" t="s">
        <v>501</v>
      </c>
      <c r="E1012" s="1" t="s">
        <v>502</v>
      </c>
      <c r="F1012" s="1" t="n">
        <f aca="false">SUBTOTAL(9,F379:F385)</f>
        <v>55</v>
      </c>
      <c r="G1012" s="1" t="n">
        <f aca="false">SUBTOTAL(9,G379:G385)</f>
        <v>7</v>
      </c>
      <c r="H1012" s="1" t="n">
        <f aca="false">SUBTOTAL(9,H379:H385)</f>
        <v>48</v>
      </c>
      <c r="I1012" s="8" t="n">
        <f aca="false">SUBTOTAL(9,I379:I385)</f>
        <v>6274752</v>
      </c>
      <c r="J1012" s="1" t="n">
        <f aca="false">SUBTOTAL(9,J379:J385)</f>
        <v>12</v>
      </c>
      <c r="L1012" s="1" t="n">
        <f aca="false">SUBTOTAL(9,L379:L385)</f>
        <v>23</v>
      </c>
      <c r="M1012" s="1" t="n">
        <f aca="false">SUBTOTAL(9,M379:M385)</f>
        <v>2</v>
      </c>
      <c r="N1012" s="1" t="n">
        <f aca="false">SUBTOTAL(9,N379:N385)</f>
        <v>2</v>
      </c>
      <c r="O1012" s="1" t="n">
        <f aca="false">SUBTOTAL(9,O379:O385)</f>
        <v>7</v>
      </c>
      <c r="P1012" s="1" t="n">
        <f aca="false">SUBTOTAL(9,P379:P385)</f>
        <v>11</v>
      </c>
      <c r="Q1012" s="1" t="n">
        <f aca="false">SUBTOTAL(9,Q379:Q385)</f>
        <v>0</v>
      </c>
      <c r="R1012" s="1" t="n">
        <f aca="false">SUBTOTAL(9,R379:R385)</f>
        <v>30</v>
      </c>
      <c r="S1012" s="1" t="n">
        <f aca="false">SUBTOTAL(9,S379:S385)</f>
        <v>0</v>
      </c>
      <c r="T1012" s="1" t="n">
        <f aca="false">SUBTOTAL(9,T379:T385)</f>
        <v>10</v>
      </c>
      <c r="U1012" s="1" t="n">
        <f aca="false">SUBTOTAL(9,U379:U385)</f>
        <v>17</v>
      </c>
      <c r="V1012" s="1" t="n">
        <f aca="false">SUBTOTAL(9,V379:V385)</f>
        <v>44</v>
      </c>
      <c r="W1012" s="1" t="n">
        <f aca="false">SUBTOTAL(9,W379:W385)</f>
        <v>101</v>
      </c>
      <c r="X1012" s="1" t="n">
        <f aca="false">SUBTOTAL(9,X379:X385)</f>
        <v>11</v>
      </c>
      <c r="Y1012" s="1" t="n">
        <f aca="false">SUBTOTAL(9,Y379:Y385)</f>
        <v>22</v>
      </c>
      <c r="Z1012" s="20" t="n">
        <f aca="false">SUBTOTAL(9,Z379:Z385)</f>
        <v>0</v>
      </c>
      <c r="AA1012" s="20" t="n">
        <f aca="false">SUBTOTAL(9,AA379:AA385)</f>
        <v>42</v>
      </c>
      <c r="AB1012" s="20" t="n">
        <f aca="false">SUBTOTAL(9,AB379:AB385)</f>
        <v>0</v>
      </c>
      <c r="AC1012" s="20" t="n">
        <f aca="false">SUBTOTAL(9,AC379:AC385)</f>
        <v>14</v>
      </c>
      <c r="AD1012" s="20" t="n">
        <f aca="false">SUBTOTAL(9,AD379:AD385)</f>
        <v>23.8</v>
      </c>
      <c r="AE1012" s="20" t="n">
        <f aca="false">SUBTOTAL(9,AE379:AE385)</f>
        <v>58</v>
      </c>
      <c r="AF1012" s="20" t="n">
        <f aca="false">SUBTOTAL(9,AF379:AF385)</f>
        <v>137.8</v>
      </c>
      <c r="AH1012" s="22" t="n">
        <f aca="false">SUBTOTAL(9,AH379:AH385)</f>
        <v>0</v>
      </c>
      <c r="AI1012" s="22" t="n">
        <f aca="false">SUBTOTAL(9,AI379:AI385)</f>
        <v>50.4</v>
      </c>
      <c r="AJ1012" s="22" t="n">
        <f aca="false">SUBTOTAL(9,AJ379:AJ385)</f>
        <v>0</v>
      </c>
      <c r="AK1012" s="22" t="n">
        <f aca="false">SUBTOTAL(9,AK379:AK385)</f>
        <v>16.8</v>
      </c>
      <c r="AL1012" s="22" t="n">
        <f aca="false">SUBTOTAL(9,AL379:AL385)</f>
        <v>28.56</v>
      </c>
      <c r="AM1012" s="22" t="n">
        <f aca="false">SUBTOTAL(9,AM379:AM385)</f>
        <v>66.96</v>
      </c>
      <c r="AN1012" s="22" t="n">
        <f aca="false">SUBTOTAL(9,AN379:AN385)</f>
        <v>162.72</v>
      </c>
    </row>
    <row r="1013" customFormat="false" ht="13.8" hidden="false" customHeight="false" outlineLevel="0" collapsed="false">
      <c r="A1013" s="1" t="s">
        <v>1171</v>
      </c>
      <c r="C1013" s="1" t="s">
        <v>510</v>
      </c>
      <c r="E1013" s="1" t="s">
        <v>511</v>
      </c>
      <c r="F1013" s="1" t="n">
        <f aca="false">SUBTOTAL(9,F386:F388)</f>
        <v>26</v>
      </c>
      <c r="G1013" s="1" t="n">
        <f aca="false">SUBTOTAL(9,G386:G388)</f>
        <v>3</v>
      </c>
      <c r="H1013" s="1" t="n">
        <f aca="false">SUBTOTAL(9,H386:H388)</f>
        <v>38</v>
      </c>
      <c r="I1013" s="8" t="n">
        <f aca="false">SUBTOTAL(9,I386:I388)</f>
        <v>8694341</v>
      </c>
      <c r="J1013" s="1" t="n">
        <f aca="false">SUBTOTAL(9,J386:J388)</f>
        <v>9</v>
      </c>
      <c r="L1013" s="1" t="n">
        <f aca="false">SUBTOTAL(9,L386:L388)</f>
        <v>20</v>
      </c>
      <c r="M1013" s="1" t="n">
        <f aca="false">SUBTOTAL(9,M386:M388)</f>
        <v>6</v>
      </c>
      <c r="N1013" s="1" t="n">
        <f aca="false">SUBTOTAL(9,N386:N388)</f>
        <v>0</v>
      </c>
      <c r="O1013" s="1" t="n">
        <f aca="false">SUBTOTAL(9,O386:O388)</f>
        <v>10</v>
      </c>
      <c r="P1013" s="1" t="n">
        <f aca="false">SUBTOTAL(9,P386:P388)</f>
        <v>16</v>
      </c>
      <c r="Q1013" s="1" t="n">
        <f aca="false">SUBTOTAL(9,Q386:Q388)</f>
        <v>1</v>
      </c>
      <c r="R1013" s="1" t="n">
        <f aca="false">SUBTOTAL(9,R386:R388)</f>
        <v>100</v>
      </c>
      <c r="S1013" s="1" t="n">
        <f aca="false">SUBTOTAL(9,S386:S388)</f>
        <v>0</v>
      </c>
      <c r="T1013" s="1" t="n">
        <f aca="false">SUBTOTAL(9,T386:T388)</f>
        <v>0</v>
      </c>
      <c r="U1013" s="1" t="n">
        <f aca="false">SUBTOTAL(9,U386:U388)</f>
        <v>6</v>
      </c>
      <c r="V1013" s="1" t="n">
        <f aca="false">SUBTOTAL(9,V386:V388)</f>
        <v>0</v>
      </c>
      <c r="W1013" s="1" t="n">
        <f aca="false">SUBTOTAL(9,W386:W388)</f>
        <v>107</v>
      </c>
      <c r="X1013" s="1" t="n">
        <f aca="false">SUBTOTAL(9,X386:X388)</f>
        <v>9</v>
      </c>
      <c r="Y1013" s="1" t="n">
        <f aca="false">SUBTOTAL(9,Y386:Y388)</f>
        <v>0</v>
      </c>
      <c r="Z1013" s="20" t="n">
        <f aca="false">SUBTOTAL(9,Z386:Z388)</f>
        <v>1.6</v>
      </c>
      <c r="AA1013" s="20" t="n">
        <f aca="false">SUBTOTAL(9,AA386:AA388)</f>
        <v>160</v>
      </c>
      <c r="AB1013" s="20" t="n">
        <f aca="false">SUBTOTAL(9,AB386:AB388)</f>
        <v>0</v>
      </c>
      <c r="AC1013" s="20" t="n">
        <f aca="false">SUBTOTAL(9,AC386:AC388)</f>
        <v>0</v>
      </c>
      <c r="AD1013" s="20" t="n">
        <f aca="false">SUBTOTAL(9,AD386:AD388)</f>
        <v>9.6</v>
      </c>
      <c r="AE1013" s="20" t="n">
        <f aca="false">SUBTOTAL(9,AE386:AE388)</f>
        <v>0</v>
      </c>
      <c r="AF1013" s="20" t="n">
        <f aca="false">SUBTOTAL(9,AF386:AF388)</f>
        <v>171.2</v>
      </c>
      <c r="AH1013" s="22" t="n">
        <f aca="false">SUBTOTAL(9,AH386:AH388)</f>
        <v>1.6</v>
      </c>
      <c r="AI1013" s="22" t="n">
        <f aca="false">SUBTOTAL(9,AI386:AI388)</f>
        <v>172.8</v>
      </c>
      <c r="AJ1013" s="22" t="n">
        <f aca="false">SUBTOTAL(9,AJ386:AJ388)</f>
        <v>0</v>
      </c>
      <c r="AK1013" s="22" t="n">
        <f aca="false">SUBTOTAL(9,AK386:AK388)</f>
        <v>0</v>
      </c>
      <c r="AL1013" s="22" t="n">
        <f aca="false">SUBTOTAL(9,AL386:AL388)</f>
        <v>11.52</v>
      </c>
      <c r="AM1013" s="22" t="n">
        <f aca="false">SUBTOTAL(9,AM386:AM388)</f>
        <v>0</v>
      </c>
      <c r="AN1013" s="22" t="n">
        <f aca="false">SUBTOTAL(9,AN386:AN388)</f>
        <v>185.92</v>
      </c>
    </row>
    <row r="1014" customFormat="false" ht="13.8" hidden="false" customHeight="false" outlineLevel="0" collapsed="false">
      <c r="A1014" s="1" t="s">
        <v>1171</v>
      </c>
      <c r="C1014" s="1" t="s">
        <v>515</v>
      </c>
      <c r="E1014" s="1" t="s">
        <v>516</v>
      </c>
      <c r="F1014" s="1" t="n">
        <f aca="false">SUBTOTAL(9,F389:F393)</f>
        <v>18</v>
      </c>
      <c r="G1014" s="1" t="n">
        <f aca="false">SUBTOTAL(9,G389:G393)</f>
        <v>5</v>
      </c>
      <c r="H1014" s="1" t="n">
        <f aca="false">SUBTOTAL(9,H389:H393)</f>
        <v>29</v>
      </c>
      <c r="I1014" s="8" t="n">
        <f aca="false">SUBTOTAL(9,I389:I393)</f>
        <v>1962393</v>
      </c>
      <c r="J1014" s="1" t="n">
        <f aca="false">SUBTOTAL(9,J389:J393)</f>
        <v>13</v>
      </c>
      <c r="L1014" s="1" t="n">
        <f aca="false">SUBTOTAL(9,L389:L393)</f>
        <v>18</v>
      </c>
      <c r="M1014" s="1" t="n">
        <f aca="false">SUBTOTAL(9,M389:M393)</f>
        <v>3</v>
      </c>
      <c r="N1014" s="1" t="n">
        <f aca="false">SUBTOTAL(9,N389:N393)</f>
        <v>1</v>
      </c>
      <c r="O1014" s="1" t="n">
        <f aca="false">SUBTOTAL(9,O389:O393)</f>
        <v>7</v>
      </c>
      <c r="P1014" s="1" t="n">
        <f aca="false">SUBTOTAL(9,P389:P393)</f>
        <v>11</v>
      </c>
      <c r="Q1014" s="1" t="n">
        <f aca="false">SUBTOTAL(9,Q389:Q393)</f>
        <v>0</v>
      </c>
      <c r="R1014" s="1" t="n">
        <f aca="false">SUBTOTAL(9,R389:R393)</f>
        <v>0</v>
      </c>
      <c r="S1014" s="1" t="n">
        <f aca="false">SUBTOTAL(9,S389:S393)</f>
        <v>0</v>
      </c>
      <c r="T1014" s="1" t="n">
        <f aca="false">SUBTOTAL(9,T389:T393)</f>
        <v>0</v>
      </c>
      <c r="U1014" s="1" t="n">
        <f aca="false">SUBTOTAL(9,U389:U393)</f>
        <v>2</v>
      </c>
      <c r="V1014" s="1" t="n">
        <f aca="false">SUBTOTAL(9,V389:V393)</f>
        <v>0</v>
      </c>
      <c r="W1014" s="1" t="n">
        <f aca="false">SUBTOTAL(9,W389:W393)</f>
        <v>2</v>
      </c>
      <c r="X1014" s="1" t="n">
        <f aca="false">SUBTOTAL(9,X389:X393)</f>
        <v>9</v>
      </c>
      <c r="Y1014" s="1" t="n">
        <f aca="false">SUBTOTAL(9,Y389:Y393)</f>
        <v>4</v>
      </c>
      <c r="Z1014" s="20" t="n">
        <f aca="false">SUBTOTAL(9,Z389:Z393)</f>
        <v>0</v>
      </c>
      <c r="AA1014" s="20" t="n">
        <f aca="false">SUBTOTAL(9,AA389:AA393)</f>
        <v>0</v>
      </c>
      <c r="AB1014" s="20" t="n">
        <f aca="false">SUBTOTAL(9,AB389:AB393)</f>
        <v>0</v>
      </c>
      <c r="AC1014" s="20" t="n">
        <f aca="false">SUBTOTAL(9,AC389:AC393)</f>
        <v>0</v>
      </c>
      <c r="AD1014" s="20" t="n">
        <f aca="false">SUBTOTAL(9,AD389:AD393)</f>
        <v>3.2</v>
      </c>
      <c r="AE1014" s="20" t="n">
        <f aca="false">SUBTOTAL(9,AE389:AE393)</f>
        <v>0</v>
      </c>
      <c r="AF1014" s="20" t="n">
        <f aca="false">SUBTOTAL(9,AF389:AF393)</f>
        <v>3.2</v>
      </c>
      <c r="AH1014" s="22" t="n">
        <f aca="false">SUBTOTAL(9,AH389:AH393)</f>
        <v>0</v>
      </c>
      <c r="AI1014" s="22" t="n">
        <f aca="false">SUBTOTAL(9,AI389:AI393)</f>
        <v>0</v>
      </c>
      <c r="AJ1014" s="22" t="n">
        <f aca="false">SUBTOTAL(9,AJ389:AJ393)</f>
        <v>0</v>
      </c>
      <c r="AK1014" s="22" t="n">
        <f aca="false">SUBTOTAL(9,AK389:AK393)</f>
        <v>0</v>
      </c>
      <c r="AL1014" s="22" t="n">
        <f aca="false">SUBTOTAL(9,AL389:AL393)</f>
        <v>3.52</v>
      </c>
      <c r="AM1014" s="22" t="n">
        <f aca="false">SUBTOTAL(9,AM389:AM393)</f>
        <v>0</v>
      </c>
      <c r="AN1014" s="22" t="n">
        <f aca="false">SUBTOTAL(9,AN389:AN393)</f>
        <v>3.52</v>
      </c>
    </row>
    <row r="1015" customFormat="false" ht="13.8" hidden="false" customHeight="false" outlineLevel="0" collapsed="false">
      <c r="A1015" s="1" t="s">
        <v>1171</v>
      </c>
      <c r="C1015" s="1" t="s">
        <v>522</v>
      </c>
      <c r="E1015" s="1" t="s">
        <v>521</v>
      </c>
      <c r="F1015" s="1" t="n">
        <f aca="false">SUBTOTAL(9,F394)</f>
        <v>3</v>
      </c>
      <c r="G1015" s="1" t="n">
        <f aca="false">SUBTOTAL(9,G394)</f>
        <v>1</v>
      </c>
      <c r="H1015" s="1" t="n">
        <f aca="false">SUBTOTAL(9,H394)</f>
        <v>2</v>
      </c>
      <c r="I1015" s="8" t="n">
        <f aca="false">SUBTOTAL(9,I394)</f>
        <v>745909</v>
      </c>
      <c r="J1015" s="1" t="n">
        <f aca="false">SUBTOTAL(9,J394)</f>
        <v>1</v>
      </c>
      <c r="L1015" s="1" t="n">
        <f aca="false">SUBTOTAL(9,L394)</f>
        <v>2</v>
      </c>
      <c r="M1015" s="1" t="n">
        <f aca="false">SUBTOTAL(9,M394)</f>
        <v>1</v>
      </c>
      <c r="N1015" s="1" t="n">
        <f aca="false">SUBTOTAL(9,N394)</f>
        <v>0</v>
      </c>
      <c r="O1015" s="1" t="n">
        <f aca="false">SUBTOTAL(9,O394)</f>
        <v>1</v>
      </c>
      <c r="P1015" s="1" t="n">
        <f aca="false">SUBTOTAL(9,P394)</f>
        <v>2</v>
      </c>
      <c r="Q1015" s="1" t="n">
        <f aca="false">SUBTOTAL(9,Q394)</f>
        <v>0</v>
      </c>
      <c r="R1015" s="1" t="n">
        <f aca="false">SUBTOTAL(9,R394)</f>
        <v>0</v>
      </c>
      <c r="S1015" s="1" t="n">
        <f aca="false">SUBTOTAL(9,S394)</f>
        <v>6</v>
      </c>
      <c r="T1015" s="1" t="n">
        <f aca="false">SUBTOTAL(9,T394)</f>
        <v>0</v>
      </c>
      <c r="U1015" s="1" t="n">
        <f aca="false">SUBTOTAL(9,U394)</f>
        <v>0</v>
      </c>
      <c r="V1015" s="1" t="n">
        <f aca="false">SUBTOTAL(9,V394)</f>
        <v>0</v>
      </c>
      <c r="W1015" s="1" t="n">
        <f aca="false">SUBTOTAL(9,W394)</f>
        <v>6</v>
      </c>
      <c r="X1015" s="1" t="n">
        <f aca="false">SUBTOTAL(9,X394)</f>
        <v>0</v>
      </c>
      <c r="Y1015" s="1" t="n">
        <f aca="false">SUBTOTAL(9,Y394)</f>
        <v>2</v>
      </c>
      <c r="Z1015" s="20" t="n">
        <f aca="false">SUBTOTAL(9,Z394)</f>
        <v>0</v>
      </c>
      <c r="AA1015" s="20" t="n">
        <f aca="false">SUBTOTAL(9,AA394)</f>
        <v>0</v>
      </c>
      <c r="AB1015" s="20" t="n">
        <f aca="false">SUBTOTAL(9,AB394)</f>
        <v>7.2</v>
      </c>
      <c r="AC1015" s="20" t="n">
        <f aca="false">SUBTOTAL(9,AC394)</f>
        <v>0</v>
      </c>
      <c r="AD1015" s="20" t="n">
        <f aca="false">SUBTOTAL(9,AD394)</f>
        <v>0</v>
      </c>
      <c r="AE1015" s="20" t="n">
        <f aca="false">SUBTOTAL(9,AE394)</f>
        <v>0</v>
      </c>
      <c r="AF1015" s="20" t="n">
        <f aca="false">SUBTOTAL(9,AF394)</f>
        <v>7.2</v>
      </c>
      <c r="AH1015" s="22" t="n">
        <f aca="false">SUBTOTAL(9,AH394)</f>
        <v>0</v>
      </c>
      <c r="AI1015" s="22" t="n">
        <f aca="false">SUBTOTAL(9,AI394)</f>
        <v>0</v>
      </c>
      <c r="AJ1015" s="22" t="n">
        <f aca="false">SUBTOTAL(9,AJ394)</f>
        <v>8.64</v>
      </c>
      <c r="AK1015" s="22" t="n">
        <f aca="false">SUBTOTAL(9,AK394)</f>
        <v>0</v>
      </c>
      <c r="AL1015" s="22" t="n">
        <f aca="false">SUBTOTAL(9,AL394)</f>
        <v>0</v>
      </c>
      <c r="AM1015" s="22" t="n">
        <f aca="false">SUBTOTAL(9,AM394)</f>
        <v>0</v>
      </c>
      <c r="AN1015" s="22" t="n">
        <f aca="false">SUBTOTAL(9,AN394)</f>
        <v>8.64</v>
      </c>
    </row>
    <row r="1016" customFormat="false" ht="13.8" hidden="false" customHeight="false" outlineLevel="0" collapsed="false">
      <c r="A1016" s="1" t="s">
        <v>1171</v>
      </c>
      <c r="C1016" s="1" t="s">
        <v>524</v>
      </c>
      <c r="E1016" s="1" t="s">
        <v>525</v>
      </c>
      <c r="F1016" s="1" t="n">
        <f aca="false">SUBTOTAL(9,F395:F399)</f>
        <v>15</v>
      </c>
      <c r="G1016" s="1" t="n">
        <f aca="false">SUBTOTAL(9,G395:G399)</f>
        <v>5</v>
      </c>
      <c r="H1016" s="1" t="n">
        <f aca="false">SUBTOTAL(9,H395:H399)</f>
        <v>24</v>
      </c>
      <c r="I1016" s="8" t="n">
        <f aca="false">SUBTOTAL(9,I395:I399)</f>
        <v>2202915</v>
      </c>
      <c r="J1016" s="1" t="n">
        <f aca="false">SUBTOTAL(9,J395:J399)</f>
        <v>13</v>
      </c>
      <c r="L1016" s="1" t="n">
        <f aca="false">SUBTOTAL(9,L395:L399)</f>
        <v>18</v>
      </c>
      <c r="M1016" s="1" t="n">
        <f aca="false">SUBTOTAL(9,M395:M399)</f>
        <v>2</v>
      </c>
      <c r="N1016" s="1" t="n">
        <f aca="false">SUBTOTAL(9,N395:N399)</f>
        <v>0</v>
      </c>
      <c r="O1016" s="1" t="n">
        <f aca="false">SUBTOTAL(9,O395:O399)</f>
        <v>5</v>
      </c>
      <c r="P1016" s="1" t="n">
        <f aca="false">SUBTOTAL(9,P395:P399)</f>
        <v>7</v>
      </c>
      <c r="Q1016" s="1" t="n">
        <f aca="false">SUBTOTAL(9,Q395:Q399)</f>
        <v>0</v>
      </c>
      <c r="R1016" s="1" t="n">
        <f aca="false">SUBTOTAL(9,R395:R399)</f>
        <v>0</v>
      </c>
      <c r="S1016" s="1" t="n">
        <f aca="false">SUBTOTAL(9,S395:S399)</f>
        <v>0</v>
      </c>
      <c r="T1016" s="1" t="n">
        <f aca="false">SUBTOTAL(9,T395:T399)</f>
        <v>0</v>
      </c>
      <c r="U1016" s="1" t="n">
        <f aca="false">SUBTOTAL(9,U395:U399)</f>
        <v>2</v>
      </c>
      <c r="V1016" s="1" t="n">
        <f aca="false">SUBTOTAL(9,V395:V399)</f>
        <v>0</v>
      </c>
      <c r="W1016" s="1" t="n">
        <f aca="false">SUBTOTAL(9,W395:W399)</f>
        <v>2</v>
      </c>
      <c r="X1016" s="1" t="n">
        <f aca="false">SUBTOTAL(9,X395:X399)</f>
        <v>4</v>
      </c>
      <c r="Y1016" s="1" t="n">
        <f aca="false">SUBTOTAL(9,Y395:Y399)</f>
        <v>2</v>
      </c>
      <c r="Z1016" s="20" t="n">
        <f aca="false">SUBTOTAL(9,Z395:Z399)</f>
        <v>0</v>
      </c>
      <c r="AA1016" s="20" t="n">
        <f aca="false">SUBTOTAL(9,AA395:AA399)</f>
        <v>0</v>
      </c>
      <c r="AB1016" s="20" t="n">
        <f aca="false">SUBTOTAL(9,AB395:AB399)</f>
        <v>0</v>
      </c>
      <c r="AC1016" s="20" t="n">
        <f aca="false">SUBTOTAL(9,AC395:AC399)</f>
        <v>0</v>
      </c>
      <c r="AD1016" s="20" t="n">
        <f aca="false">SUBTOTAL(9,AD395:AD399)</f>
        <v>3.2</v>
      </c>
      <c r="AE1016" s="20" t="n">
        <f aca="false">SUBTOTAL(9,AE395:AE399)</f>
        <v>0</v>
      </c>
      <c r="AF1016" s="20" t="n">
        <f aca="false">SUBTOTAL(9,AF395:AF399)</f>
        <v>3.2</v>
      </c>
      <c r="AH1016" s="22" t="n">
        <f aca="false">SUBTOTAL(9,AH395:AH399)</f>
        <v>0</v>
      </c>
      <c r="AI1016" s="22" t="n">
        <f aca="false">SUBTOTAL(9,AI395:AI399)</f>
        <v>0</v>
      </c>
      <c r="AJ1016" s="22" t="n">
        <f aca="false">SUBTOTAL(9,AJ395:AJ399)</f>
        <v>0</v>
      </c>
      <c r="AK1016" s="22" t="n">
        <f aca="false">SUBTOTAL(9,AK395:AK399)</f>
        <v>0</v>
      </c>
      <c r="AL1016" s="22" t="n">
        <f aca="false">SUBTOTAL(9,AL395:AL399)</f>
        <v>3.84</v>
      </c>
      <c r="AM1016" s="22" t="n">
        <f aca="false">SUBTOTAL(9,AM395:AM399)</f>
        <v>0</v>
      </c>
      <c r="AN1016" s="22" t="n">
        <f aca="false">SUBTOTAL(9,AN395:AN399)</f>
        <v>3.84</v>
      </c>
    </row>
    <row r="1017" customFormat="false" ht="13.8" hidden="false" customHeight="false" outlineLevel="0" collapsed="false">
      <c r="A1017" s="1" t="s">
        <v>1171</v>
      </c>
      <c r="C1017" s="1" t="s">
        <v>531</v>
      </c>
      <c r="E1017" s="1" t="s">
        <v>532</v>
      </c>
      <c r="F1017" s="1" t="n">
        <f aca="false">SUBTOTAL(9,F400)</f>
        <v>5</v>
      </c>
      <c r="G1017" s="1" t="n">
        <f aca="false">SUBTOTAL(9,G400)</f>
        <v>1</v>
      </c>
      <c r="H1017" s="1" t="n">
        <f aca="false">SUBTOTAL(9,H400)</f>
        <v>1</v>
      </c>
      <c r="I1017" s="8" t="n">
        <f aca="false">SUBTOTAL(9,I400)</f>
        <v>295108</v>
      </c>
      <c r="J1017" s="1" t="n">
        <f aca="false">SUBTOTAL(9,J400)</f>
        <v>3</v>
      </c>
      <c r="L1017" s="1" t="n">
        <f aca="false">SUBTOTAL(9,L400)</f>
        <v>4</v>
      </c>
      <c r="M1017" s="1" t="n">
        <f aca="false">SUBTOTAL(9,M400)</f>
        <v>1</v>
      </c>
      <c r="N1017" s="1" t="n">
        <f aca="false">SUBTOTAL(9,N400)</f>
        <v>0</v>
      </c>
      <c r="O1017" s="1" t="n">
        <f aca="false">SUBTOTAL(9,O400)</f>
        <v>3</v>
      </c>
      <c r="P1017" s="1" t="n">
        <f aca="false">SUBTOTAL(9,P400)</f>
        <v>4</v>
      </c>
      <c r="Q1017" s="1" t="n">
        <f aca="false">SUBTOTAL(9,Q400)</f>
        <v>0</v>
      </c>
      <c r="R1017" s="1" t="n">
        <f aca="false">SUBTOTAL(9,R400)</f>
        <v>0</v>
      </c>
      <c r="S1017" s="1" t="n">
        <f aca="false">SUBTOTAL(9,S400)</f>
        <v>0</v>
      </c>
      <c r="T1017" s="1" t="n">
        <f aca="false">SUBTOTAL(9,T400)</f>
        <v>0</v>
      </c>
      <c r="U1017" s="1" t="n">
        <f aca="false">SUBTOTAL(9,U400)</f>
        <v>5</v>
      </c>
      <c r="V1017" s="1" t="n">
        <f aca="false">SUBTOTAL(9,V400)</f>
        <v>0</v>
      </c>
      <c r="W1017" s="1" t="n">
        <f aca="false">SUBTOTAL(9,W400)</f>
        <v>5</v>
      </c>
      <c r="X1017" s="1" t="n">
        <f aca="false">SUBTOTAL(9,X400)</f>
        <v>0</v>
      </c>
      <c r="Y1017" s="1" t="n">
        <f aca="false">SUBTOTAL(9,Y400)</f>
        <v>0</v>
      </c>
      <c r="Z1017" s="20" t="n">
        <f aca="false">SUBTOTAL(9,Z400)</f>
        <v>0</v>
      </c>
      <c r="AA1017" s="20" t="n">
        <f aca="false">SUBTOTAL(9,AA400)</f>
        <v>0</v>
      </c>
      <c r="AB1017" s="20" t="n">
        <f aca="false">SUBTOTAL(9,AB400)</f>
        <v>0</v>
      </c>
      <c r="AC1017" s="20" t="n">
        <f aca="false">SUBTOTAL(9,AC400)</f>
        <v>0</v>
      </c>
      <c r="AD1017" s="20" t="n">
        <f aca="false">SUBTOTAL(9,AD400)</f>
        <v>8</v>
      </c>
      <c r="AE1017" s="20" t="n">
        <f aca="false">SUBTOTAL(9,AE400)</f>
        <v>0</v>
      </c>
      <c r="AF1017" s="20" t="n">
        <f aca="false">SUBTOTAL(9,AF400)</f>
        <v>8</v>
      </c>
      <c r="AH1017" s="22" t="n">
        <f aca="false">SUBTOTAL(9,AH400)</f>
        <v>0</v>
      </c>
      <c r="AI1017" s="22" t="n">
        <f aca="false">SUBTOTAL(9,AI400)</f>
        <v>0</v>
      </c>
      <c r="AJ1017" s="22" t="n">
        <f aca="false">SUBTOTAL(9,AJ400)</f>
        <v>0</v>
      </c>
      <c r="AK1017" s="22" t="n">
        <f aca="false">SUBTOTAL(9,AK400)</f>
        <v>0</v>
      </c>
      <c r="AL1017" s="22" t="n">
        <f aca="false">SUBTOTAL(9,AL400)</f>
        <v>9.6</v>
      </c>
      <c r="AM1017" s="22" t="n">
        <f aca="false">SUBTOTAL(9,AM400)</f>
        <v>0</v>
      </c>
      <c r="AN1017" s="22" t="n">
        <f aca="false">SUBTOTAL(9,AN400)</f>
        <v>9.6</v>
      </c>
    </row>
    <row r="1018" customFormat="false" ht="13.8" hidden="false" customHeight="false" outlineLevel="0" collapsed="false">
      <c r="A1018" s="1" t="s">
        <v>1171</v>
      </c>
      <c r="C1018" s="1" t="s">
        <v>534</v>
      </c>
      <c r="E1018" s="1" t="s">
        <v>535</v>
      </c>
      <c r="F1018" s="1" t="n">
        <f aca="false">SUBTOTAL(9,F401:F407)</f>
        <v>5</v>
      </c>
      <c r="G1018" s="1" t="n">
        <f aca="false">SUBTOTAL(9,G401:G407)</f>
        <v>7</v>
      </c>
      <c r="H1018" s="1" t="n">
        <f aca="false">SUBTOTAL(9,H401:H407)</f>
        <v>186</v>
      </c>
      <c r="I1018" s="8" t="n">
        <f aca="false">SUBTOTAL(9,I401:I407)</f>
        <v>34379917</v>
      </c>
      <c r="J1018" s="1" t="n">
        <f aca="false">SUBTOTAL(9,J401:J407)</f>
        <v>14</v>
      </c>
      <c r="L1018" s="1" t="n">
        <f aca="false">SUBTOTAL(9,L401:L407)</f>
        <v>16</v>
      </c>
      <c r="M1018" s="1" t="n">
        <f aca="false">SUBTOTAL(9,M401:M407)</f>
        <v>3</v>
      </c>
      <c r="N1018" s="1" t="n">
        <f aca="false">SUBTOTAL(9,N401:N407)</f>
        <v>0</v>
      </c>
      <c r="O1018" s="1" t="n">
        <f aca="false">SUBTOTAL(9,O401:O407)</f>
        <v>2</v>
      </c>
      <c r="P1018" s="1" t="n">
        <f aca="false">SUBTOTAL(9,P401:P407)</f>
        <v>5</v>
      </c>
      <c r="Q1018" s="1" t="n">
        <f aca="false">SUBTOTAL(9,Q401:Q407)</f>
        <v>0</v>
      </c>
      <c r="R1018" s="1" t="n">
        <f aca="false">SUBTOTAL(9,R401:R407)</f>
        <v>7</v>
      </c>
      <c r="S1018" s="1" t="n">
        <f aca="false">SUBTOTAL(9,S401:S407)</f>
        <v>0</v>
      </c>
      <c r="T1018" s="1" t="n">
        <f aca="false">SUBTOTAL(9,T401:T407)</f>
        <v>0</v>
      </c>
      <c r="U1018" s="1" t="n">
        <f aca="false">SUBTOTAL(9,U401:U407)</f>
        <v>27</v>
      </c>
      <c r="V1018" s="1" t="n">
        <f aca="false">SUBTOTAL(9,V401:V407)</f>
        <v>0</v>
      </c>
      <c r="W1018" s="1" t="n">
        <f aca="false">SUBTOTAL(9,W401:W407)</f>
        <v>34</v>
      </c>
      <c r="X1018" s="1" t="n">
        <f aca="false">SUBTOTAL(9,X401:X407)</f>
        <v>5</v>
      </c>
      <c r="Y1018" s="1" t="n">
        <f aca="false">SUBTOTAL(9,Y401:Y407)</f>
        <v>3</v>
      </c>
      <c r="Z1018" s="20" t="n">
        <f aca="false">SUBTOTAL(9,Z401:Z407)</f>
        <v>0</v>
      </c>
      <c r="AA1018" s="20" t="n">
        <f aca="false">SUBTOTAL(9,AA401:AA407)</f>
        <v>9.8</v>
      </c>
      <c r="AB1018" s="20" t="n">
        <f aca="false">SUBTOTAL(9,AB401:AB407)</f>
        <v>0</v>
      </c>
      <c r="AC1018" s="20" t="n">
        <f aca="false">SUBTOTAL(9,AC401:AC407)</f>
        <v>0</v>
      </c>
      <c r="AD1018" s="20" t="n">
        <f aca="false">SUBTOTAL(9,AD401:AD407)</f>
        <v>37.8</v>
      </c>
      <c r="AE1018" s="20" t="n">
        <f aca="false">SUBTOTAL(9,AE401:AE407)</f>
        <v>0</v>
      </c>
      <c r="AF1018" s="20" t="n">
        <f aca="false">SUBTOTAL(9,AF401:AF407)</f>
        <v>47.6</v>
      </c>
      <c r="AH1018" s="22" t="n">
        <f aca="false">SUBTOTAL(9,AH401:AH407)</f>
        <v>0</v>
      </c>
      <c r="AI1018" s="22" t="n">
        <f aca="false">SUBTOTAL(9,AI401:AI407)</f>
        <v>11.76</v>
      </c>
      <c r="AJ1018" s="22" t="n">
        <f aca="false">SUBTOTAL(9,AJ401:AJ407)</f>
        <v>0</v>
      </c>
      <c r="AK1018" s="22" t="n">
        <f aca="false">SUBTOTAL(9,AK401:AK407)</f>
        <v>0</v>
      </c>
      <c r="AL1018" s="22" t="n">
        <f aca="false">SUBTOTAL(9,AL401:AL407)</f>
        <v>45.36</v>
      </c>
      <c r="AM1018" s="22" t="n">
        <f aca="false">SUBTOTAL(9,AM401:AM407)</f>
        <v>0</v>
      </c>
      <c r="AN1018" s="22" t="n">
        <f aca="false">SUBTOTAL(9,AN401:AN407)</f>
        <v>57.12</v>
      </c>
    </row>
    <row r="1019" customFormat="false" ht="13.8" hidden="false" customHeight="false" outlineLevel="0" collapsed="false">
      <c r="A1019" s="1" t="s">
        <v>1171</v>
      </c>
      <c r="C1019" s="1" t="s">
        <v>543</v>
      </c>
      <c r="E1019" s="1" t="s">
        <v>544</v>
      </c>
      <c r="F1019" s="1" t="n">
        <f aca="false">SUBTOTAL(9,F408:F409)</f>
        <v>4</v>
      </c>
      <c r="G1019" s="1" t="n">
        <f aca="false">SUBTOTAL(9,G408:G409)</f>
        <v>2</v>
      </c>
      <c r="H1019" s="1" t="n">
        <f aca="false">SUBTOTAL(9,H408:H409)</f>
        <v>27</v>
      </c>
      <c r="I1019" s="8" t="n">
        <f aca="false">SUBTOTAL(9,I408:I409)</f>
        <v>2038485</v>
      </c>
      <c r="J1019" s="1" t="n">
        <f aca="false">SUBTOTAL(9,J408:J409)</f>
        <v>4</v>
      </c>
      <c r="L1019" s="1" t="n">
        <f aca="false">SUBTOTAL(9,L408:L409)</f>
        <v>3</v>
      </c>
      <c r="M1019" s="1" t="n">
        <f aca="false">SUBTOTAL(9,M408:M409)</f>
        <v>0</v>
      </c>
      <c r="N1019" s="1" t="n">
        <f aca="false">SUBTOTAL(9,N408:N409)</f>
        <v>0</v>
      </c>
      <c r="O1019" s="1" t="n">
        <f aca="false">SUBTOTAL(9,O408:O409)</f>
        <v>1</v>
      </c>
      <c r="P1019" s="1" t="n">
        <f aca="false">SUBTOTAL(9,P408:P409)</f>
        <v>1</v>
      </c>
      <c r="Q1019" s="1" t="n">
        <f aca="false">SUBTOTAL(9,Q408:Q409)</f>
        <v>0</v>
      </c>
      <c r="R1019" s="1" t="n">
        <f aca="false">SUBTOTAL(9,R408:R409)</f>
        <v>0</v>
      </c>
      <c r="S1019" s="1" t="n">
        <f aca="false">SUBTOTAL(9,S408:S409)</f>
        <v>0</v>
      </c>
      <c r="T1019" s="1" t="n">
        <f aca="false">SUBTOTAL(9,T408:T409)</f>
        <v>0</v>
      </c>
      <c r="U1019" s="1" t="n">
        <f aca="false">SUBTOTAL(9,U408:U409)</f>
        <v>0</v>
      </c>
      <c r="V1019" s="1" t="n">
        <f aca="false">SUBTOTAL(9,V408:V409)</f>
        <v>0</v>
      </c>
      <c r="W1019" s="1" t="n">
        <f aca="false">SUBTOTAL(9,W408:W409)</f>
        <v>0</v>
      </c>
      <c r="X1019" s="1" t="n">
        <f aca="false">SUBTOTAL(9,X408:X409)</f>
        <v>0</v>
      </c>
      <c r="Y1019" s="1" t="n">
        <f aca="false">SUBTOTAL(9,Y408:Y409)</f>
        <v>0</v>
      </c>
      <c r="Z1019" s="20" t="n">
        <f aca="false">SUBTOTAL(9,Z408:Z409)</f>
        <v>0</v>
      </c>
      <c r="AA1019" s="20" t="n">
        <f aca="false">SUBTOTAL(9,AA408:AA409)</f>
        <v>0</v>
      </c>
      <c r="AB1019" s="20" t="n">
        <f aca="false">SUBTOTAL(9,AB408:AB409)</f>
        <v>0</v>
      </c>
      <c r="AC1019" s="20" t="n">
        <f aca="false">SUBTOTAL(9,AC408:AC409)</f>
        <v>0</v>
      </c>
      <c r="AD1019" s="20" t="n">
        <f aca="false">SUBTOTAL(9,AD408:AD409)</f>
        <v>0</v>
      </c>
      <c r="AE1019" s="20" t="n">
        <f aca="false">SUBTOTAL(9,AE408:AE409)</f>
        <v>0</v>
      </c>
      <c r="AF1019" s="20" t="n">
        <f aca="false">SUBTOTAL(9,AF408:AF409)</f>
        <v>0</v>
      </c>
      <c r="AH1019" s="22" t="n">
        <f aca="false">SUBTOTAL(9,AH408:AH409)</f>
        <v>0</v>
      </c>
      <c r="AI1019" s="22" t="n">
        <f aca="false">SUBTOTAL(9,AI408:AI409)</f>
        <v>0</v>
      </c>
      <c r="AJ1019" s="22" t="n">
        <f aca="false">SUBTOTAL(9,AJ408:AJ409)</f>
        <v>0</v>
      </c>
      <c r="AK1019" s="22" t="n">
        <f aca="false">SUBTOTAL(9,AK408:AK409)</f>
        <v>0</v>
      </c>
      <c r="AL1019" s="22" t="n">
        <f aca="false">SUBTOTAL(9,AL408:AL409)</f>
        <v>0</v>
      </c>
      <c r="AM1019" s="22" t="n">
        <f aca="false">SUBTOTAL(9,AM408:AM409)</f>
        <v>0</v>
      </c>
      <c r="AN1019" s="22" t="n">
        <f aca="false">SUBTOTAL(9,AN408:AN409)</f>
        <v>0</v>
      </c>
    </row>
    <row r="1020" customFormat="false" ht="13.8" hidden="false" customHeight="false" outlineLevel="0" collapsed="false">
      <c r="A1020" s="1" t="s">
        <v>1171</v>
      </c>
      <c r="C1020" s="1" t="s">
        <v>547</v>
      </c>
      <c r="E1020" s="1" t="s">
        <v>548</v>
      </c>
      <c r="F1020" s="13" t="n">
        <f aca="false">SUBTOTAL(9,F410:F422)</f>
        <v>162</v>
      </c>
      <c r="G1020" s="1" t="n">
        <f aca="false">SUBTOTAL(9,G410:G422)</f>
        <v>13</v>
      </c>
      <c r="H1020" s="1" t="n">
        <f aca="false">SUBTOTAL(9,H410:H422)</f>
        <v>86</v>
      </c>
      <c r="I1020" s="8" t="n">
        <f aca="false">SUBTOTAL(9,I410:I422)</f>
        <v>16424054</v>
      </c>
      <c r="J1020" s="1" t="n">
        <f aca="false">SUBTOTAL(9,J410:J422)</f>
        <v>27</v>
      </c>
      <c r="L1020" s="1" t="n">
        <f aca="false">SUBTOTAL(9,L410:L422)</f>
        <v>39</v>
      </c>
      <c r="M1020" s="1" t="n">
        <f aca="false">SUBTOTAL(9,M410:M422)</f>
        <v>3</v>
      </c>
      <c r="N1020" s="1" t="n">
        <f aca="false">SUBTOTAL(9,N410:N422)</f>
        <v>2</v>
      </c>
      <c r="O1020" s="1" t="n">
        <f aca="false">SUBTOTAL(9,O410:O422)</f>
        <v>8</v>
      </c>
      <c r="P1020" s="1" t="n">
        <f aca="false">SUBTOTAL(9,P410:P422)</f>
        <v>13</v>
      </c>
      <c r="Q1020" s="1" t="n">
        <f aca="false">SUBTOTAL(9,Q410:Q422)</f>
        <v>34</v>
      </c>
      <c r="R1020" s="1" t="n">
        <f aca="false">SUBTOTAL(9,R410:R422)</f>
        <v>0</v>
      </c>
      <c r="S1020" s="1" t="n">
        <f aca="false">SUBTOTAL(9,S410:S422)</f>
        <v>0</v>
      </c>
      <c r="T1020" s="1" t="n">
        <f aca="false">SUBTOTAL(9,T410:T422)</f>
        <v>8</v>
      </c>
      <c r="U1020" s="1" t="n">
        <f aca="false">SUBTOTAL(9,U410:U422)</f>
        <v>10</v>
      </c>
      <c r="V1020" s="1" t="n">
        <f aca="false">SUBTOTAL(9,V410:V422)</f>
        <v>0</v>
      </c>
      <c r="W1020" s="1" t="n">
        <f aca="false">SUBTOTAL(9,W410:W422)</f>
        <v>52</v>
      </c>
      <c r="X1020" s="1" t="n">
        <f aca="false">SUBTOTAL(9,X410:X422)</f>
        <v>9</v>
      </c>
      <c r="Y1020" s="1" t="n">
        <f aca="false">SUBTOTAL(9,Y410:Y422)</f>
        <v>22</v>
      </c>
      <c r="Z1020" s="20" t="n">
        <f aca="false">SUBTOTAL(9,Z410:Z422)</f>
        <v>47.6</v>
      </c>
      <c r="AA1020" s="20" t="n">
        <f aca="false">SUBTOTAL(9,AA410:AA422)</f>
        <v>0</v>
      </c>
      <c r="AB1020" s="20" t="n">
        <f aca="false">SUBTOTAL(9,AB410:AB422)</f>
        <v>0</v>
      </c>
      <c r="AC1020" s="20" t="n">
        <f aca="false">SUBTOTAL(9,AC410:AC422)</f>
        <v>11.2</v>
      </c>
      <c r="AD1020" s="20" t="n">
        <f aca="false">SUBTOTAL(9,AD410:AD422)</f>
        <v>15.2</v>
      </c>
      <c r="AE1020" s="20" t="n">
        <f aca="false">SUBTOTAL(9,AE410:AE422)</f>
        <v>0</v>
      </c>
      <c r="AF1020" s="20" t="n">
        <f aca="false">SUBTOTAL(9,AF410:AF422)</f>
        <v>74</v>
      </c>
      <c r="AH1020" s="22" t="n">
        <f aca="false">SUBTOTAL(9,AH410:AH422)</f>
        <v>57.12</v>
      </c>
      <c r="AI1020" s="22" t="n">
        <f aca="false">SUBTOTAL(9,AI410:AI422)</f>
        <v>0</v>
      </c>
      <c r="AJ1020" s="22" t="n">
        <f aca="false">SUBTOTAL(9,AJ410:AJ422)</f>
        <v>0</v>
      </c>
      <c r="AK1020" s="22" t="n">
        <f aca="false">SUBTOTAL(9,AK410:AK422)</f>
        <v>13.44</v>
      </c>
      <c r="AL1020" s="22" t="n">
        <f aca="false">SUBTOTAL(9,AL410:AL422)</f>
        <v>18.24</v>
      </c>
      <c r="AM1020" s="22" t="n">
        <f aca="false">SUBTOTAL(9,AM410:AM422)</f>
        <v>0</v>
      </c>
      <c r="AN1020" s="22" t="n">
        <f aca="false">SUBTOTAL(9,AN410:AN422)</f>
        <v>88.8</v>
      </c>
    </row>
    <row r="1021" customFormat="false" ht="13.8" hidden="false" customHeight="false" outlineLevel="0" collapsed="false">
      <c r="A1021" s="1" t="s">
        <v>1171</v>
      </c>
      <c r="C1021" s="1" t="s">
        <v>562</v>
      </c>
      <c r="E1021" s="1" t="s">
        <v>563</v>
      </c>
      <c r="F1021" s="1" t="n">
        <f aca="false">SUBTOTAL(9,F423:F427)</f>
        <v>17</v>
      </c>
      <c r="G1021" s="1" t="n">
        <f aca="false">SUBTOTAL(9,G423:G427)</f>
        <v>5</v>
      </c>
      <c r="H1021" s="1" t="n">
        <f aca="false">SUBTOTAL(9,H423:H427)</f>
        <v>76</v>
      </c>
      <c r="I1021" s="8" t="n">
        <f aca="false">SUBTOTAL(9,I423:I427)</f>
        <v>772943</v>
      </c>
      <c r="J1021" s="1" t="n">
        <f aca="false">SUBTOTAL(9,J423:J427)</f>
        <v>5</v>
      </c>
      <c r="L1021" s="1" t="n">
        <f aca="false">SUBTOTAL(9,L423:L427)</f>
        <v>8</v>
      </c>
      <c r="M1021" s="1" t="n">
        <f aca="false">SUBTOTAL(9,M423:M427)</f>
        <v>1</v>
      </c>
      <c r="N1021" s="1" t="n">
        <f aca="false">SUBTOTAL(9,N423:N427)</f>
        <v>0</v>
      </c>
      <c r="O1021" s="1" t="n">
        <f aca="false">SUBTOTAL(9,O423:O427)</f>
        <v>3</v>
      </c>
      <c r="P1021" s="1" t="n">
        <f aca="false">SUBTOTAL(9,P423:P427)</f>
        <v>4</v>
      </c>
      <c r="Q1021" s="1" t="n">
        <f aca="false">SUBTOTAL(9,Q423:Q427)</f>
        <v>0</v>
      </c>
      <c r="R1021" s="1" t="n">
        <f aca="false">SUBTOTAL(9,R423:R427)</f>
        <v>0</v>
      </c>
      <c r="S1021" s="1" t="n">
        <f aca="false">SUBTOTAL(9,S423:S427)</f>
        <v>0</v>
      </c>
      <c r="T1021" s="1" t="n">
        <f aca="false">SUBTOTAL(9,T423:T427)</f>
        <v>0</v>
      </c>
      <c r="U1021" s="1" t="n">
        <f aca="false">SUBTOTAL(9,U423:U427)</f>
        <v>2</v>
      </c>
      <c r="V1021" s="1" t="n">
        <f aca="false">SUBTOTAL(9,V423:V427)</f>
        <v>3</v>
      </c>
      <c r="W1021" s="1" t="n">
        <f aca="false">SUBTOTAL(9,W423:W427)</f>
        <v>5</v>
      </c>
      <c r="X1021" s="1" t="n">
        <f aca="false">SUBTOTAL(9,X423:X427)</f>
        <v>1</v>
      </c>
      <c r="Y1021" s="1" t="n">
        <f aca="false">SUBTOTAL(9,Y423:Y427)</f>
        <v>0</v>
      </c>
      <c r="Z1021" s="20" t="n">
        <f aca="false">SUBTOTAL(9,Z423:Z427)</f>
        <v>0</v>
      </c>
      <c r="AA1021" s="20" t="n">
        <f aca="false">SUBTOTAL(9,AA423:AA427)</f>
        <v>0</v>
      </c>
      <c r="AB1021" s="20" t="n">
        <f aca="false">SUBTOTAL(9,AB423:AB427)</f>
        <v>0</v>
      </c>
      <c r="AC1021" s="20" t="n">
        <f aca="false">SUBTOTAL(9,AC423:AC427)</f>
        <v>0</v>
      </c>
      <c r="AD1021" s="20" t="n">
        <f aca="false">SUBTOTAL(9,AD423:AD427)</f>
        <v>2.4</v>
      </c>
      <c r="AE1021" s="20" t="n">
        <f aca="false">SUBTOTAL(9,AE423:AE427)</f>
        <v>3.6</v>
      </c>
      <c r="AF1021" s="20" t="n">
        <f aca="false">SUBTOTAL(9,AF423:AF427)</f>
        <v>6</v>
      </c>
      <c r="AH1021" s="22" t="n">
        <f aca="false">SUBTOTAL(9,AH423:AH427)</f>
        <v>0</v>
      </c>
      <c r="AI1021" s="22" t="n">
        <f aca="false">SUBTOTAL(9,AI423:AI427)</f>
        <v>0</v>
      </c>
      <c r="AJ1021" s="22" t="n">
        <f aca="false">SUBTOTAL(9,AJ423:AJ427)</f>
        <v>0</v>
      </c>
      <c r="AK1021" s="22" t="n">
        <f aca="false">SUBTOTAL(9,AK423:AK427)</f>
        <v>0</v>
      </c>
      <c r="AL1021" s="22" t="n">
        <f aca="false">SUBTOTAL(9,AL423:AL427)</f>
        <v>2.88</v>
      </c>
      <c r="AM1021" s="22" t="n">
        <f aca="false">SUBTOTAL(9,AM423:AM427)</f>
        <v>4.32</v>
      </c>
      <c r="AN1021" s="22" t="n">
        <f aca="false">SUBTOTAL(9,AN423:AN427)</f>
        <v>7.2</v>
      </c>
    </row>
    <row r="1022" customFormat="false" ht="13.8" hidden="false" customHeight="false" outlineLevel="0" collapsed="false">
      <c r="A1022" s="1" t="s">
        <v>1171</v>
      </c>
      <c r="C1022" s="1" t="s">
        <v>569</v>
      </c>
      <c r="E1022" s="1" t="s">
        <v>568</v>
      </c>
      <c r="F1022" s="1" t="n">
        <f aca="false">SUBTOTAL(9,F428)</f>
        <v>3</v>
      </c>
      <c r="G1022" s="1" t="n">
        <f aca="false">SUBTOTAL(9,G428)</f>
        <v>1</v>
      </c>
      <c r="H1022" s="1" t="n">
        <f aca="false">SUBTOTAL(9,H428)</f>
        <v>7</v>
      </c>
      <c r="I1022" s="8" t="n">
        <f aca="false">SUBTOTAL(9,I428)</f>
        <v>5580595</v>
      </c>
      <c r="J1022" s="1" t="n">
        <f aca="false">SUBTOTAL(9,J428)</f>
        <v>2</v>
      </c>
      <c r="L1022" s="1" t="n">
        <f aca="false">SUBTOTAL(9,L428)</f>
        <v>4</v>
      </c>
      <c r="M1022" s="1" t="n">
        <f aca="false">SUBTOTAL(9,M428)</f>
        <v>1</v>
      </c>
      <c r="N1022" s="1" t="n">
        <f aca="false">SUBTOTAL(9,N428)</f>
        <v>0</v>
      </c>
      <c r="O1022" s="1" t="n">
        <f aca="false">SUBTOTAL(9,O428)</f>
        <v>2</v>
      </c>
      <c r="P1022" s="1" t="n">
        <f aca="false">SUBTOTAL(9,P428)</f>
        <v>3</v>
      </c>
      <c r="Q1022" s="1" t="n">
        <f aca="false">SUBTOTAL(9,Q428)</f>
        <v>0</v>
      </c>
      <c r="R1022" s="1" t="n">
        <f aca="false">SUBTOTAL(9,R428)</f>
        <v>0</v>
      </c>
      <c r="S1022" s="1" t="n">
        <f aca="false">SUBTOTAL(9,S428)</f>
        <v>0</v>
      </c>
      <c r="T1022" s="1" t="n">
        <f aca="false">SUBTOTAL(9,T428)</f>
        <v>0</v>
      </c>
      <c r="U1022" s="1" t="n">
        <f aca="false">SUBTOTAL(9,U428)</f>
        <v>0</v>
      </c>
      <c r="V1022" s="1" t="n">
        <f aca="false">SUBTOTAL(9,V428)</f>
        <v>2</v>
      </c>
      <c r="W1022" s="1" t="n">
        <f aca="false">SUBTOTAL(9,W428)</f>
        <v>2</v>
      </c>
      <c r="X1022" s="1" t="n">
        <f aca="false">SUBTOTAL(9,X428)</f>
        <v>0</v>
      </c>
      <c r="Y1022" s="1" t="n">
        <f aca="false">SUBTOTAL(9,Y428)</f>
        <v>0</v>
      </c>
      <c r="Z1022" s="20" t="n">
        <f aca="false">SUBTOTAL(9,Z428)</f>
        <v>0</v>
      </c>
      <c r="AA1022" s="20" t="n">
        <f aca="false">SUBTOTAL(9,AA428)</f>
        <v>0</v>
      </c>
      <c r="AB1022" s="20" t="n">
        <f aca="false">SUBTOTAL(9,AB428)</f>
        <v>0</v>
      </c>
      <c r="AC1022" s="20" t="n">
        <f aca="false">SUBTOTAL(9,AC428)</f>
        <v>0</v>
      </c>
      <c r="AD1022" s="20" t="n">
        <f aca="false">SUBTOTAL(9,AD428)</f>
        <v>0</v>
      </c>
      <c r="AE1022" s="20" t="n">
        <f aca="false">SUBTOTAL(9,AE428)</f>
        <v>2.8</v>
      </c>
      <c r="AF1022" s="20" t="n">
        <f aca="false">SUBTOTAL(9,AF428)</f>
        <v>2.8</v>
      </c>
      <c r="AH1022" s="22" t="n">
        <f aca="false">SUBTOTAL(9,AH428)</f>
        <v>0</v>
      </c>
      <c r="AI1022" s="22" t="n">
        <f aca="false">SUBTOTAL(9,AI428)</f>
        <v>0</v>
      </c>
      <c r="AJ1022" s="22" t="n">
        <f aca="false">SUBTOTAL(9,AJ428)</f>
        <v>0</v>
      </c>
      <c r="AK1022" s="22" t="n">
        <f aca="false">SUBTOTAL(9,AK428)</f>
        <v>0</v>
      </c>
      <c r="AL1022" s="22" t="n">
        <f aca="false">SUBTOTAL(9,AL428)</f>
        <v>0</v>
      </c>
      <c r="AM1022" s="22" t="n">
        <f aca="false">SUBTOTAL(9,AM428)</f>
        <v>3.36</v>
      </c>
      <c r="AN1022" s="22" t="n">
        <f aca="false">SUBTOTAL(9,AN428)</f>
        <v>3.36</v>
      </c>
    </row>
    <row r="1023" customFormat="false" ht="13.8" hidden="false" customHeight="false" outlineLevel="0" collapsed="false">
      <c r="A1023" s="1" t="s">
        <v>1171</v>
      </c>
      <c r="C1023" s="1" t="s">
        <v>571</v>
      </c>
      <c r="E1023" s="1" t="s">
        <v>572</v>
      </c>
      <c r="F1023" s="1" t="n">
        <f aca="false">SUBTOTAL(9,F429:F433)</f>
        <v>91</v>
      </c>
      <c r="G1023" s="1" t="n">
        <f aca="false">SUBTOTAL(9,G429:G433)</f>
        <v>5</v>
      </c>
      <c r="H1023" s="1" t="n">
        <f aca="false">SUBTOTAL(9,H429:H433)</f>
        <v>25</v>
      </c>
      <c r="I1023" s="8" t="n">
        <f aca="false">SUBTOTAL(9,I429:I433)</f>
        <v>8174266</v>
      </c>
      <c r="J1023" s="1" t="n">
        <f aca="false">SUBTOTAL(9,J429:J433)</f>
        <v>12</v>
      </c>
      <c r="L1023" s="1" t="n">
        <f aca="false">SUBTOTAL(9,L429:L433)</f>
        <v>26</v>
      </c>
      <c r="M1023" s="1" t="n">
        <f aca="false">SUBTOTAL(9,M429:M433)</f>
        <v>4</v>
      </c>
      <c r="N1023" s="1" t="n">
        <f aca="false">SUBTOTAL(9,N429:N433)</f>
        <v>3</v>
      </c>
      <c r="O1023" s="1" t="n">
        <f aca="false">SUBTOTAL(9,O429:O433)</f>
        <v>11</v>
      </c>
      <c r="P1023" s="1" t="n">
        <f aca="false">SUBTOTAL(9,P429:P433)</f>
        <v>18</v>
      </c>
      <c r="Q1023" s="1" t="n">
        <f aca="false">SUBTOTAL(9,Q429:Q433)</f>
        <v>35</v>
      </c>
      <c r="R1023" s="1" t="n">
        <f aca="false">SUBTOTAL(9,R429:R433)</f>
        <v>60</v>
      </c>
      <c r="S1023" s="1" t="n">
        <f aca="false">SUBTOTAL(9,S429:S433)</f>
        <v>0</v>
      </c>
      <c r="T1023" s="1" t="n">
        <f aca="false">SUBTOTAL(9,T429:T433)</f>
        <v>0</v>
      </c>
      <c r="U1023" s="1" t="n">
        <f aca="false">SUBTOTAL(9,U429:U433)</f>
        <v>4</v>
      </c>
      <c r="V1023" s="1" t="n">
        <f aca="false">SUBTOTAL(9,V429:V433)</f>
        <v>0</v>
      </c>
      <c r="W1023" s="1" t="n">
        <f aca="false">SUBTOTAL(9,W429:W433)</f>
        <v>99</v>
      </c>
      <c r="X1023" s="1" t="n">
        <f aca="false">SUBTOTAL(9,X429:X433)</f>
        <v>5</v>
      </c>
      <c r="Y1023" s="1" t="n">
        <f aca="false">SUBTOTAL(9,Y429:Y433)</f>
        <v>20</v>
      </c>
      <c r="Z1023" s="20" t="n">
        <f aca="false">SUBTOTAL(9,Z429:Z433)</f>
        <v>49</v>
      </c>
      <c r="AA1023" s="20" t="n">
        <f aca="false">SUBTOTAL(9,AA429:AA433)</f>
        <v>84</v>
      </c>
      <c r="AB1023" s="20" t="n">
        <f aca="false">SUBTOTAL(9,AB429:AB433)</f>
        <v>0</v>
      </c>
      <c r="AC1023" s="20" t="n">
        <f aca="false">SUBTOTAL(9,AC429:AC433)</f>
        <v>0</v>
      </c>
      <c r="AD1023" s="20" t="n">
        <f aca="false">SUBTOTAL(9,AD429:AD433)</f>
        <v>6.4</v>
      </c>
      <c r="AE1023" s="20" t="n">
        <f aca="false">SUBTOTAL(9,AE429:AE433)</f>
        <v>0</v>
      </c>
      <c r="AF1023" s="20" t="n">
        <f aca="false">SUBTOTAL(9,AF429:AF433)</f>
        <v>139.4</v>
      </c>
      <c r="AH1023" s="22" t="n">
        <f aca="false">SUBTOTAL(9,AH429:AH433)</f>
        <v>58.8</v>
      </c>
      <c r="AI1023" s="22" t="n">
        <f aca="false">SUBTOTAL(9,AI429:AI433)</f>
        <v>100.8</v>
      </c>
      <c r="AJ1023" s="22" t="n">
        <f aca="false">SUBTOTAL(9,AJ429:AJ433)</f>
        <v>0</v>
      </c>
      <c r="AK1023" s="22" t="n">
        <f aca="false">SUBTOTAL(9,AK429:AK433)</f>
        <v>0</v>
      </c>
      <c r="AL1023" s="22" t="n">
        <f aca="false">SUBTOTAL(9,AL429:AL433)</f>
        <v>7.68</v>
      </c>
      <c r="AM1023" s="22" t="n">
        <f aca="false">SUBTOTAL(9,AM429:AM433)</f>
        <v>0</v>
      </c>
      <c r="AN1023" s="22" t="n">
        <f aca="false">SUBTOTAL(9,AN429:AN433)</f>
        <v>167.28</v>
      </c>
    </row>
    <row r="1024" customFormat="false" ht="13.8" hidden="false" customHeight="false" outlineLevel="0" collapsed="false">
      <c r="A1024" s="1" t="s">
        <v>1171</v>
      </c>
      <c r="C1024" s="1" t="s">
        <v>578</v>
      </c>
      <c r="E1024" s="1" t="s">
        <v>579</v>
      </c>
      <c r="F1024" s="1" t="n">
        <f aca="false">SUBTOTAL(9,F434:F436)</f>
        <v>18</v>
      </c>
      <c r="G1024" s="1" t="n">
        <f aca="false">SUBTOTAL(9,G434:G436)</f>
        <v>3</v>
      </c>
      <c r="H1024" s="1" t="n">
        <f aca="false">SUBTOTAL(9,H434:H436)</f>
        <v>42</v>
      </c>
      <c r="I1024" s="8" t="n">
        <f aca="false">SUBTOTAL(9,I434:I436)</f>
        <v>1572164</v>
      </c>
      <c r="J1024" s="1" t="n">
        <f aca="false">SUBTOTAL(9,J434:J436)</f>
        <v>8</v>
      </c>
      <c r="L1024" s="1" t="n">
        <f aca="false">SUBTOTAL(9,L434:L436)</f>
        <v>9</v>
      </c>
      <c r="M1024" s="1" t="n">
        <f aca="false">SUBTOTAL(9,M434:M436)</f>
        <v>1</v>
      </c>
      <c r="N1024" s="1" t="n">
        <f aca="false">SUBTOTAL(9,N434:N436)</f>
        <v>0</v>
      </c>
      <c r="O1024" s="1" t="n">
        <f aca="false">SUBTOTAL(9,O434:O436)</f>
        <v>4</v>
      </c>
      <c r="P1024" s="1" t="n">
        <f aca="false">SUBTOTAL(9,P434:P436)</f>
        <v>5</v>
      </c>
      <c r="Q1024" s="1" t="n">
        <f aca="false">SUBTOTAL(9,Q434:Q436)</f>
        <v>0</v>
      </c>
      <c r="R1024" s="1" t="n">
        <f aca="false">SUBTOTAL(9,R434:R436)</f>
        <v>0</v>
      </c>
      <c r="S1024" s="1" t="n">
        <f aca="false">SUBTOTAL(9,S434:S436)</f>
        <v>0</v>
      </c>
      <c r="T1024" s="1" t="n">
        <f aca="false">SUBTOTAL(9,T434:T436)</f>
        <v>4</v>
      </c>
      <c r="U1024" s="1" t="n">
        <f aca="false">SUBTOTAL(9,U434:U436)</f>
        <v>0</v>
      </c>
      <c r="V1024" s="1" t="n">
        <f aca="false">SUBTOTAL(9,V434:V436)</f>
        <v>0</v>
      </c>
      <c r="W1024" s="1" t="n">
        <f aca="false">SUBTOTAL(9,W434:W436)</f>
        <v>4</v>
      </c>
      <c r="X1024" s="1" t="n">
        <f aca="false">SUBTOTAL(9,X434:X436)</f>
        <v>4</v>
      </c>
      <c r="Y1024" s="1" t="n">
        <f aca="false">SUBTOTAL(9,Y434:Y436)</f>
        <v>7</v>
      </c>
      <c r="Z1024" s="20" t="n">
        <f aca="false">SUBTOTAL(9,Z434:Z436)</f>
        <v>0</v>
      </c>
      <c r="AA1024" s="20" t="n">
        <f aca="false">SUBTOTAL(9,AA434:AA436)</f>
        <v>0</v>
      </c>
      <c r="AB1024" s="20" t="n">
        <f aca="false">SUBTOTAL(9,AB434:AB436)</f>
        <v>0</v>
      </c>
      <c r="AC1024" s="20" t="n">
        <f aca="false">SUBTOTAL(9,AC434:AC436)</f>
        <v>6.4</v>
      </c>
      <c r="AD1024" s="20" t="n">
        <f aca="false">SUBTOTAL(9,AD434:AD436)</f>
        <v>0</v>
      </c>
      <c r="AE1024" s="20" t="n">
        <f aca="false">SUBTOTAL(9,AE434:AE436)</f>
        <v>0</v>
      </c>
      <c r="AF1024" s="20" t="n">
        <f aca="false">SUBTOTAL(9,AF434:AF436)</f>
        <v>6.4</v>
      </c>
      <c r="AH1024" s="22" t="n">
        <f aca="false">SUBTOTAL(9,AH434:AH436)</f>
        <v>0</v>
      </c>
      <c r="AI1024" s="22" t="n">
        <f aca="false">SUBTOTAL(9,AI434:AI436)</f>
        <v>0</v>
      </c>
      <c r="AJ1024" s="22" t="n">
        <f aca="false">SUBTOTAL(9,AJ434:AJ436)</f>
        <v>0</v>
      </c>
      <c r="AK1024" s="22" t="n">
        <f aca="false">SUBTOTAL(9,AK434:AK436)</f>
        <v>7.68</v>
      </c>
      <c r="AL1024" s="22" t="n">
        <f aca="false">SUBTOTAL(9,AL434:AL436)</f>
        <v>0</v>
      </c>
      <c r="AM1024" s="22" t="n">
        <f aca="false">SUBTOTAL(9,AM434:AM436)</f>
        <v>0</v>
      </c>
      <c r="AN1024" s="22" t="n">
        <f aca="false">SUBTOTAL(9,AN434:AN436)</f>
        <v>7.68</v>
      </c>
    </row>
    <row r="1025" customFormat="false" ht="13.8" hidden="false" customHeight="false" outlineLevel="0" collapsed="false">
      <c r="A1025" s="1" t="s">
        <v>1171</v>
      </c>
      <c r="C1025" s="1" t="s">
        <v>13</v>
      </c>
      <c r="E1025" s="1" t="s">
        <v>582</v>
      </c>
      <c r="F1025" s="13" t="n">
        <f aca="false">SUBTOTAL(9,F437)</f>
        <v>4</v>
      </c>
      <c r="G1025" s="1" t="n">
        <f aca="false">SUBTOTAL(9,G437)</f>
        <v>1</v>
      </c>
      <c r="H1025" s="1" t="n">
        <f aca="false">SUBTOTAL(9,H437)</f>
        <v>6</v>
      </c>
      <c r="I1025" s="8" t="n">
        <f aca="false">SUBTOTAL(9,I437)</f>
        <v>683834</v>
      </c>
      <c r="J1025" s="1" t="n">
        <f aca="false">SUBTOTAL(9,J437)</f>
        <v>2</v>
      </c>
      <c r="L1025" s="1" t="n">
        <f aca="false">SUBTOTAL(9,L437)</f>
        <v>4</v>
      </c>
      <c r="M1025" s="1" t="n">
        <f aca="false">SUBTOTAL(9,M437)</f>
        <v>1</v>
      </c>
      <c r="N1025" s="1" t="n">
        <f aca="false">SUBTOTAL(9,N437)</f>
        <v>0</v>
      </c>
      <c r="O1025" s="1" t="n">
        <f aca="false">SUBTOTAL(9,O437)</f>
        <v>2</v>
      </c>
      <c r="P1025" s="1" t="n">
        <f aca="false">SUBTOTAL(9,P437)</f>
        <v>3</v>
      </c>
      <c r="Q1025" s="1" t="n">
        <f aca="false">SUBTOTAL(9,Q437)</f>
        <v>0</v>
      </c>
      <c r="R1025" s="1" t="n">
        <f aca="false">SUBTOTAL(9,R437)</f>
        <v>0</v>
      </c>
      <c r="S1025" s="1" t="n">
        <f aca="false">SUBTOTAL(9,S437)</f>
        <v>0</v>
      </c>
      <c r="T1025" s="1" t="n">
        <f aca="false">SUBTOTAL(9,T437)</f>
        <v>0</v>
      </c>
      <c r="U1025" s="1" t="n">
        <f aca="false">SUBTOTAL(9,U437)</f>
        <v>0</v>
      </c>
      <c r="V1025" s="1" t="n">
        <f aca="false">SUBTOTAL(9,V437)</f>
        <v>1</v>
      </c>
      <c r="W1025" s="1" t="n">
        <f aca="false">SUBTOTAL(9,W437)</f>
        <v>1</v>
      </c>
      <c r="X1025" s="1" t="n">
        <f aca="false">SUBTOTAL(9,X437)</f>
        <v>1</v>
      </c>
      <c r="Y1025" s="1" t="n">
        <f aca="false">SUBTOTAL(9,Y437)</f>
        <v>1</v>
      </c>
      <c r="Z1025" s="20" t="n">
        <f aca="false">SUBTOTAL(9,Z437)</f>
        <v>0</v>
      </c>
      <c r="AA1025" s="20" t="n">
        <f aca="false">SUBTOTAL(9,AA437)</f>
        <v>0</v>
      </c>
      <c r="AB1025" s="20" t="n">
        <f aca="false">SUBTOTAL(9,AB437)</f>
        <v>0</v>
      </c>
      <c r="AC1025" s="20" t="n">
        <f aca="false">SUBTOTAL(9,AC437)</f>
        <v>0</v>
      </c>
      <c r="AD1025" s="20" t="n">
        <f aca="false">SUBTOTAL(9,AD437)</f>
        <v>0</v>
      </c>
      <c r="AE1025" s="20" t="n">
        <f aca="false">SUBTOTAL(9,AE437)</f>
        <v>1.4</v>
      </c>
      <c r="AF1025" s="20" t="n">
        <f aca="false">SUBTOTAL(9,AF437)</f>
        <v>1.4</v>
      </c>
      <c r="AH1025" s="22" t="n">
        <f aca="false">SUBTOTAL(9,AH437)</f>
        <v>0</v>
      </c>
      <c r="AI1025" s="22" t="n">
        <f aca="false">SUBTOTAL(9,AI437)</f>
        <v>0</v>
      </c>
      <c r="AJ1025" s="22" t="n">
        <f aca="false">SUBTOTAL(9,AJ437)</f>
        <v>0</v>
      </c>
      <c r="AK1025" s="22" t="n">
        <f aca="false">SUBTOTAL(9,AK437)</f>
        <v>0</v>
      </c>
      <c r="AL1025" s="22" t="n">
        <f aca="false">SUBTOTAL(9,AL437)</f>
        <v>0</v>
      </c>
      <c r="AM1025" s="22" t="n">
        <f aca="false">SUBTOTAL(9,AM437)</f>
        <v>1.68</v>
      </c>
      <c r="AN1025" s="22" t="n">
        <f aca="false">SUBTOTAL(9,AN437)</f>
        <v>1.68</v>
      </c>
    </row>
    <row r="1026" customFormat="false" ht="13.8" hidden="false" customHeight="false" outlineLevel="0" collapsed="false">
      <c r="A1026" s="1" t="s">
        <v>1171</v>
      </c>
      <c r="C1026" s="1" t="s">
        <v>584</v>
      </c>
      <c r="E1026" s="1" t="s">
        <v>585</v>
      </c>
      <c r="F1026" s="1" t="n">
        <f aca="false">SUBTOTAL(9,F438:F448)</f>
        <v>44</v>
      </c>
      <c r="G1026" s="1" t="n">
        <f aca="false">SUBTOTAL(9,G438:G448)</f>
        <v>11</v>
      </c>
      <c r="H1026" s="1" t="n">
        <f aca="false">SUBTOTAL(9,H438:H448)</f>
        <v>136</v>
      </c>
      <c r="I1026" s="8" t="n">
        <f aca="false">SUBTOTAL(9,I438:I448)</f>
        <v>3090323</v>
      </c>
      <c r="J1026" s="1" t="n">
        <f aca="false">SUBTOTAL(9,J438:J448)</f>
        <v>22</v>
      </c>
      <c r="L1026" s="1" t="n">
        <f aca="false">SUBTOTAL(9,L438:L448)</f>
        <v>26</v>
      </c>
      <c r="M1026" s="1" t="n">
        <f aca="false">SUBTOTAL(9,M438:M448)</f>
        <v>2</v>
      </c>
      <c r="N1026" s="1" t="n">
        <f aca="false">SUBTOTAL(9,N438:N448)</f>
        <v>2</v>
      </c>
      <c r="O1026" s="1" t="n">
        <f aca="false">SUBTOTAL(9,O438:O448)</f>
        <v>7</v>
      </c>
      <c r="P1026" s="1" t="n">
        <f aca="false">SUBTOTAL(9,P438:P448)</f>
        <v>11</v>
      </c>
      <c r="Q1026" s="1" t="n">
        <f aca="false">SUBTOTAL(9,Q438:Q448)</f>
        <v>0</v>
      </c>
      <c r="R1026" s="1" t="n">
        <f aca="false">SUBTOTAL(9,R438:R448)</f>
        <v>20</v>
      </c>
      <c r="S1026" s="1" t="n">
        <f aca="false">SUBTOTAL(9,S438:S448)</f>
        <v>0</v>
      </c>
      <c r="T1026" s="1" t="n">
        <f aca="false">SUBTOTAL(9,T438:T448)</f>
        <v>15</v>
      </c>
      <c r="U1026" s="1" t="n">
        <f aca="false">SUBTOTAL(9,U438:U448)</f>
        <v>9</v>
      </c>
      <c r="V1026" s="1" t="n">
        <f aca="false">SUBTOTAL(9,V438:V448)</f>
        <v>1</v>
      </c>
      <c r="W1026" s="1" t="n">
        <f aca="false">SUBTOTAL(9,W438:W448)</f>
        <v>45</v>
      </c>
      <c r="X1026" s="1" t="n">
        <f aca="false">SUBTOTAL(9,X438:X448)</f>
        <v>7</v>
      </c>
      <c r="Y1026" s="1" t="n">
        <f aca="false">SUBTOTAL(9,Y438:Y448)</f>
        <v>25</v>
      </c>
      <c r="Z1026" s="20" t="n">
        <f aca="false">SUBTOTAL(9,Z438:Z448)</f>
        <v>0</v>
      </c>
      <c r="AA1026" s="20" t="n">
        <f aca="false">SUBTOTAL(9,AA438:AA448)</f>
        <v>31</v>
      </c>
      <c r="AB1026" s="20" t="n">
        <f aca="false">SUBTOTAL(9,AB438:AB448)</f>
        <v>0</v>
      </c>
      <c r="AC1026" s="20" t="n">
        <f aca="false">SUBTOTAL(9,AC438:AC448)</f>
        <v>19</v>
      </c>
      <c r="AD1026" s="20" t="n">
        <f aca="false">SUBTOTAL(9,AD438:AD448)</f>
        <v>12.6</v>
      </c>
      <c r="AE1026" s="20" t="n">
        <f aca="false">SUBTOTAL(9,AE438:AE448)</f>
        <v>1.6</v>
      </c>
      <c r="AF1026" s="20" t="n">
        <f aca="false">SUBTOTAL(9,AF438:AF448)</f>
        <v>64.2</v>
      </c>
      <c r="AH1026" s="22" t="n">
        <f aca="false">SUBTOTAL(9,AH438:AH448)</f>
        <v>0</v>
      </c>
      <c r="AI1026" s="22" t="n">
        <f aca="false">SUBTOTAL(9,AI438:AI448)</f>
        <v>37.2</v>
      </c>
      <c r="AJ1026" s="22" t="n">
        <f aca="false">SUBTOTAL(9,AJ438:AJ448)</f>
        <v>0</v>
      </c>
      <c r="AK1026" s="22" t="n">
        <f aca="false">SUBTOTAL(9,AK438:AK448)</f>
        <v>21.4</v>
      </c>
      <c r="AL1026" s="22" t="n">
        <f aca="false">SUBTOTAL(9,AL438:AL448)</f>
        <v>14.28</v>
      </c>
      <c r="AM1026" s="22" t="n">
        <f aca="false">SUBTOTAL(9,AM438:AM448)</f>
        <v>1.92</v>
      </c>
      <c r="AN1026" s="22" t="n">
        <f aca="false">SUBTOTAL(9,AN438:AN448)</f>
        <v>74.8</v>
      </c>
    </row>
    <row r="1027" customFormat="false" ht="13.8" hidden="false" customHeight="false" outlineLevel="0" collapsed="false">
      <c r="A1027" s="1" t="s">
        <v>1171</v>
      </c>
      <c r="C1027" s="1" t="s">
        <v>597</v>
      </c>
      <c r="E1027" s="1" t="s">
        <v>596</v>
      </c>
      <c r="F1027" s="1" t="n">
        <f aca="false">SUBTOTAL(9,F449)</f>
        <v>3</v>
      </c>
      <c r="G1027" s="1" t="n">
        <f aca="false">SUBTOTAL(9,G449)</f>
        <v>1</v>
      </c>
      <c r="H1027" s="1" t="n">
        <f aca="false">SUBTOTAL(9,H449)</f>
        <v>9</v>
      </c>
      <c r="I1027" s="8" t="n">
        <f aca="false">SUBTOTAL(9,I449)</f>
        <v>369450</v>
      </c>
      <c r="J1027" s="1" t="n">
        <f aca="false">SUBTOTAL(9,J449)</f>
        <v>1</v>
      </c>
      <c r="L1027" s="1" t="n">
        <f aca="false">SUBTOTAL(9,L449)</f>
        <v>2</v>
      </c>
      <c r="M1027" s="1" t="n">
        <f aca="false">SUBTOTAL(9,M449)</f>
        <v>1</v>
      </c>
      <c r="N1027" s="1" t="n">
        <f aca="false">SUBTOTAL(9,N449)</f>
        <v>0</v>
      </c>
      <c r="O1027" s="1" t="n">
        <f aca="false">SUBTOTAL(9,O449)</f>
        <v>1</v>
      </c>
      <c r="P1027" s="1" t="n">
        <f aca="false">SUBTOTAL(9,P449)</f>
        <v>2</v>
      </c>
      <c r="Q1027" s="1" t="n">
        <f aca="false">SUBTOTAL(9,Q449)</f>
        <v>2</v>
      </c>
      <c r="R1027" s="1" t="n">
        <f aca="false">SUBTOTAL(9,R449)</f>
        <v>0</v>
      </c>
      <c r="S1027" s="1" t="n">
        <f aca="false">SUBTOTAL(9,S449)</f>
        <v>0</v>
      </c>
      <c r="T1027" s="1" t="n">
        <f aca="false">SUBTOTAL(9,T449)</f>
        <v>0</v>
      </c>
      <c r="U1027" s="1" t="n">
        <f aca="false">SUBTOTAL(9,U449)</f>
        <v>0</v>
      </c>
      <c r="V1027" s="1" t="n">
        <f aca="false">SUBTOTAL(9,V449)</f>
        <v>0</v>
      </c>
      <c r="W1027" s="1" t="n">
        <f aca="false">SUBTOTAL(9,W449)</f>
        <v>2</v>
      </c>
      <c r="X1027" s="1" t="n">
        <f aca="false">SUBTOTAL(9,X449)</f>
        <v>0</v>
      </c>
      <c r="Y1027" s="1" t="n">
        <f aca="false">SUBTOTAL(9,Y449)</f>
        <v>3</v>
      </c>
      <c r="Z1027" s="20" t="n">
        <f aca="false">SUBTOTAL(9,Z449)</f>
        <v>2.4</v>
      </c>
      <c r="AA1027" s="20" t="n">
        <f aca="false">SUBTOTAL(9,AA449)</f>
        <v>0</v>
      </c>
      <c r="AB1027" s="20" t="n">
        <f aca="false">SUBTOTAL(9,AB449)</f>
        <v>0</v>
      </c>
      <c r="AC1027" s="20" t="n">
        <f aca="false">SUBTOTAL(9,AC449)</f>
        <v>0</v>
      </c>
      <c r="AD1027" s="20" t="n">
        <f aca="false">SUBTOTAL(9,AD449)</f>
        <v>0</v>
      </c>
      <c r="AE1027" s="20" t="n">
        <f aca="false">SUBTOTAL(9,AE449)</f>
        <v>0</v>
      </c>
      <c r="AF1027" s="20" t="n">
        <f aca="false">SUBTOTAL(9,AF449)</f>
        <v>2.4</v>
      </c>
      <c r="AH1027" s="22" t="n">
        <f aca="false">SUBTOTAL(9,AH449)</f>
        <v>2.88</v>
      </c>
      <c r="AI1027" s="22" t="n">
        <f aca="false">SUBTOTAL(9,AI449)</f>
        <v>0</v>
      </c>
      <c r="AJ1027" s="22" t="n">
        <f aca="false">SUBTOTAL(9,AJ449)</f>
        <v>0</v>
      </c>
      <c r="AK1027" s="22" t="n">
        <f aca="false">SUBTOTAL(9,AK449)</f>
        <v>0</v>
      </c>
      <c r="AL1027" s="22" t="n">
        <f aca="false">SUBTOTAL(9,AL449)</f>
        <v>0</v>
      </c>
      <c r="AM1027" s="22" t="n">
        <f aca="false">SUBTOTAL(9,AM449)</f>
        <v>0</v>
      </c>
      <c r="AN1027" s="22" t="n">
        <f aca="false">SUBTOTAL(9,AN449)</f>
        <v>2.88</v>
      </c>
    </row>
    <row r="1028" customFormat="false" ht="13.8" hidden="false" customHeight="false" outlineLevel="0" collapsed="false">
      <c r="A1028" s="1" t="s">
        <v>1171</v>
      </c>
      <c r="C1028" s="1" t="s">
        <v>599</v>
      </c>
      <c r="E1028" s="1" t="s">
        <v>600</v>
      </c>
      <c r="F1028" s="1" t="n">
        <f aca="false">SUBTOTAL(9,F450)</f>
        <v>6</v>
      </c>
      <c r="G1028" s="1" t="n">
        <f aca="false">SUBTOTAL(9,G450)</f>
        <v>1</v>
      </c>
      <c r="H1028" s="1" t="n">
        <f aca="false">SUBTOTAL(9,H450)</f>
        <v>5</v>
      </c>
      <c r="I1028" s="8" t="n">
        <f aca="false">SUBTOTAL(9,I450)</f>
        <v>468030</v>
      </c>
      <c r="J1028" s="1" t="n">
        <f aca="false">SUBTOTAL(9,J450)</f>
        <v>2</v>
      </c>
      <c r="L1028" s="1" t="n">
        <f aca="false">SUBTOTAL(9,L450)</f>
        <v>4</v>
      </c>
      <c r="M1028" s="1" t="n">
        <f aca="false">SUBTOTAL(9,M450)</f>
        <v>1</v>
      </c>
      <c r="N1028" s="1" t="n">
        <f aca="false">SUBTOTAL(9,N450)</f>
        <v>0</v>
      </c>
      <c r="O1028" s="1" t="n">
        <f aca="false">SUBTOTAL(9,O450)</f>
        <v>2</v>
      </c>
      <c r="P1028" s="1" t="n">
        <f aca="false">SUBTOTAL(9,P450)</f>
        <v>3</v>
      </c>
      <c r="Q1028" s="1" t="n">
        <f aca="false">SUBTOTAL(9,Q450)</f>
        <v>1</v>
      </c>
      <c r="R1028" s="1" t="n">
        <f aca="false">SUBTOTAL(9,R450)</f>
        <v>0</v>
      </c>
      <c r="S1028" s="1" t="n">
        <f aca="false">SUBTOTAL(9,S450)</f>
        <v>0</v>
      </c>
      <c r="T1028" s="1" t="n">
        <f aca="false">SUBTOTAL(9,T450)</f>
        <v>0</v>
      </c>
      <c r="U1028" s="1" t="n">
        <f aca="false">SUBTOTAL(9,U450)</f>
        <v>0</v>
      </c>
      <c r="V1028" s="1" t="n">
        <f aca="false">SUBTOTAL(9,V450)</f>
        <v>0</v>
      </c>
      <c r="W1028" s="1" t="n">
        <f aca="false">SUBTOTAL(9,W450)</f>
        <v>1</v>
      </c>
      <c r="X1028" s="1" t="n">
        <f aca="false">SUBTOTAL(9,X450)</f>
        <v>1</v>
      </c>
      <c r="Y1028" s="1" t="n">
        <f aca="false">SUBTOTAL(9,Y450)</f>
        <v>5</v>
      </c>
      <c r="Z1028" s="20" t="n">
        <f aca="false">SUBTOTAL(9,Z450)</f>
        <v>1.4</v>
      </c>
      <c r="AA1028" s="20" t="n">
        <f aca="false">SUBTOTAL(9,AA450)</f>
        <v>0</v>
      </c>
      <c r="AB1028" s="20" t="n">
        <f aca="false">SUBTOTAL(9,AB450)</f>
        <v>0</v>
      </c>
      <c r="AC1028" s="20" t="n">
        <f aca="false">SUBTOTAL(9,AC450)</f>
        <v>0</v>
      </c>
      <c r="AD1028" s="20" t="n">
        <f aca="false">SUBTOTAL(9,AD450)</f>
        <v>0</v>
      </c>
      <c r="AE1028" s="20" t="n">
        <f aca="false">SUBTOTAL(9,AE450)</f>
        <v>0</v>
      </c>
      <c r="AF1028" s="20" t="n">
        <f aca="false">SUBTOTAL(9,AF450)</f>
        <v>1.4</v>
      </c>
      <c r="AH1028" s="22" t="n">
        <f aca="false">SUBTOTAL(9,AH450)</f>
        <v>1.68</v>
      </c>
      <c r="AI1028" s="22" t="n">
        <f aca="false">SUBTOTAL(9,AI450)</f>
        <v>0</v>
      </c>
      <c r="AJ1028" s="22" t="n">
        <f aca="false">SUBTOTAL(9,AJ450)</f>
        <v>0</v>
      </c>
      <c r="AK1028" s="22" t="n">
        <f aca="false">SUBTOTAL(9,AK450)</f>
        <v>0</v>
      </c>
      <c r="AL1028" s="22" t="n">
        <f aca="false">SUBTOTAL(9,AL450)</f>
        <v>0</v>
      </c>
      <c r="AM1028" s="22" t="n">
        <f aca="false">SUBTOTAL(9,AM450)</f>
        <v>0</v>
      </c>
      <c r="AN1028" s="22" t="n">
        <f aca="false">SUBTOTAL(9,AN450)</f>
        <v>1.68</v>
      </c>
    </row>
    <row r="1029" customFormat="false" ht="13.8" hidden="false" customHeight="false" outlineLevel="0" collapsed="false">
      <c r="A1029" s="1" t="s">
        <v>1171</v>
      </c>
      <c r="C1029" s="1" t="s">
        <v>602</v>
      </c>
      <c r="E1029" s="1" t="s">
        <v>603</v>
      </c>
      <c r="F1029" s="13" t="n">
        <f aca="false">SUBTOTAL(9,F451:F455)</f>
        <v>28</v>
      </c>
      <c r="G1029" s="1" t="n">
        <f aca="false">SUBTOTAL(9,G451:G455)</f>
        <v>5</v>
      </c>
      <c r="H1029" s="13" t="n">
        <f aca="false">SUBTOTAL(9,H451:H455)</f>
        <v>29</v>
      </c>
      <c r="I1029" s="16" t="n">
        <f aca="false">SUBTOTAL(9,I451:I455)</f>
        <v>6214557</v>
      </c>
      <c r="J1029" s="1" t="n">
        <f aca="false">SUBTOTAL(9,J451:J455)</f>
        <v>10</v>
      </c>
      <c r="L1029" s="13" t="n">
        <f aca="false">SUBTOTAL(9,L451:L455)</f>
        <v>15</v>
      </c>
      <c r="M1029" s="1" t="n">
        <f aca="false">SUBTOTAL(9,M451:M455)</f>
        <v>1</v>
      </c>
      <c r="N1029" s="1" t="n">
        <f aca="false">SUBTOTAL(9,N451:N455)</f>
        <v>0</v>
      </c>
      <c r="O1029" s="1" t="n">
        <f aca="false">SUBTOTAL(9,O451:O455)</f>
        <v>8</v>
      </c>
      <c r="P1029" s="1" t="n">
        <f aca="false">SUBTOTAL(9,P451:P455)</f>
        <v>9</v>
      </c>
      <c r="Q1029" s="1" t="n">
        <f aca="false">SUBTOTAL(9,Q451:Q455)</f>
        <v>14</v>
      </c>
      <c r="R1029" s="1" t="n">
        <f aca="false">SUBTOTAL(9,R451:R455)</f>
        <v>0</v>
      </c>
      <c r="S1029" s="1" t="n">
        <f aca="false">SUBTOTAL(9,S451:S455)</f>
        <v>0</v>
      </c>
      <c r="T1029" s="13" t="n">
        <f aca="false">SUBTOTAL(9,T451:T455)</f>
        <v>8</v>
      </c>
      <c r="U1029" s="1" t="n">
        <f aca="false">SUBTOTAL(9,U451:U455)</f>
        <v>0</v>
      </c>
      <c r="V1029" s="1" t="n">
        <f aca="false">SUBTOTAL(9,V451:V455)</f>
        <v>0</v>
      </c>
      <c r="W1029" s="13" t="n">
        <f aca="false">SUBTOTAL(9,W451:W455)</f>
        <v>22</v>
      </c>
      <c r="X1029" s="13" t="n">
        <f aca="false">SUBTOTAL(9,X451:X455)</f>
        <v>4</v>
      </c>
      <c r="Y1029" s="13" t="n">
        <f aca="false">SUBTOTAL(9,Y451:Y455)</f>
        <v>7</v>
      </c>
      <c r="Z1029" s="20" t="n">
        <f aca="false">SUBTOTAL(9,Z451:Z455)</f>
        <v>19.6</v>
      </c>
      <c r="AA1029" s="20" t="n">
        <f aca="false">SUBTOTAL(9,AA451:AA455)</f>
        <v>0</v>
      </c>
      <c r="AB1029" s="20" t="n">
        <f aca="false">SUBTOTAL(9,AB451:AB455)</f>
        <v>0</v>
      </c>
      <c r="AC1029" s="23" t="n">
        <f aca="false">SUBTOTAL(9,AC451:AC455)</f>
        <v>11.2</v>
      </c>
      <c r="AD1029" s="20" t="n">
        <f aca="false">SUBTOTAL(9,AD451:AD455)</f>
        <v>0</v>
      </c>
      <c r="AE1029" s="20" t="n">
        <f aca="false">SUBTOTAL(9,AE451:AE455)</f>
        <v>0</v>
      </c>
      <c r="AF1029" s="23" t="n">
        <f aca="false">SUBTOTAL(9,AF451:AF455)</f>
        <v>30.8</v>
      </c>
      <c r="AH1029" s="22" t="n">
        <f aca="false">SUBTOTAL(9,AH451:AH455)</f>
        <v>23.52</v>
      </c>
      <c r="AI1029" s="22" t="n">
        <f aca="false">SUBTOTAL(9,AI451:AI455)</f>
        <v>0</v>
      </c>
      <c r="AJ1029" s="22" t="n">
        <f aca="false">SUBTOTAL(9,AJ451:AJ455)</f>
        <v>0</v>
      </c>
      <c r="AK1029" s="24" t="n">
        <f aca="false">SUBTOTAL(9,AK451:AK455)</f>
        <v>13.44</v>
      </c>
      <c r="AL1029" s="22" t="n">
        <f aca="false">SUBTOTAL(9,AL451:AL455)</f>
        <v>0</v>
      </c>
      <c r="AM1029" s="22" t="n">
        <f aca="false">SUBTOTAL(9,AM451:AM455)</f>
        <v>0</v>
      </c>
      <c r="AN1029" s="24" t="n">
        <f aca="false">SUBTOTAL(9,AN451:AN455)</f>
        <v>36.96</v>
      </c>
    </row>
    <row r="1030" customFormat="false" ht="13.8" hidden="false" customHeight="false" outlineLevel="0" collapsed="false">
      <c r="A1030" s="1" t="s">
        <v>1171</v>
      </c>
      <c r="C1030" s="1" t="s">
        <v>609</v>
      </c>
      <c r="E1030" s="1" t="s">
        <v>610</v>
      </c>
      <c r="F1030" s="1" t="n">
        <f aca="false">SUBTOTAL(9,F456:F462)</f>
        <v>23</v>
      </c>
      <c r="G1030" s="1" t="n">
        <f aca="false">SUBTOTAL(9,G456:G462)</f>
        <v>7</v>
      </c>
      <c r="H1030" s="1" t="n">
        <f aca="false">SUBTOTAL(9,H456:H462)</f>
        <v>77</v>
      </c>
      <c r="I1030" s="8" t="n">
        <f aca="false">SUBTOTAL(9,I456:I462)</f>
        <v>13109984</v>
      </c>
      <c r="J1030" s="1" t="n">
        <f aca="false">SUBTOTAL(9,J456:J462)</f>
        <v>15</v>
      </c>
      <c r="L1030" s="1" t="n">
        <f aca="false">SUBTOTAL(9,L456:L462)</f>
        <v>22</v>
      </c>
      <c r="M1030" s="1" t="n">
        <f aca="false">SUBTOTAL(9,M456:M462)</f>
        <v>1</v>
      </c>
      <c r="N1030" s="1" t="n">
        <f aca="false">SUBTOTAL(9,N456:N462)</f>
        <v>0</v>
      </c>
      <c r="O1030" s="1" t="n">
        <f aca="false">SUBTOTAL(9,O456:O462)</f>
        <v>5</v>
      </c>
      <c r="P1030" s="1" t="n">
        <f aca="false">SUBTOTAL(9,P456:P462)</f>
        <v>6</v>
      </c>
      <c r="Q1030" s="1" t="n">
        <f aca="false">SUBTOTAL(9,Q456:Q462)</f>
        <v>0</v>
      </c>
      <c r="R1030" s="1" t="n">
        <f aca="false">SUBTOTAL(9,R456:R462)</f>
        <v>0</v>
      </c>
      <c r="S1030" s="1" t="n">
        <f aca="false">SUBTOTAL(9,S456:S462)</f>
        <v>1</v>
      </c>
      <c r="T1030" s="1" t="n">
        <f aca="false">SUBTOTAL(9,T456:T462)</f>
        <v>0</v>
      </c>
      <c r="U1030" s="1" t="n">
        <f aca="false">SUBTOTAL(9,U456:U462)</f>
        <v>0</v>
      </c>
      <c r="V1030" s="1" t="n">
        <f aca="false">SUBTOTAL(9,V456:V462)</f>
        <v>0</v>
      </c>
      <c r="W1030" s="1" t="n">
        <f aca="false">SUBTOTAL(9,W456:W462)</f>
        <v>1</v>
      </c>
      <c r="X1030" s="1" t="n">
        <f aca="false">SUBTOTAL(9,X456:X462)</f>
        <v>6</v>
      </c>
      <c r="Y1030" s="1" t="n">
        <f aca="false">SUBTOTAL(9,Y456:Y462)</f>
        <v>10</v>
      </c>
      <c r="Z1030" s="20" t="n">
        <f aca="false">SUBTOTAL(9,Z456:Z462)</f>
        <v>0</v>
      </c>
      <c r="AA1030" s="20" t="n">
        <f aca="false">SUBTOTAL(9,AA456:AA462)</f>
        <v>0</v>
      </c>
      <c r="AB1030" s="20" t="n">
        <f aca="false">SUBTOTAL(9,AB456:AB462)</f>
        <v>1.4</v>
      </c>
      <c r="AC1030" s="20" t="n">
        <f aca="false">SUBTOTAL(9,AC456:AC462)</f>
        <v>0</v>
      </c>
      <c r="AD1030" s="20" t="n">
        <f aca="false">SUBTOTAL(9,AD456:AD462)</f>
        <v>0</v>
      </c>
      <c r="AE1030" s="20" t="n">
        <f aca="false">SUBTOTAL(9,AE456:AE462)</f>
        <v>0</v>
      </c>
      <c r="AF1030" s="20" t="n">
        <f aca="false">SUBTOTAL(9,AF456:AF462)</f>
        <v>1.4</v>
      </c>
      <c r="AH1030" s="22" t="n">
        <f aca="false">SUBTOTAL(9,AH456:AH462)</f>
        <v>0</v>
      </c>
      <c r="AI1030" s="22" t="n">
        <f aca="false">SUBTOTAL(9,AI456:AI462)</f>
        <v>0</v>
      </c>
      <c r="AJ1030" s="22" t="n">
        <f aca="false">SUBTOTAL(9,AJ456:AJ462)</f>
        <v>1.68</v>
      </c>
      <c r="AK1030" s="22" t="n">
        <f aca="false">SUBTOTAL(9,AK456:AK462)</f>
        <v>0</v>
      </c>
      <c r="AL1030" s="22" t="n">
        <f aca="false">SUBTOTAL(9,AL456:AL462)</f>
        <v>0</v>
      </c>
      <c r="AM1030" s="22" t="n">
        <f aca="false">SUBTOTAL(9,AM456:AM462)</f>
        <v>0</v>
      </c>
      <c r="AN1030" s="22" t="n">
        <f aca="false">SUBTOTAL(9,AN456:AN462)</f>
        <v>1.68</v>
      </c>
    </row>
    <row r="1031" customFormat="false" ht="13.8" hidden="false" customHeight="false" outlineLevel="0" collapsed="false">
      <c r="A1031" s="1" t="s">
        <v>1171</v>
      </c>
      <c r="C1031" s="1" t="s">
        <v>618</v>
      </c>
      <c r="E1031" s="1" t="s">
        <v>619</v>
      </c>
      <c r="F1031" s="1" t="n">
        <f aca="false">SUBTOTAL(9,F463:F480)</f>
        <v>134</v>
      </c>
      <c r="G1031" s="1" t="n">
        <f aca="false">SUBTOTAL(9,G463:G480)</f>
        <v>18</v>
      </c>
      <c r="H1031" s="1" t="n">
        <f aca="false">SUBTOTAL(9,H463:H480)</f>
        <v>149</v>
      </c>
      <c r="I1031" s="8" t="n">
        <f aca="false">SUBTOTAL(9,I463:I480)</f>
        <v>31976869</v>
      </c>
      <c r="J1031" s="1" t="n">
        <f aca="false">SUBTOTAL(9,J463:J480)</f>
        <v>53</v>
      </c>
      <c r="L1031" s="1" t="n">
        <f aca="false">SUBTOTAL(9,L463:L480)</f>
        <v>78</v>
      </c>
      <c r="M1031" s="1" t="n">
        <f aca="false">SUBTOTAL(9,M463:M480)</f>
        <v>11</v>
      </c>
      <c r="N1031" s="1" t="n">
        <f aca="false">SUBTOTAL(9,N463:N480)</f>
        <v>3</v>
      </c>
      <c r="O1031" s="1" t="n">
        <f aca="false">SUBTOTAL(9,O463:O480)</f>
        <v>18</v>
      </c>
      <c r="P1031" s="1" t="n">
        <f aca="false">SUBTOTAL(9,P463:P480)</f>
        <v>32</v>
      </c>
      <c r="Q1031" s="1" t="n">
        <f aca="false">SUBTOTAL(9,Q463:Q480)</f>
        <v>3</v>
      </c>
      <c r="R1031" s="1" t="n">
        <f aca="false">SUBTOTAL(9,R463:R480)</f>
        <v>7</v>
      </c>
      <c r="S1031" s="1" t="n">
        <f aca="false">SUBTOTAL(9,S463:S480)</f>
        <v>0</v>
      </c>
      <c r="T1031" s="1" t="n">
        <f aca="false">SUBTOTAL(9,T463:T480)</f>
        <v>0</v>
      </c>
      <c r="U1031" s="1" t="n">
        <f aca="false">SUBTOTAL(9,U463:U480)</f>
        <v>32</v>
      </c>
      <c r="V1031" s="1" t="n">
        <f aca="false">SUBTOTAL(9,V463:V480)</f>
        <v>0</v>
      </c>
      <c r="W1031" s="1" t="n">
        <f aca="false">SUBTOTAL(9,W463:W480)</f>
        <v>42</v>
      </c>
      <c r="X1031" s="1" t="n">
        <f aca="false">SUBTOTAL(9,X463:X480)</f>
        <v>34</v>
      </c>
      <c r="Y1031" s="1" t="n">
        <f aca="false">SUBTOTAL(9,Y463:Y480)</f>
        <v>6</v>
      </c>
      <c r="Z1031" s="20" t="n">
        <f aca="false">SUBTOTAL(9,Z463:Z480)</f>
        <v>4.8</v>
      </c>
      <c r="AA1031" s="20" t="n">
        <f aca="false">SUBTOTAL(9,AA463:AA480)</f>
        <v>11.2</v>
      </c>
      <c r="AB1031" s="20" t="n">
        <f aca="false">SUBTOTAL(9,AB463:AB480)</f>
        <v>0</v>
      </c>
      <c r="AC1031" s="20" t="n">
        <f aca="false">SUBTOTAL(9,AC463:AC480)</f>
        <v>0</v>
      </c>
      <c r="AD1031" s="20" t="n">
        <f aca="false">SUBTOTAL(9,AD463:AD480)</f>
        <v>51.2</v>
      </c>
      <c r="AE1031" s="20" t="n">
        <f aca="false">SUBTOTAL(9,AE463:AE480)</f>
        <v>0</v>
      </c>
      <c r="AF1031" s="20" t="n">
        <f aca="false">SUBTOTAL(9,AF463:AF480)</f>
        <v>67.2</v>
      </c>
      <c r="AH1031" s="22" t="n">
        <f aca="false">SUBTOTAL(9,AH463:AH480)</f>
        <v>5.76</v>
      </c>
      <c r="AI1031" s="22" t="n">
        <f aca="false">SUBTOTAL(9,AI463:AI480)</f>
        <v>13.44</v>
      </c>
      <c r="AJ1031" s="22" t="n">
        <f aca="false">SUBTOTAL(9,AJ463:AJ480)</f>
        <v>0</v>
      </c>
      <c r="AK1031" s="22" t="n">
        <f aca="false">SUBTOTAL(9,AK463:AK480)</f>
        <v>0</v>
      </c>
      <c r="AL1031" s="22" t="n">
        <f aca="false">SUBTOTAL(9,AL463:AL480)</f>
        <v>61.44</v>
      </c>
      <c r="AM1031" s="22" t="n">
        <f aca="false">SUBTOTAL(9,AM463:AM480)</f>
        <v>0</v>
      </c>
      <c r="AN1031" s="22" t="n">
        <f aca="false">SUBTOTAL(9,AN463:AN480)</f>
        <v>80.64</v>
      </c>
    </row>
    <row r="1032" customFormat="false" ht="13.8" hidden="false" customHeight="false" outlineLevel="0" collapsed="false">
      <c r="A1032" s="1" t="s">
        <v>1171</v>
      </c>
      <c r="C1032" s="1" t="s">
        <v>638</v>
      </c>
      <c r="E1032" s="1" t="s">
        <v>639</v>
      </c>
      <c r="F1032" s="1" t="n">
        <f aca="false">SUBTOTAL(9,F481:F500)</f>
        <v>55</v>
      </c>
      <c r="G1032" s="1" t="n">
        <f aca="false">SUBTOTAL(9,G481:G500)</f>
        <v>20</v>
      </c>
      <c r="H1032" s="1" t="n">
        <f aca="false">SUBTOTAL(9,H481:H500)</f>
        <v>82</v>
      </c>
      <c r="I1032" s="8" t="n">
        <f aca="false">SUBTOTAL(9,I481:I500)</f>
        <v>14527218</v>
      </c>
      <c r="J1032" s="1" t="n">
        <f aca="false">SUBTOTAL(9,J481:J500)</f>
        <v>39</v>
      </c>
      <c r="L1032" s="1" t="n">
        <f aca="false">SUBTOTAL(9,L481:L500)</f>
        <v>33</v>
      </c>
      <c r="M1032" s="1" t="n">
        <f aca="false">SUBTOTAL(9,M481:M500)</f>
        <v>2</v>
      </c>
      <c r="N1032" s="1" t="n">
        <f aca="false">SUBTOTAL(9,N481:N500)</f>
        <v>3</v>
      </c>
      <c r="O1032" s="1" t="n">
        <f aca="false">SUBTOTAL(9,O481:O500)</f>
        <v>12</v>
      </c>
      <c r="P1032" s="1" t="n">
        <f aca="false">SUBTOTAL(9,P481:P500)</f>
        <v>17</v>
      </c>
      <c r="Q1032" s="1" t="n">
        <f aca="false">SUBTOTAL(9,Q481:Q500)</f>
        <v>0</v>
      </c>
      <c r="R1032" s="1" t="n">
        <f aca="false">SUBTOTAL(9,R481:R500)</f>
        <v>0</v>
      </c>
      <c r="S1032" s="1" t="n">
        <f aca="false">SUBTOTAL(9,S481:S500)</f>
        <v>2</v>
      </c>
      <c r="T1032" s="1" t="n">
        <f aca="false">SUBTOTAL(9,T481:T500)</f>
        <v>127</v>
      </c>
      <c r="U1032" s="1" t="n">
        <f aca="false">SUBTOTAL(9,U481:U500)</f>
        <v>0</v>
      </c>
      <c r="V1032" s="1" t="n">
        <f aca="false">SUBTOTAL(9,V481:V500)</f>
        <v>20</v>
      </c>
      <c r="W1032" s="1" t="n">
        <f aca="false">SUBTOTAL(9,W481:W500)</f>
        <v>149</v>
      </c>
      <c r="X1032" s="1" t="n">
        <f aca="false">SUBTOTAL(9,X481:X500)</f>
        <v>5</v>
      </c>
      <c r="Y1032" s="1" t="n">
        <f aca="false">SUBTOTAL(9,Y481:Y500)</f>
        <v>27</v>
      </c>
      <c r="Z1032" s="20" t="n">
        <f aca="false">SUBTOTAL(9,Z481:Z500)</f>
        <v>0</v>
      </c>
      <c r="AA1032" s="20" t="n">
        <f aca="false">SUBTOTAL(9,AA481:AA500)</f>
        <v>0</v>
      </c>
      <c r="AB1032" s="20" t="n">
        <f aca="false">SUBTOTAL(9,AB481:AB500)</f>
        <v>2.4</v>
      </c>
      <c r="AC1032" s="20" t="n">
        <f aca="false">SUBTOTAL(9,AC481:AC500)</f>
        <v>184.2</v>
      </c>
      <c r="AD1032" s="20" t="n">
        <f aca="false">SUBTOTAL(9,AD481:AD500)</f>
        <v>0</v>
      </c>
      <c r="AE1032" s="20" t="n">
        <f aca="false">SUBTOTAL(9,AE481:AE500)</f>
        <v>32</v>
      </c>
      <c r="AF1032" s="20" t="n">
        <f aca="false">SUBTOTAL(9,AF481:AF500)</f>
        <v>218.6</v>
      </c>
      <c r="AH1032" s="22" t="n">
        <f aca="false">SUBTOTAL(9,AH481:AH500)</f>
        <v>0</v>
      </c>
      <c r="AI1032" s="22" t="n">
        <f aca="false">SUBTOTAL(9,AI481:AI500)</f>
        <v>0</v>
      </c>
      <c r="AJ1032" s="22" t="n">
        <f aca="false">SUBTOTAL(9,AJ481:AJ500)</f>
        <v>2.64</v>
      </c>
      <c r="AK1032" s="22" t="n">
        <f aca="false">SUBTOTAL(9,AK481:AK500)</f>
        <v>194.44</v>
      </c>
      <c r="AL1032" s="22" t="n">
        <f aca="false">SUBTOTAL(9,AL481:AL500)</f>
        <v>0</v>
      </c>
      <c r="AM1032" s="22" t="n">
        <f aca="false">SUBTOTAL(9,AM481:AM500)</f>
        <v>32</v>
      </c>
      <c r="AN1032" s="22" t="n">
        <f aca="false">SUBTOTAL(9,AN481:AN500)</f>
        <v>229.08</v>
      </c>
    </row>
    <row r="1033" customFormat="false" ht="13.8" hidden="false" customHeight="false" outlineLevel="0" collapsed="false">
      <c r="A1033" s="1" t="s">
        <v>1171</v>
      </c>
      <c r="C1033" s="1" t="s">
        <v>660</v>
      </c>
      <c r="E1033" s="13" t="s">
        <v>661</v>
      </c>
      <c r="F1033" s="13" t="n">
        <f aca="false">SUBTOTAL(9,F501:F502)</f>
        <v>18</v>
      </c>
      <c r="G1033" s="1" t="n">
        <f aca="false">SUBTOTAL(9,G501:G502)</f>
        <v>2</v>
      </c>
      <c r="H1033" s="1" t="n">
        <f aca="false">SUBTOTAL(9,H501:H502)</f>
        <v>10</v>
      </c>
      <c r="I1033" s="8" t="n">
        <f aca="false">SUBTOTAL(9,I501:I502)</f>
        <v>937143</v>
      </c>
      <c r="J1033" s="1" t="n">
        <f aca="false">SUBTOTAL(9,J501:J502)</f>
        <v>3</v>
      </c>
      <c r="L1033" s="1" t="n">
        <f aca="false">SUBTOTAL(9,L501:L502)</f>
        <v>5</v>
      </c>
      <c r="M1033" s="1" t="n">
        <f aca="false">SUBTOTAL(9,M501:M502)</f>
        <v>1</v>
      </c>
      <c r="N1033" s="1" t="n">
        <f aca="false">SUBTOTAL(9,N501:N502)</f>
        <v>0</v>
      </c>
      <c r="O1033" s="1" t="n">
        <f aca="false">SUBTOTAL(9,O501:O502)</f>
        <v>3</v>
      </c>
      <c r="P1033" s="1" t="n">
        <f aca="false">SUBTOTAL(9,P501:P502)</f>
        <v>4</v>
      </c>
      <c r="Q1033" s="1" t="n">
        <f aca="false">SUBTOTAL(9,Q501:Q502)</f>
        <v>0</v>
      </c>
      <c r="R1033" s="1" t="n">
        <f aca="false">SUBTOTAL(9,R501:R502)</f>
        <v>0</v>
      </c>
      <c r="S1033" s="1" t="n">
        <f aca="false">SUBTOTAL(9,S501:S502)</f>
        <v>0</v>
      </c>
      <c r="T1033" s="1" t="n">
        <f aca="false">SUBTOTAL(9,T501:T502)</f>
        <v>3</v>
      </c>
      <c r="U1033" s="1" t="n">
        <f aca="false">SUBTOTAL(9,U501:U502)</f>
        <v>2</v>
      </c>
      <c r="V1033" s="1" t="n">
        <f aca="false">SUBTOTAL(9,V501:V502)</f>
        <v>0</v>
      </c>
      <c r="W1033" s="1" t="n">
        <f aca="false">SUBTOTAL(9,W501:W502)</f>
        <v>5</v>
      </c>
      <c r="X1033" s="1" t="n">
        <f aca="false">SUBTOTAL(9,X501:X502)</f>
        <v>1</v>
      </c>
      <c r="Y1033" s="1" t="n">
        <f aca="false">SUBTOTAL(9,Y501:Y502)</f>
        <v>0</v>
      </c>
      <c r="Z1033" s="20" t="n">
        <f aca="false">SUBTOTAL(9,Z501:Z502)</f>
        <v>0</v>
      </c>
      <c r="AA1033" s="20" t="n">
        <f aca="false">SUBTOTAL(9,AA501:AA502)</f>
        <v>0</v>
      </c>
      <c r="AB1033" s="20" t="n">
        <f aca="false">SUBTOTAL(9,AB501:AB502)</f>
        <v>0</v>
      </c>
      <c r="AC1033" s="20" t="n">
        <f aca="false">SUBTOTAL(9,AC501:AC502)</f>
        <v>3.6</v>
      </c>
      <c r="AD1033" s="20" t="n">
        <f aca="false">SUBTOTAL(9,AD501:AD502)</f>
        <v>2.4</v>
      </c>
      <c r="AE1033" s="20" t="n">
        <f aca="false">SUBTOTAL(9,AE501:AE502)</f>
        <v>0</v>
      </c>
      <c r="AF1033" s="20" t="n">
        <f aca="false">SUBTOTAL(9,AF501:AF502)</f>
        <v>6</v>
      </c>
      <c r="AH1033" s="22" t="n">
        <f aca="false">SUBTOTAL(9,AH501:AH502)</f>
        <v>0</v>
      </c>
      <c r="AI1033" s="22" t="n">
        <f aca="false">SUBTOTAL(9,AI501:AI502)</f>
        <v>0</v>
      </c>
      <c r="AJ1033" s="22" t="n">
        <f aca="false">SUBTOTAL(9,AJ501:AJ502)</f>
        <v>0</v>
      </c>
      <c r="AK1033" s="22" t="n">
        <f aca="false">SUBTOTAL(9,AK501:AK502)</f>
        <v>3.6</v>
      </c>
      <c r="AL1033" s="22" t="n">
        <f aca="false">SUBTOTAL(9,AL501:AL502)</f>
        <v>2.4</v>
      </c>
      <c r="AM1033" s="22" t="n">
        <f aca="false">SUBTOTAL(9,AM501:AM502)</f>
        <v>0</v>
      </c>
      <c r="AN1033" s="22" t="n">
        <f aca="false">SUBTOTAL(9,AN501:AN502)</f>
        <v>6</v>
      </c>
    </row>
    <row r="1034" customFormat="false" ht="13.8" hidden="false" customHeight="false" outlineLevel="0" collapsed="false">
      <c r="A1034" s="1" t="s">
        <v>1171</v>
      </c>
      <c r="C1034" s="1" t="s">
        <v>664</v>
      </c>
      <c r="E1034" s="1" t="s">
        <v>665</v>
      </c>
      <c r="F1034" s="1" t="n">
        <f aca="false">SUBTOTAL(9,F503:F513)</f>
        <v>45</v>
      </c>
      <c r="G1034" s="1" t="n">
        <f aca="false">SUBTOTAL(9,G503:G513)</f>
        <v>11</v>
      </c>
      <c r="H1034" s="1" t="n">
        <f aca="false">SUBTOTAL(9,H503:H513)</f>
        <v>98</v>
      </c>
      <c r="I1034" s="8" t="n">
        <f aca="false">SUBTOTAL(9,I503:I513)</f>
        <v>18074537</v>
      </c>
      <c r="J1034" s="1" t="n">
        <f aca="false">SUBTOTAL(9,J503:J513)</f>
        <v>29</v>
      </c>
      <c r="L1034" s="1" t="n">
        <f aca="false">SUBTOTAL(9,L503:L513)</f>
        <v>34</v>
      </c>
      <c r="M1034" s="1" t="n">
        <f aca="false">SUBTOTAL(9,M503:M513)</f>
        <v>7</v>
      </c>
      <c r="N1034" s="1" t="n">
        <f aca="false">SUBTOTAL(9,N503:N513)</f>
        <v>2</v>
      </c>
      <c r="O1034" s="1" t="n">
        <f aca="false">SUBTOTAL(9,O503:O513)</f>
        <v>11</v>
      </c>
      <c r="P1034" s="1" t="n">
        <f aca="false">SUBTOTAL(9,P503:P513)</f>
        <v>20</v>
      </c>
      <c r="Q1034" s="1" t="n">
        <f aca="false">SUBTOTAL(9,Q503:Q513)</f>
        <v>44</v>
      </c>
      <c r="R1034" s="1" t="n">
        <f aca="false">SUBTOTAL(9,R503:R513)</f>
        <v>4</v>
      </c>
      <c r="S1034" s="1" t="n">
        <f aca="false">SUBTOTAL(9,S503:S513)</f>
        <v>0</v>
      </c>
      <c r="T1034" s="1" t="n">
        <f aca="false">SUBTOTAL(9,T503:T513)</f>
        <v>0</v>
      </c>
      <c r="U1034" s="1" t="n">
        <f aca="false">SUBTOTAL(9,U503:U513)</f>
        <v>3</v>
      </c>
      <c r="V1034" s="1" t="n">
        <f aca="false">SUBTOTAL(9,V503:V513)</f>
        <v>0</v>
      </c>
      <c r="W1034" s="1" t="n">
        <f aca="false">SUBTOTAL(9,W503:W513)</f>
        <v>51</v>
      </c>
      <c r="X1034" s="1" t="n">
        <f aca="false">SUBTOTAL(9,X503:X513)</f>
        <v>7</v>
      </c>
      <c r="Y1034" s="1" t="n">
        <f aca="false">SUBTOTAL(9,Y503:Y513)</f>
        <v>12</v>
      </c>
      <c r="Z1034" s="20" t="n">
        <f aca="false">SUBTOTAL(9,Z503:Z513)</f>
        <v>70.4</v>
      </c>
      <c r="AA1034" s="20" t="n">
        <f aca="false">SUBTOTAL(9,AA503:AA513)</f>
        <v>6.4</v>
      </c>
      <c r="AB1034" s="20" t="n">
        <f aca="false">SUBTOTAL(9,AB503:AB513)</f>
        <v>0</v>
      </c>
      <c r="AC1034" s="20" t="n">
        <f aca="false">SUBTOTAL(9,AC503:AC513)</f>
        <v>0</v>
      </c>
      <c r="AD1034" s="20" t="n">
        <f aca="false">SUBTOTAL(9,AD503:AD513)</f>
        <v>4.2</v>
      </c>
      <c r="AE1034" s="20" t="n">
        <f aca="false">SUBTOTAL(9,AE503:AE513)</f>
        <v>0</v>
      </c>
      <c r="AF1034" s="20" t="n">
        <f aca="false">SUBTOTAL(9,AF503:AF513)</f>
        <v>81</v>
      </c>
      <c r="AH1034" s="22" t="n">
        <f aca="false">SUBTOTAL(9,AH503:AH513)</f>
        <v>84.48</v>
      </c>
      <c r="AI1034" s="22" t="n">
        <f aca="false">SUBTOTAL(9,AI503:AI513)</f>
        <v>7.68</v>
      </c>
      <c r="AJ1034" s="22" t="n">
        <f aca="false">SUBTOTAL(9,AJ503:AJ513)</f>
        <v>0</v>
      </c>
      <c r="AK1034" s="22" t="n">
        <f aca="false">SUBTOTAL(9,AK503:AK513)</f>
        <v>0</v>
      </c>
      <c r="AL1034" s="22" t="n">
        <f aca="false">SUBTOTAL(9,AL503:AL513)</f>
        <v>4.2</v>
      </c>
      <c r="AM1034" s="22" t="n">
        <f aca="false">SUBTOTAL(9,AM503:AM513)</f>
        <v>0</v>
      </c>
      <c r="AN1034" s="22" t="n">
        <f aca="false">SUBTOTAL(9,AN503:AN513)</f>
        <v>96.36</v>
      </c>
    </row>
    <row r="1035" customFormat="false" ht="13.8" hidden="false" customHeight="false" outlineLevel="0" collapsed="false">
      <c r="A1035" s="1" t="s">
        <v>1171</v>
      </c>
      <c r="C1035" s="1" t="s">
        <v>677</v>
      </c>
      <c r="E1035" s="1" t="s">
        <v>678</v>
      </c>
      <c r="F1035" s="13" t="n">
        <f aca="false">SUBTOTAL(9,F514:F522)</f>
        <v>14</v>
      </c>
      <c r="G1035" s="1" t="n">
        <f aca="false">SUBTOTAL(9,G514:G522)</f>
        <v>9</v>
      </c>
      <c r="H1035" s="1" t="n">
        <f aca="false">SUBTOTAL(9,H514:H522)</f>
        <v>51</v>
      </c>
      <c r="I1035" s="8" t="n">
        <f aca="false">SUBTOTAL(9,I514:I522)</f>
        <v>2964725</v>
      </c>
      <c r="J1035" s="1" t="n">
        <f aca="false">SUBTOTAL(9,J514:J522)</f>
        <v>5</v>
      </c>
      <c r="L1035" s="1" t="n">
        <f aca="false">SUBTOTAL(9,L514:L522)</f>
        <v>10</v>
      </c>
      <c r="M1035" s="13" t="n">
        <f aca="false">SUBTOTAL(9,M514:M522)</f>
        <v>2</v>
      </c>
      <c r="N1035" s="1" t="n">
        <f aca="false">SUBTOTAL(9,N514:N522)</f>
        <v>0</v>
      </c>
      <c r="O1035" s="1" t="n">
        <f aca="false">SUBTOTAL(9,O514:O522)</f>
        <v>1</v>
      </c>
      <c r="P1035" s="13" t="n">
        <f aca="false">SUBTOTAL(9,P514:P522)</f>
        <v>3</v>
      </c>
      <c r="Q1035" s="1" t="n">
        <f aca="false">SUBTOTAL(9,Q514:Q522)</f>
        <v>3</v>
      </c>
      <c r="R1035" s="1" t="n">
        <f aca="false">SUBTOTAL(9,R514:R522)</f>
        <v>0</v>
      </c>
      <c r="S1035" s="1" t="n">
        <f aca="false">SUBTOTAL(9,S514:S522)</f>
        <v>0</v>
      </c>
      <c r="T1035" s="1" t="n">
        <f aca="false">SUBTOTAL(9,T514:T522)</f>
        <v>0</v>
      </c>
      <c r="U1035" s="1" t="n">
        <f aca="false">SUBTOTAL(9,U514:U522)</f>
        <v>0</v>
      </c>
      <c r="V1035" s="1" t="n">
        <f aca="false">SUBTOTAL(9,V514:V522)</f>
        <v>0</v>
      </c>
      <c r="W1035" s="1" t="n">
        <f aca="false">SUBTOTAL(9,W514:W522)</f>
        <v>3</v>
      </c>
      <c r="X1035" s="1" t="n">
        <f aca="false">SUBTOTAL(9,X514:X522)</f>
        <v>0</v>
      </c>
      <c r="Y1035" s="1" t="n">
        <f aca="false">SUBTOTAL(9,Y514:Y522)</f>
        <v>11</v>
      </c>
      <c r="Z1035" s="20" t="n">
        <f aca="false">SUBTOTAL(9,Z514:Z522)</f>
        <v>3.6</v>
      </c>
      <c r="AA1035" s="20" t="n">
        <f aca="false">SUBTOTAL(9,AA514:AA522)</f>
        <v>0</v>
      </c>
      <c r="AB1035" s="20" t="n">
        <f aca="false">SUBTOTAL(9,AB514:AB522)</f>
        <v>0</v>
      </c>
      <c r="AC1035" s="20" t="n">
        <f aca="false">SUBTOTAL(9,AC514:AC522)</f>
        <v>0</v>
      </c>
      <c r="AD1035" s="20" t="n">
        <f aca="false">SUBTOTAL(9,AD514:AD522)</f>
        <v>0</v>
      </c>
      <c r="AE1035" s="20" t="n">
        <f aca="false">SUBTOTAL(9,AE514:AE522)</f>
        <v>0</v>
      </c>
      <c r="AF1035" s="20" t="n">
        <f aca="false">SUBTOTAL(9,AF514:AF522)</f>
        <v>3.6</v>
      </c>
      <c r="AH1035" s="22" t="n">
        <f aca="false">SUBTOTAL(9,AH514:AH522)</f>
        <v>3.6</v>
      </c>
      <c r="AI1035" s="22" t="n">
        <f aca="false">SUBTOTAL(9,AI514:AI522)</f>
        <v>0</v>
      </c>
      <c r="AJ1035" s="22" t="n">
        <f aca="false">SUBTOTAL(9,AJ514:AJ522)</f>
        <v>0</v>
      </c>
      <c r="AK1035" s="22" t="n">
        <f aca="false">SUBTOTAL(9,AK514:AK522)</f>
        <v>0</v>
      </c>
      <c r="AL1035" s="22" t="n">
        <f aca="false">SUBTOTAL(9,AL514:AL522)</f>
        <v>0</v>
      </c>
      <c r="AM1035" s="22" t="n">
        <f aca="false">SUBTOTAL(9,AM514:AM522)</f>
        <v>0</v>
      </c>
      <c r="AN1035" s="22" t="n">
        <f aca="false">SUBTOTAL(9,AN514:AN522)</f>
        <v>3.6</v>
      </c>
    </row>
    <row r="1036" customFormat="false" ht="13.8" hidden="false" customHeight="false" outlineLevel="0" collapsed="false">
      <c r="A1036" s="1" t="s">
        <v>1171</v>
      </c>
      <c r="C1036" s="1" t="s">
        <v>688</v>
      </c>
      <c r="E1036" s="13" t="s">
        <v>689</v>
      </c>
      <c r="F1036" s="13" t="n">
        <f aca="false">SUBTOTAL(9,F523:F553)</f>
        <v>80</v>
      </c>
      <c r="G1036" s="13" t="n">
        <f aca="false">SUBTOTAL(9,G523:G553)</f>
        <v>31</v>
      </c>
      <c r="H1036" s="13" t="n">
        <f aca="false">SUBTOTAL(9,H523:H553)</f>
        <v>214</v>
      </c>
      <c r="I1036" s="16" t="n">
        <f aca="false">SUBTOTAL(9,I523:I553)</f>
        <v>44024551</v>
      </c>
      <c r="J1036" s="13" t="n">
        <f aca="false">SUBTOTAL(9,J523:J553)</f>
        <v>36</v>
      </c>
      <c r="L1036" s="13" t="n">
        <f aca="false">SUBTOTAL(9,L523:L553)</f>
        <v>61</v>
      </c>
      <c r="M1036" s="1" t="n">
        <f aca="false">SUBTOTAL(9,M523:M553)</f>
        <v>3</v>
      </c>
      <c r="N1036" s="1" t="n">
        <f aca="false">SUBTOTAL(9,N523:N553)</f>
        <v>2</v>
      </c>
      <c r="O1036" s="13" t="n">
        <f aca="false">SUBTOTAL(9,O523:O553)</f>
        <v>17</v>
      </c>
      <c r="P1036" s="13" t="n">
        <f aca="false">SUBTOTAL(9,P523:P553)</f>
        <v>22</v>
      </c>
      <c r="Q1036" s="1" t="n">
        <f aca="false">SUBTOTAL(9,Q523:Q553)</f>
        <v>0</v>
      </c>
      <c r="R1036" s="13" t="n">
        <f aca="false">SUBTOTAL(9,R523:R553)</f>
        <v>13</v>
      </c>
      <c r="S1036" s="1" t="n">
        <f aca="false">SUBTOTAL(9,S523:S553)</f>
        <v>23</v>
      </c>
      <c r="T1036" s="13" t="n">
        <f aca="false">SUBTOTAL(9,T523:T553)</f>
        <v>3</v>
      </c>
      <c r="U1036" s="13" t="n">
        <f aca="false">SUBTOTAL(9,U523:U553)</f>
        <v>4</v>
      </c>
      <c r="V1036" s="13" t="n">
        <f aca="false">SUBTOTAL(9,V523:V553)</f>
        <v>6</v>
      </c>
      <c r="W1036" s="13" t="n">
        <f aca="false">SUBTOTAL(9,W523:W553)</f>
        <v>49</v>
      </c>
      <c r="X1036" s="13" t="n">
        <f aca="false">SUBTOTAL(9,X523:X553)</f>
        <v>12</v>
      </c>
      <c r="Y1036" s="13" t="n">
        <f aca="false">SUBTOTAL(9,Y523:Y553)</f>
        <v>24</v>
      </c>
      <c r="Z1036" s="20" t="n">
        <f aca="false">SUBTOTAL(9,Z523:Z553)</f>
        <v>0</v>
      </c>
      <c r="AA1036" s="23" t="n">
        <f aca="false">SUBTOTAL(9,AA523:AA553)</f>
        <v>15.6</v>
      </c>
      <c r="AB1036" s="23" t="n">
        <f aca="false">SUBTOTAL(9,AB523:AB553)</f>
        <v>27.6</v>
      </c>
      <c r="AC1036" s="23" t="n">
        <f aca="false">SUBTOTAL(9,AC523:AC553)</f>
        <v>4.8</v>
      </c>
      <c r="AD1036" s="23" t="n">
        <f aca="false">SUBTOTAL(9,AD523:AD553)</f>
        <v>5</v>
      </c>
      <c r="AE1036" s="23" t="n">
        <f aca="false">SUBTOTAL(9,AE523:AE553)</f>
        <v>7.8</v>
      </c>
      <c r="AF1036" s="23" t="n">
        <f aca="false">SUBTOTAL(9,AF523:AF553)</f>
        <v>60.8</v>
      </c>
      <c r="AH1036" s="22" t="n">
        <f aca="false">SUBTOTAL(9,AH523:AH553)</f>
        <v>0</v>
      </c>
      <c r="AI1036" s="24" t="n">
        <f aca="false">SUBTOTAL(9,AI523:AI553)</f>
        <v>18</v>
      </c>
      <c r="AJ1036" s="24" t="n">
        <f aca="false">SUBTOTAL(9,AJ523:AJ553)</f>
        <v>30</v>
      </c>
      <c r="AK1036" s="24" t="n">
        <f aca="false">SUBTOTAL(9,AK523:AK553)</f>
        <v>4.8</v>
      </c>
      <c r="AL1036" s="24" t="n">
        <f aca="false">SUBTOTAL(9,AL523:AL553)</f>
        <v>6</v>
      </c>
      <c r="AM1036" s="24" t="n">
        <f aca="false">SUBTOTAL(9,AM523:AM553)</f>
        <v>8.64</v>
      </c>
      <c r="AN1036" s="24" t="n">
        <f aca="false">SUBTOTAL(9,AN523:AN553)</f>
        <v>67.44</v>
      </c>
    </row>
    <row r="1037" customFormat="false" ht="13.8" hidden="false" customHeight="false" outlineLevel="0" collapsed="false">
      <c r="A1037" s="1" t="s">
        <v>1171</v>
      </c>
      <c r="C1037" s="1" t="s">
        <v>721</v>
      </c>
      <c r="E1037" s="1" t="s">
        <v>722</v>
      </c>
      <c r="F1037" s="1" t="n">
        <f aca="false">SUBTOTAL(9,F554:F556)</f>
        <v>3</v>
      </c>
      <c r="G1037" s="1" t="n">
        <f aca="false">SUBTOTAL(9,G554:G556)</f>
        <v>3</v>
      </c>
      <c r="H1037" s="1" t="n">
        <f aca="false">SUBTOTAL(9,H554:H556)</f>
        <v>40</v>
      </c>
      <c r="I1037" s="8" t="n">
        <f aca="false">SUBTOTAL(9,I554:I556)</f>
        <v>13701404</v>
      </c>
      <c r="J1037" s="1" t="n">
        <f aca="false">SUBTOTAL(9,J554:J556)</f>
        <v>4</v>
      </c>
      <c r="L1037" s="1" t="n">
        <f aca="false">SUBTOTAL(9,L554:L556)</f>
        <v>6</v>
      </c>
      <c r="M1037" s="1" t="n">
        <f aca="false">SUBTOTAL(9,M554:M556)</f>
        <v>2</v>
      </c>
      <c r="N1037" s="1" t="n">
        <f aca="false">SUBTOTAL(9,N554:N556)</f>
        <v>0</v>
      </c>
      <c r="O1037" s="1" t="n">
        <f aca="false">SUBTOTAL(9,O554:O556)</f>
        <v>3</v>
      </c>
      <c r="P1037" s="1" t="n">
        <f aca="false">SUBTOTAL(9,P554:P556)</f>
        <v>5</v>
      </c>
      <c r="Q1037" s="1" t="n">
        <f aca="false">SUBTOTAL(9,Q554:Q556)</f>
        <v>0</v>
      </c>
      <c r="R1037" s="1" t="n">
        <f aca="false">SUBTOTAL(9,R554:R556)</f>
        <v>0</v>
      </c>
      <c r="S1037" s="1" t="n">
        <f aca="false">SUBTOTAL(9,S554:S556)</f>
        <v>0</v>
      </c>
      <c r="T1037" s="1" t="n">
        <f aca="false">SUBTOTAL(9,T554:T556)</f>
        <v>0</v>
      </c>
      <c r="U1037" s="1" t="n">
        <f aca="false">SUBTOTAL(9,U554:U556)</f>
        <v>0</v>
      </c>
      <c r="V1037" s="1" t="n">
        <f aca="false">SUBTOTAL(9,V554:V556)</f>
        <v>0</v>
      </c>
      <c r="W1037" s="1" t="n">
        <f aca="false">SUBTOTAL(9,W554:W556)</f>
        <v>0</v>
      </c>
      <c r="X1037" s="1" t="n">
        <f aca="false">SUBTOTAL(9,X554:X556)</f>
        <v>0</v>
      </c>
      <c r="Y1037" s="1" t="n">
        <f aca="false">SUBTOTAL(9,Y554:Y556)</f>
        <v>0</v>
      </c>
      <c r="Z1037" s="20" t="n">
        <f aca="false">SUBTOTAL(9,Z554:Z556)</f>
        <v>0</v>
      </c>
      <c r="AA1037" s="20" t="n">
        <f aca="false">SUBTOTAL(9,AA554:AA556)</f>
        <v>0</v>
      </c>
      <c r="AB1037" s="20" t="n">
        <f aca="false">SUBTOTAL(9,AB554:AB556)</f>
        <v>0</v>
      </c>
      <c r="AC1037" s="20" t="n">
        <f aca="false">SUBTOTAL(9,AC554:AC556)</f>
        <v>0</v>
      </c>
      <c r="AD1037" s="20" t="n">
        <f aca="false">SUBTOTAL(9,AD554:AD556)</f>
        <v>0</v>
      </c>
      <c r="AE1037" s="20" t="n">
        <f aca="false">SUBTOTAL(9,AE554:AE556)</f>
        <v>0</v>
      </c>
      <c r="AF1037" s="20" t="n">
        <f aca="false">SUBTOTAL(9,AF554:AF556)</f>
        <v>0</v>
      </c>
      <c r="AH1037" s="22" t="n">
        <f aca="false">SUBTOTAL(9,AH554:AH556)</f>
        <v>0</v>
      </c>
      <c r="AI1037" s="22" t="n">
        <f aca="false">SUBTOTAL(9,AI554:AI556)</f>
        <v>0</v>
      </c>
      <c r="AJ1037" s="22" t="n">
        <f aca="false">SUBTOTAL(9,AJ554:AJ556)</f>
        <v>0</v>
      </c>
      <c r="AK1037" s="22" t="n">
        <f aca="false">SUBTOTAL(9,AK554:AK556)</f>
        <v>0</v>
      </c>
      <c r="AL1037" s="22" t="n">
        <f aca="false">SUBTOTAL(9,AL554:AL556)</f>
        <v>0</v>
      </c>
      <c r="AM1037" s="22" t="n">
        <f aca="false">SUBTOTAL(9,AM554:AM556)</f>
        <v>0</v>
      </c>
      <c r="AN1037" s="22" t="n">
        <f aca="false">SUBTOTAL(9,AN554:AN556)</f>
        <v>0</v>
      </c>
    </row>
    <row r="1038" customFormat="false" ht="13.8" hidden="false" customHeight="false" outlineLevel="0" collapsed="false">
      <c r="A1038" s="1" t="s">
        <v>1171</v>
      </c>
      <c r="C1038" s="1" t="s">
        <v>725</v>
      </c>
      <c r="E1038" s="1" t="s">
        <v>726</v>
      </c>
      <c r="F1038" s="1" t="n">
        <f aca="false">SUBTOTAL(9,F557:F560)</f>
        <v>13</v>
      </c>
      <c r="G1038" s="1" t="n">
        <f aca="false">SUBTOTAL(9,G557:G560)</f>
        <v>4</v>
      </c>
      <c r="H1038" s="1" t="n">
        <f aca="false">SUBTOTAL(9,H557:H560)</f>
        <v>73</v>
      </c>
      <c r="I1038" s="8" t="n">
        <f aca="false">SUBTOTAL(9,I557:I560)</f>
        <v>14481755</v>
      </c>
      <c r="J1038" s="1" t="n">
        <f aca="false">SUBTOTAL(9,J557:J560)</f>
        <v>6</v>
      </c>
      <c r="L1038" s="1" t="n">
        <f aca="false">SUBTOTAL(9,L557:L560)</f>
        <v>12</v>
      </c>
      <c r="M1038" s="1" t="n">
        <f aca="false">SUBTOTAL(9,M557:M560)</f>
        <v>1</v>
      </c>
      <c r="N1038" s="1" t="n">
        <f aca="false">SUBTOTAL(9,N557:N560)</f>
        <v>0</v>
      </c>
      <c r="O1038" s="1" t="n">
        <f aca="false">SUBTOTAL(9,O557:O560)</f>
        <v>5</v>
      </c>
      <c r="P1038" s="1" t="n">
        <f aca="false">SUBTOTAL(9,P557:P560)</f>
        <v>6</v>
      </c>
      <c r="Q1038" s="1" t="n">
        <f aca="false">SUBTOTAL(9,Q557:Q560)</f>
        <v>0</v>
      </c>
      <c r="R1038" s="1" t="n">
        <f aca="false">SUBTOTAL(9,R557:R560)</f>
        <v>0</v>
      </c>
      <c r="S1038" s="1" t="n">
        <f aca="false">SUBTOTAL(9,S557:S560)</f>
        <v>48</v>
      </c>
      <c r="T1038" s="1" t="n">
        <f aca="false">SUBTOTAL(9,T557:T560)</f>
        <v>2</v>
      </c>
      <c r="U1038" s="1" t="n">
        <f aca="false">SUBTOTAL(9,U557:U560)</f>
        <v>0</v>
      </c>
      <c r="V1038" s="1" t="n">
        <f aca="false">SUBTOTAL(9,V557:V560)</f>
        <v>0</v>
      </c>
      <c r="W1038" s="1" t="n">
        <f aca="false">SUBTOTAL(9,W557:W560)</f>
        <v>50</v>
      </c>
      <c r="X1038" s="1" t="n">
        <f aca="false">SUBTOTAL(9,X557:X560)</f>
        <v>3</v>
      </c>
      <c r="Y1038" s="1" t="n">
        <f aca="false">SUBTOTAL(9,Y557:Y560)</f>
        <v>3</v>
      </c>
      <c r="Z1038" s="20" t="n">
        <f aca="false">SUBTOTAL(9,Z557:Z560)</f>
        <v>0</v>
      </c>
      <c r="AA1038" s="20" t="n">
        <f aca="false">SUBTOTAL(9,AA557:AA560)</f>
        <v>0</v>
      </c>
      <c r="AB1038" s="20" t="n">
        <f aca="false">SUBTOTAL(9,AB557:AB560)</f>
        <v>67.2</v>
      </c>
      <c r="AC1038" s="20" t="n">
        <f aca="false">SUBTOTAL(9,AC557:AC560)</f>
        <v>2.8</v>
      </c>
      <c r="AD1038" s="20" t="n">
        <f aca="false">SUBTOTAL(9,AD557:AD560)</f>
        <v>0</v>
      </c>
      <c r="AE1038" s="20" t="n">
        <f aca="false">SUBTOTAL(9,AE557:AE560)</f>
        <v>0</v>
      </c>
      <c r="AF1038" s="20" t="n">
        <f aca="false">SUBTOTAL(9,AF557:AF560)</f>
        <v>70</v>
      </c>
      <c r="AH1038" s="22" t="n">
        <f aca="false">SUBTOTAL(9,AH557:AH560)</f>
        <v>0</v>
      </c>
      <c r="AI1038" s="22" t="n">
        <f aca="false">SUBTOTAL(9,AI557:AI560)</f>
        <v>0</v>
      </c>
      <c r="AJ1038" s="22" t="n">
        <f aca="false">SUBTOTAL(9,AJ557:AJ560)</f>
        <v>69.44</v>
      </c>
      <c r="AK1038" s="22" t="n">
        <f aca="false">SUBTOTAL(9,AK557:AK560)</f>
        <v>3.36</v>
      </c>
      <c r="AL1038" s="22" t="n">
        <f aca="false">SUBTOTAL(9,AL557:AL560)</f>
        <v>0</v>
      </c>
      <c r="AM1038" s="22" t="n">
        <f aca="false">SUBTOTAL(9,AM557:AM560)</f>
        <v>0</v>
      </c>
      <c r="AN1038" s="22" t="n">
        <f aca="false">SUBTOTAL(9,AN557:AN560)</f>
        <v>72.8</v>
      </c>
    </row>
    <row r="1039" customFormat="false" ht="13.8" hidden="false" customHeight="false" outlineLevel="0" collapsed="false">
      <c r="A1039" s="1" t="s">
        <v>1171</v>
      </c>
      <c r="C1039" s="1" t="s">
        <v>730</v>
      </c>
      <c r="E1039" s="1" t="s">
        <v>731</v>
      </c>
      <c r="F1039" s="1" t="n">
        <f aca="false">SUBTOTAL(9,F561:F566)</f>
        <v>10</v>
      </c>
      <c r="G1039" s="1" t="n">
        <f aca="false">SUBTOTAL(9,G561:G566)</f>
        <v>6</v>
      </c>
      <c r="H1039" s="1" t="n">
        <f aca="false">SUBTOTAL(9,H561:H566)</f>
        <v>56</v>
      </c>
      <c r="I1039" s="8" t="n">
        <f aca="false">SUBTOTAL(9,I561:I566)</f>
        <v>4365321</v>
      </c>
      <c r="J1039" s="1" t="n">
        <f aca="false">SUBTOTAL(9,J561:J566)</f>
        <v>10</v>
      </c>
      <c r="L1039" s="1" t="n">
        <f aca="false">SUBTOTAL(9,L561:L566)</f>
        <v>6</v>
      </c>
      <c r="M1039" s="1" t="n">
        <f aca="false">SUBTOTAL(9,M561:M566)</f>
        <v>1</v>
      </c>
      <c r="N1039" s="1" t="n">
        <f aca="false">SUBTOTAL(9,N561:N566)</f>
        <v>0</v>
      </c>
      <c r="O1039" s="1" t="n">
        <f aca="false">SUBTOTAL(9,O561:O566)</f>
        <v>4</v>
      </c>
      <c r="P1039" s="1" t="n">
        <f aca="false">SUBTOTAL(9,P561:P566)</f>
        <v>5</v>
      </c>
      <c r="Q1039" s="1" t="n">
        <f aca="false">SUBTOTAL(9,Q561:Q566)</f>
        <v>0</v>
      </c>
      <c r="R1039" s="1" t="n">
        <f aca="false">SUBTOTAL(9,R561:R566)</f>
        <v>2</v>
      </c>
      <c r="S1039" s="1" t="n">
        <f aca="false">SUBTOTAL(9,S561:S566)</f>
        <v>0</v>
      </c>
      <c r="T1039" s="1" t="n">
        <f aca="false">SUBTOTAL(9,T561:T566)</f>
        <v>0</v>
      </c>
      <c r="U1039" s="1" t="n">
        <f aca="false">SUBTOTAL(9,U561:U566)</f>
        <v>0</v>
      </c>
      <c r="V1039" s="1" t="n">
        <f aca="false">SUBTOTAL(9,V561:V566)</f>
        <v>2</v>
      </c>
      <c r="W1039" s="1" t="n">
        <f aca="false">SUBTOTAL(9,W561:W566)</f>
        <v>4</v>
      </c>
      <c r="X1039" s="1" t="n">
        <f aca="false">SUBTOTAL(9,X561:X566)</f>
        <v>0</v>
      </c>
      <c r="Y1039" s="1" t="n">
        <f aca="false">SUBTOTAL(9,Y561:Y566)</f>
        <v>0</v>
      </c>
      <c r="Z1039" s="20" t="n">
        <f aca="false">SUBTOTAL(9,Z561:Z566)</f>
        <v>0</v>
      </c>
      <c r="AA1039" s="20" t="n">
        <f aca="false">SUBTOTAL(9,AA561:AA566)</f>
        <v>2.8</v>
      </c>
      <c r="AB1039" s="20" t="n">
        <f aca="false">SUBTOTAL(9,AB561:AB566)</f>
        <v>0</v>
      </c>
      <c r="AC1039" s="20" t="n">
        <f aca="false">SUBTOTAL(9,AC561:AC566)</f>
        <v>0</v>
      </c>
      <c r="AD1039" s="20" t="n">
        <f aca="false">SUBTOTAL(9,AD561:AD566)</f>
        <v>0</v>
      </c>
      <c r="AE1039" s="20" t="n">
        <f aca="false">SUBTOTAL(9,AE561:AE566)</f>
        <v>2.8</v>
      </c>
      <c r="AF1039" s="20" t="n">
        <f aca="false">SUBTOTAL(9,AF561:AF566)</f>
        <v>5.6</v>
      </c>
      <c r="AH1039" s="22" t="n">
        <f aca="false">SUBTOTAL(9,AH561:AH566)</f>
        <v>0</v>
      </c>
      <c r="AI1039" s="22" t="n">
        <f aca="false">SUBTOTAL(9,AI561:AI566)</f>
        <v>2.8</v>
      </c>
      <c r="AJ1039" s="22" t="n">
        <f aca="false">SUBTOTAL(9,AJ561:AJ566)</f>
        <v>0</v>
      </c>
      <c r="AK1039" s="22" t="n">
        <f aca="false">SUBTOTAL(9,AK561:AK566)</f>
        <v>0</v>
      </c>
      <c r="AL1039" s="22" t="n">
        <f aca="false">SUBTOTAL(9,AL561:AL566)</f>
        <v>0</v>
      </c>
      <c r="AM1039" s="22" t="n">
        <f aca="false">SUBTOTAL(9,AM561:AM566)</f>
        <v>2.8</v>
      </c>
      <c r="AN1039" s="22" t="n">
        <f aca="false">SUBTOTAL(9,AN561:AN566)</f>
        <v>5.6</v>
      </c>
    </row>
    <row r="1040" customFormat="false" ht="13.8" hidden="false" customHeight="false" outlineLevel="0" collapsed="false">
      <c r="A1040" s="1" t="s">
        <v>1171</v>
      </c>
      <c r="C1040" s="1" t="s">
        <v>738</v>
      </c>
      <c r="E1040" s="1" t="s">
        <v>739</v>
      </c>
      <c r="F1040" s="1" t="n">
        <f aca="false">SUBTOTAL(9,F567:F573)</f>
        <v>25</v>
      </c>
      <c r="G1040" s="1" t="n">
        <f aca="false">SUBTOTAL(9,G567:G573)</f>
        <v>7</v>
      </c>
      <c r="H1040" s="1" t="n">
        <f aca="false">SUBTOTAL(9,H567:H573)</f>
        <v>45</v>
      </c>
      <c r="I1040" s="8" t="n">
        <f aca="false">SUBTOTAL(9,I567:I573)</f>
        <v>9753591</v>
      </c>
      <c r="J1040" s="1" t="n">
        <f aca="false">SUBTOTAL(9,J567:J573)</f>
        <v>17</v>
      </c>
      <c r="L1040" s="1" t="n">
        <f aca="false">SUBTOTAL(9,L567:L573)</f>
        <v>18</v>
      </c>
      <c r="M1040" s="1" t="n">
        <f aca="false">SUBTOTAL(9,M567:M573)</f>
        <v>1</v>
      </c>
      <c r="N1040" s="1" t="n">
        <f aca="false">SUBTOTAL(9,N567:N573)</f>
        <v>0</v>
      </c>
      <c r="O1040" s="1" t="n">
        <f aca="false">SUBTOTAL(9,O567:O573)</f>
        <v>9</v>
      </c>
      <c r="P1040" s="1" t="n">
        <f aca="false">SUBTOTAL(9,P567:P573)</f>
        <v>10</v>
      </c>
      <c r="Q1040" s="1" t="n">
        <f aca="false">SUBTOTAL(9,Q567:Q573)</f>
        <v>0</v>
      </c>
      <c r="R1040" s="1" t="n">
        <f aca="false">SUBTOTAL(9,R567:R573)</f>
        <v>0</v>
      </c>
      <c r="S1040" s="1" t="n">
        <f aca="false">SUBTOTAL(9,S567:S573)</f>
        <v>0</v>
      </c>
      <c r="T1040" s="1" t="n">
        <f aca="false">SUBTOTAL(9,T567:T573)</f>
        <v>0</v>
      </c>
      <c r="U1040" s="1" t="n">
        <f aca="false">SUBTOTAL(9,U567:U573)</f>
        <v>11</v>
      </c>
      <c r="V1040" s="1" t="n">
        <f aca="false">SUBTOTAL(9,V567:V573)</f>
        <v>113</v>
      </c>
      <c r="W1040" s="1" t="n">
        <f aca="false">SUBTOTAL(9,W567:W573)</f>
        <v>124</v>
      </c>
      <c r="X1040" s="1" t="n">
        <f aca="false">SUBTOTAL(9,X567:X573)</f>
        <v>5</v>
      </c>
      <c r="Y1040" s="1" t="n">
        <f aca="false">SUBTOTAL(9,Y567:Y573)</f>
        <v>8</v>
      </c>
      <c r="Z1040" s="20" t="n">
        <f aca="false">SUBTOTAL(9,Z567:Z573)</f>
        <v>0</v>
      </c>
      <c r="AA1040" s="20" t="n">
        <f aca="false">SUBTOTAL(9,AA567:AA573)</f>
        <v>0</v>
      </c>
      <c r="AB1040" s="20" t="n">
        <f aca="false">SUBTOTAL(9,AB567:AB573)</f>
        <v>0</v>
      </c>
      <c r="AC1040" s="20" t="n">
        <f aca="false">SUBTOTAL(9,AC567:AC573)</f>
        <v>0</v>
      </c>
      <c r="AD1040" s="20" t="n">
        <f aca="false">SUBTOTAL(9,AD567:AD573)</f>
        <v>17.6</v>
      </c>
      <c r="AE1040" s="20" t="n">
        <f aca="false">SUBTOTAL(9,AE567:AE573)</f>
        <v>180.8</v>
      </c>
      <c r="AF1040" s="20" t="n">
        <f aca="false">SUBTOTAL(9,AF567:AF573)</f>
        <v>198.4</v>
      </c>
      <c r="AH1040" s="22" t="n">
        <f aca="false">SUBTOTAL(9,AH567:AH573)</f>
        <v>0</v>
      </c>
      <c r="AI1040" s="22" t="n">
        <f aca="false">SUBTOTAL(9,AI567:AI573)</f>
        <v>0</v>
      </c>
      <c r="AJ1040" s="22" t="n">
        <f aca="false">SUBTOTAL(9,AJ567:AJ573)</f>
        <v>0</v>
      </c>
      <c r="AK1040" s="22" t="n">
        <f aca="false">SUBTOTAL(9,AK567:AK573)</f>
        <v>0</v>
      </c>
      <c r="AL1040" s="22" t="n">
        <f aca="false">SUBTOTAL(9,AL567:AL573)</f>
        <v>21.12</v>
      </c>
      <c r="AM1040" s="22" t="n">
        <f aca="false">SUBTOTAL(9,AM567:AM573)</f>
        <v>216.96</v>
      </c>
      <c r="AN1040" s="22" t="n">
        <f aca="false">SUBTOTAL(9,AN567:AN573)</f>
        <v>238.08</v>
      </c>
    </row>
    <row r="1041" customFormat="false" ht="13.8" hidden="false" customHeight="false" outlineLevel="0" collapsed="false">
      <c r="A1041" s="1" t="s">
        <v>1171</v>
      </c>
      <c r="C1041" s="1" t="s">
        <v>747</v>
      </c>
      <c r="E1041" s="1" t="s">
        <v>748</v>
      </c>
      <c r="F1041" s="1" t="n">
        <f aca="false">SUBTOTAL(9,F574:F725)</f>
        <v>586</v>
      </c>
      <c r="G1041" s="1" t="n">
        <f aca="false">SUBTOTAL(9,G574:G725)</f>
        <v>152</v>
      </c>
      <c r="H1041" s="1" t="n">
        <f aca="false">SUBTOTAL(9,H574:H725)</f>
        <v>2410</v>
      </c>
      <c r="I1041" s="8" t="n">
        <f aca="false">SUBTOTAL(9,I574:I725)</f>
        <v>161609936</v>
      </c>
      <c r="J1041" s="1" t="n">
        <f aca="false">SUBTOTAL(9,J574:J725)</f>
        <v>331</v>
      </c>
      <c r="L1041" s="1" t="n">
        <f aca="false">SUBTOTAL(9,L574:L725)</f>
        <v>438</v>
      </c>
      <c r="M1041" s="1" t="n">
        <f aca="false">SUBTOTAL(9,M574:M725)</f>
        <v>32</v>
      </c>
      <c r="N1041" s="1" t="n">
        <f aca="false">SUBTOTAL(9,N574:N725)</f>
        <v>6</v>
      </c>
      <c r="O1041" s="1" t="n">
        <f aca="false">SUBTOTAL(9,O574:O725)</f>
        <v>45</v>
      </c>
      <c r="P1041" s="1" t="n">
        <f aca="false">SUBTOTAL(9,P574:P725)</f>
        <v>83</v>
      </c>
      <c r="Q1041" s="1" t="n">
        <f aca="false">SUBTOTAL(9,Q574:Q725)</f>
        <v>146</v>
      </c>
      <c r="R1041" s="1" t="n">
        <f aca="false">SUBTOTAL(9,R574:R725)</f>
        <v>101</v>
      </c>
      <c r="S1041" s="1" t="n">
        <f aca="false">SUBTOTAL(9,S574:S725)</f>
        <v>0</v>
      </c>
      <c r="T1041" s="1" t="n">
        <f aca="false">SUBTOTAL(9,T574:T725)</f>
        <v>47</v>
      </c>
      <c r="U1041" s="1" t="n">
        <f aca="false">SUBTOTAL(9,U574:U725)</f>
        <v>377</v>
      </c>
      <c r="V1041" s="1" t="n">
        <f aca="false">SUBTOTAL(9,V574:V725)</f>
        <v>277</v>
      </c>
      <c r="W1041" s="1" t="n">
        <f aca="false">SUBTOTAL(9,W574:W725)</f>
        <v>948</v>
      </c>
      <c r="X1041" s="1" t="n">
        <f aca="false">SUBTOTAL(9,X574:X725)</f>
        <v>157</v>
      </c>
      <c r="Y1041" s="1" t="n">
        <f aca="false">SUBTOTAL(9,Y574:Y725)</f>
        <v>53</v>
      </c>
      <c r="Z1041" s="20" t="n">
        <f aca="false">SUBTOTAL(9,Z574:Z725)</f>
        <v>206.6</v>
      </c>
      <c r="AA1041" s="20" t="n">
        <f aca="false">SUBTOTAL(9,AA574:AA725)</f>
        <v>140</v>
      </c>
      <c r="AB1041" s="20" t="n">
        <f aca="false">SUBTOTAL(9,AB574:AB725)</f>
        <v>0</v>
      </c>
      <c r="AC1041" s="20" t="n">
        <f aca="false">SUBTOTAL(9,AC574:AC725)</f>
        <v>70.4</v>
      </c>
      <c r="AD1041" s="20" t="n">
        <f aca="false">SUBTOTAL(9,AD574:AD725)</f>
        <v>569.6</v>
      </c>
      <c r="AE1041" s="20" t="n">
        <f aca="false">SUBTOTAL(9,AE574:AE725)</f>
        <v>381</v>
      </c>
      <c r="AF1041" s="20" t="n">
        <f aca="false">SUBTOTAL(9,AF574:AF725)</f>
        <v>1367.6</v>
      </c>
      <c r="AH1041" s="22" t="n">
        <f aca="false">SUBTOTAL(9,AH574:AH725)</f>
        <v>241.2</v>
      </c>
      <c r="AI1041" s="22" t="n">
        <f aca="false">SUBTOTAL(9,AI574:AI725)</f>
        <v>150.32</v>
      </c>
      <c r="AJ1041" s="22" t="n">
        <f aca="false">SUBTOTAL(9,AJ574:AJ725)</f>
        <v>0</v>
      </c>
      <c r="AK1041" s="22" t="n">
        <f aca="false">SUBTOTAL(9,AK574:AK725)</f>
        <v>75.84</v>
      </c>
      <c r="AL1041" s="22" t="n">
        <f aca="false">SUBTOTAL(9,AL574:AL725)</f>
        <v>643.68</v>
      </c>
      <c r="AM1041" s="22" t="n">
        <f aca="false">SUBTOTAL(9,AM574:AM725)</f>
        <v>408</v>
      </c>
      <c r="AN1041" s="22" t="n">
        <f aca="false">SUBTOTAL(9,AN574:AN725)</f>
        <v>1519.04</v>
      </c>
    </row>
    <row r="1042" customFormat="false" ht="13.8" hidden="false" customHeight="false" outlineLevel="0" collapsed="false">
      <c r="A1042" s="1" t="s">
        <v>1171</v>
      </c>
      <c r="C1042" s="1" t="s">
        <v>901</v>
      </c>
      <c r="E1042" s="1" t="s">
        <v>902</v>
      </c>
      <c r="F1042" s="1" t="n">
        <f aca="false">SUBTOTAL(9,F726:F751)</f>
        <v>154</v>
      </c>
      <c r="G1042" s="1" t="n">
        <f aca="false">SUBTOTAL(9,G726:G751)</f>
        <v>26</v>
      </c>
      <c r="H1042" s="1" t="n">
        <f aca="false">SUBTOTAL(9,H726:H751)</f>
        <v>246</v>
      </c>
      <c r="I1042" s="8" t="n">
        <f aca="false">SUBTOTAL(9,I726:I751)</f>
        <v>25720177</v>
      </c>
      <c r="J1042" s="1" t="n">
        <f aca="false">SUBTOTAL(9,J726:J751)</f>
        <v>71</v>
      </c>
      <c r="L1042" s="1" t="n">
        <f aca="false">SUBTOTAL(9,L726:L751)</f>
        <v>80</v>
      </c>
      <c r="M1042" s="1" t="n">
        <f aca="false">SUBTOTAL(9,M726:M751)</f>
        <v>7</v>
      </c>
      <c r="N1042" s="1" t="n">
        <f aca="false">SUBTOTAL(9,N726:N751)</f>
        <v>4</v>
      </c>
      <c r="O1042" s="1" t="n">
        <f aca="false">SUBTOTAL(9,O726:O751)</f>
        <v>16</v>
      </c>
      <c r="P1042" s="1" t="n">
        <f aca="false">SUBTOTAL(9,P726:P751)</f>
        <v>27</v>
      </c>
      <c r="Q1042" s="1" t="n">
        <f aca="false">SUBTOTAL(9,Q726:Q751)</f>
        <v>0</v>
      </c>
      <c r="R1042" s="1" t="n">
        <f aca="false">SUBTOTAL(9,R726:R751)</f>
        <v>1</v>
      </c>
      <c r="S1042" s="1" t="n">
        <f aca="false">SUBTOTAL(9,S726:S751)</f>
        <v>0</v>
      </c>
      <c r="T1042" s="1" t="n">
        <f aca="false">SUBTOTAL(9,T726:T751)</f>
        <v>34</v>
      </c>
      <c r="U1042" s="1" t="n">
        <f aca="false">SUBTOTAL(9,U726:U751)</f>
        <v>71</v>
      </c>
      <c r="V1042" s="1" t="n">
        <f aca="false">SUBTOTAL(9,V726:V751)</f>
        <v>0</v>
      </c>
      <c r="W1042" s="1" t="n">
        <f aca="false">SUBTOTAL(9,W726:W751)</f>
        <v>106</v>
      </c>
      <c r="X1042" s="1" t="n">
        <f aca="false">SUBTOTAL(9,X726:X751)</f>
        <v>30</v>
      </c>
      <c r="Y1042" s="1" t="n">
        <f aca="false">SUBTOTAL(9,Y726:Y751)</f>
        <v>48</v>
      </c>
      <c r="Z1042" s="20" t="n">
        <f aca="false">SUBTOTAL(9,Z726:Z751)</f>
        <v>0</v>
      </c>
      <c r="AA1042" s="20" t="n">
        <f aca="false">SUBTOTAL(9,AA726:AA751)</f>
        <v>1.6</v>
      </c>
      <c r="AB1042" s="20" t="n">
        <f aca="false">SUBTOTAL(9,AB726:AB751)</f>
        <v>0</v>
      </c>
      <c r="AC1042" s="20" t="n">
        <f aca="false">SUBTOTAL(9,AC726:AC751)</f>
        <v>54.4</v>
      </c>
      <c r="AD1042" s="20" t="n">
        <f aca="false">SUBTOTAL(9,AD726:AD751)</f>
        <v>105.6</v>
      </c>
      <c r="AE1042" s="20" t="n">
        <f aca="false">SUBTOTAL(9,AE726:AE751)</f>
        <v>0</v>
      </c>
      <c r="AF1042" s="20" t="n">
        <f aca="false">SUBTOTAL(9,AF726:AF751)</f>
        <v>161.6</v>
      </c>
      <c r="AH1042" s="22" t="n">
        <f aca="false">SUBTOTAL(9,AH726:AH751)</f>
        <v>0</v>
      </c>
      <c r="AI1042" s="22" t="n">
        <f aca="false">SUBTOTAL(9,AI726:AI751)</f>
        <v>1.92</v>
      </c>
      <c r="AJ1042" s="22" t="n">
        <f aca="false">SUBTOTAL(9,AJ726:AJ751)</f>
        <v>0</v>
      </c>
      <c r="AK1042" s="22" t="n">
        <f aca="false">SUBTOTAL(9,AK726:AK751)</f>
        <v>62.08</v>
      </c>
      <c r="AL1042" s="22" t="n">
        <f aca="false">SUBTOTAL(9,AL726:AL751)</f>
        <v>126.72</v>
      </c>
      <c r="AM1042" s="22" t="n">
        <f aca="false">SUBTOTAL(9,AM726:AM751)</f>
        <v>0</v>
      </c>
      <c r="AN1042" s="22" t="n">
        <f aca="false">SUBTOTAL(9,AN726:AN751)</f>
        <v>190.72</v>
      </c>
    </row>
    <row r="1043" customFormat="false" ht="13.8" hidden="false" customHeight="false" outlineLevel="0" collapsed="false">
      <c r="A1043" s="1" t="s">
        <v>1171</v>
      </c>
      <c r="C1043" s="1" t="s">
        <v>929</v>
      </c>
      <c r="E1043" s="1" t="s">
        <v>930</v>
      </c>
      <c r="F1043" s="1" t="n">
        <f aca="false">SUBTOTAL(9,F752)</f>
        <v>2</v>
      </c>
      <c r="G1043" s="1" t="n">
        <f aca="false">SUBTOTAL(9,G752)</f>
        <v>1</v>
      </c>
      <c r="H1043" s="1" t="n">
        <f aca="false">SUBTOTAL(9,H752)</f>
        <v>3</v>
      </c>
      <c r="I1043" s="8" t="n">
        <f aca="false">SUBTOTAL(9,I752)</f>
        <v>560684</v>
      </c>
      <c r="J1043" s="1" t="n">
        <f aca="false">SUBTOTAL(9,J752)</f>
        <v>1</v>
      </c>
      <c r="L1043" s="1" t="n">
        <f aca="false">SUBTOTAL(9,L752)</f>
        <v>2</v>
      </c>
      <c r="M1043" s="1" t="n">
        <f aca="false">SUBTOTAL(9,M752)</f>
        <v>1</v>
      </c>
      <c r="N1043" s="1" t="n">
        <f aca="false">SUBTOTAL(9,N752)</f>
        <v>0</v>
      </c>
      <c r="O1043" s="1" t="n">
        <f aca="false">SUBTOTAL(9,O752)</f>
        <v>0</v>
      </c>
      <c r="P1043" s="1" t="n">
        <f aca="false">SUBTOTAL(9,P752)</f>
        <v>1</v>
      </c>
      <c r="Q1043" s="1" t="n">
        <f aca="false">SUBTOTAL(9,Q752)</f>
        <v>0</v>
      </c>
      <c r="R1043" s="1" t="n">
        <f aca="false">SUBTOTAL(9,R752)</f>
        <v>0</v>
      </c>
      <c r="S1043" s="1" t="n">
        <f aca="false">SUBTOTAL(9,S752)</f>
        <v>0</v>
      </c>
      <c r="T1043" s="1" t="n">
        <f aca="false">SUBTOTAL(9,T752)</f>
        <v>0</v>
      </c>
      <c r="U1043" s="1" t="n">
        <f aca="false">SUBTOTAL(9,U752)</f>
        <v>0</v>
      </c>
      <c r="V1043" s="1" t="n">
        <f aca="false">SUBTOTAL(9,V752)</f>
        <v>0</v>
      </c>
      <c r="W1043" s="1" t="n">
        <f aca="false">SUBTOTAL(9,W752)</f>
        <v>0</v>
      </c>
      <c r="X1043" s="1" t="n">
        <f aca="false">SUBTOTAL(9,X752)</f>
        <v>0</v>
      </c>
      <c r="Y1043" s="1" t="n">
        <f aca="false">SUBTOTAL(9,Y752)</f>
        <v>0</v>
      </c>
      <c r="Z1043" s="20" t="n">
        <f aca="false">SUBTOTAL(9,Z752)</f>
        <v>0</v>
      </c>
      <c r="AA1043" s="20" t="n">
        <f aca="false">SUBTOTAL(9,AA752)</f>
        <v>0</v>
      </c>
      <c r="AB1043" s="20" t="n">
        <f aca="false">SUBTOTAL(9,AB752)</f>
        <v>0</v>
      </c>
      <c r="AC1043" s="20" t="n">
        <f aca="false">SUBTOTAL(9,AC752)</f>
        <v>0</v>
      </c>
      <c r="AD1043" s="20" t="n">
        <f aca="false">SUBTOTAL(9,AD752)</f>
        <v>0</v>
      </c>
      <c r="AE1043" s="20" t="n">
        <f aca="false">SUBTOTAL(9,AE752)</f>
        <v>0</v>
      </c>
      <c r="AF1043" s="20" t="n">
        <f aca="false">SUBTOTAL(9,AF752)</f>
        <v>0</v>
      </c>
      <c r="AH1043" s="22" t="n">
        <f aca="false">SUBTOTAL(9,AH752)</f>
        <v>0</v>
      </c>
      <c r="AI1043" s="22" t="n">
        <f aca="false">SUBTOTAL(9,AI752)</f>
        <v>0</v>
      </c>
      <c r="AJ1043" s="22" t="n">
        <f aca="false">SUBTOTAL(9,AJ752)</f>
        <v>0</v>
      </c>
      <c r="AK1043" s="22" t="n">
        <f aca="false">SUBTOTAL(9,AK752)</f>
        <v>0</v>
      </c>
      <c r="AL1043" s="22" t="n">
        <f aca="false">SUBTOTAL(9,AL752)</f>
        <v>0</v>
      </c>
      <c r="AM1043" s="22" t="n">
        <f aca="false">SUBTOTAL(9,AM752)</f>
        <v>0</v>
      </c>
      <c r="AN1043" s="22" t="n">
        <f aca="false">SUBTOTAL(9,AN752)</f>
        <v>0</v>
      </c>
    </row>
    <row r="1044" customFormat="false" ht="13.8" hidden="false" customHeight="false" outlineLevel="0" collapsed="false">
      <c r="A1044" s="1" t="s">
        <v>1171</v>
      </c>
      <c r="C1044" s="1" t="s">
        <v>932</v>
      </c>
      <c r="E1044" s="1" t="s">
        <v>933</v>
      </c>
      <c r="F1044" s="1" t="n">
        <f aca="false">SUBTOTAL(9,F753:F765)</f>
        <v>63</v>
      </c>
      <c r="G1044" s="1" t="n">
        <f aca="false">SUBTOTAL(9,G753:G765)</f>
        <v>13</v>
      </c>
      <c r="H1044" s="1" t="n">
        <f aca="false">SUBTOTAL(9,H753:H765)</f>
        <v>209</v>
      </c>
      <c r="I1044" s="8" t="n">
        <f aca="false">SUBTOTAL(9,I753:I765)</f>
        <v>6441142</v>
      </c>
      <c r="J1044" s="1" t="n">
        <f aca="false">SUBTOTAL(9,J753:J765)</f>
        <v>35</v>
      </c>
      <c r="L1044" s="1" t="n">
        <f aca="false">SUBTOTAL(9,L753:L765)</f>
        <v>39</v>
      </c>
      <c r="M1044" s="1" t="n">
        <f aca="false">SUBTOTAL(9,M753:M765)</f>
        <v>3</v>
      </c>
      <c r="N1044" s="1" t="n">
        <f aca="false">SUBTOTAL(9,N753:N765)</f>
        <v>3</v>
      </c>
      <c r="O1044" s="1" t="n">
        <f aca="false">SUBTOTAL(9,O753:O765)</f>
        <v>9</v>
      </c>
      <c r="P1044" s="1" t="n">
        <f aca="false">SUBTOTAL(9,P753:P765)</f>
        <v>15</v>
      </c>
      <c r="Q1044" s="1" t="n">
        <f aca="false">SUBTOTAL(9,Q753:Q765)</f>
        <v>0</v>
      </c>
      <c r="R1044" s="1" t="n">
        <f aca="false">SUBTOTAL(9,R753:R765)</f>
        <v>2</v>
      </c>
      <c r="S1044" s="1" t="n">
        <f aca="false">SUBTOTAL(9,S753:S765)</f>
        <v>0</v>
      </c>
      <c r="T1044" s="1" t="n">
        <f aca="false">SUBTOTAL(9,T753:T765)</f>
        <v>79</v>
      </c>
      <c r="U1044" s="1" t="n">
        <f aca="false">SUBTOTAL(9,U753:U765)</f>
        <v>166</v>
      </c>
      <c r="V1044" s="1" t="n">
        <f aca="false">SUBTOTAL(9,V753:V765)</f>
        <v>40</v>
      </c>
      <c r="W1044" s="1" t="n">
        <f aca="false">SUBTOTAL(9,W753:W765)</f>
        <v>287</v>
      </c>
      <c r="X1044" s="1" t="n">
        <f aca="false">SUBTOTAL(9,X753:X765)</f>
        <v>12</v>
      </c>
      <c r="Y1044" s="1" t="n">
        <f aca="false">SUBTOTAL(9,Y753:Y765)</f>
        <v>25</v>
      </c>
      <c r="Z1044" s="20" t="n">
        <f aca="false">SUBTOTAL(9,Z753:Z765)</f>
        <v>0</v>
      </c>
      <c r="AA1044" s="20" t="n">
        <f aca="false">SUBTOTAL(9,AA753:AA765)</f>
        <v>3.6</v>
      </c>
      <c r="AB1044" s="20" t="n">
        <f aca="false">SUBTOTAL(9,AB753:AB765)</f>
        <v>0</v>
      </c>
      <c r="AC1044" s="20" t="n">
        <f aca="false">SUBTOTAL(9,AC753:AC765)</f>
        <v>110.6</v>
      </c>
      <c r="AD1044" s="20" t="n">
        <f aca="false">SUBTOTAL(9,AD753:AD765)</f>
        <v>247.8</v>
      </c>
      <c r="AE1044" s="20" t="n">
        <f aca="false">SUBTOTAL(9,AE753:AE765)</f>
        <v>56</v>
      </c>
      <c r="AF1044" s="20" t="n">
        <f aca="false">SUBTOTAL(9,AF753:AF765)</f>
        <v>418</v>
      </c>
      <c r="AH1044" s="22" t="n">
        <f aca="false">SUBTOTAL(9,AH753:AH765)</f>
        <v>0</v>
      </c>
      <c r="AI1044" s="22" t="n">
        <f aca="false">SUBTOTAL(9,AI753:AI765)</f>
        <v>4.32</v>
      </c>
      <c r="AJ1044" s="22" t="n">
        <f aca="false">SUBTOTAL(9,AJ753:AJ765)</f>
        <v>0</v>
      </c>
      <c r="AK1044" s="22" t="n">
        <f aca="false">SUBTOTAL(9,AK753:AK765)</f>
        <v>122.92</v>
      </c>
      <c r="AL1044" s="22" t="n">
        <f aca="false">SUBTOTAL(9,AL753:AL765)</f>
        <v>272.04</v>
      </c>
      <c r="AM1044" s="22" t="n">
        <f aca="false">SUBTOTAL(9,AM753:AM765)</f>
        <v>63</v>
      </c>
      <c r="AN1044" s="22" t="n">
        <f aca="false">SUBTOTAL(9,AN753:AN765)</f>
        <v>462.28</v>
      </c>
    </row>
    <row r="1045" customFormat="false" ht="13.8" hidden="false" customHeight="false" outlineLevel="0" collapsed="false">
      <c r="A1045" s="1" t="s">
        <v>1171</v>
      </c>
      <c r="C1045" s="1" t="s">
        <v>947</v>
      </c>
      <c r="E1045" s="1" t="s">
        <v>948</v>
      </c>
      <c r="F1045" s="1" t="n">
        <f aca="false">SUBTOTAL(9,F766:F770)</f>
        <v>37</v>
      </c>
      <c r="G1045" s="1" t="n">
        <f aca="false">SUBTOTAL(9,G766:G770)</f>
        <v>5</v>
      </c>
      <c r="H1045" s="1" t="n">
        <f aca="false">SUBTOTAL(9,H766:H770)</f>
        <v>21</v>
      </c>
      <c r="I1045" s="8" t="n">
        <f aca="false">SUBTOTAL(9,I766:I770)</f>
        <v>4227190</v>
      </c>
      <c r="J1045" s="1" t="n">
        <f aca="false">SUBTOTAL(9,J766:J770)</f>
        <v>11</v>
      </c>
      <c r="L1045" s="1" t="n">
        <f aca="false">SUBTOTAL(9,L766:L770)</f>
        <v>18</v>
      </c>
      <c r="M1045" s="1" t="n">
        <f aca="false">SUBTOTAL(9,M766:M770)</f>
        <v>4</v>
      </c>
      <c r="N1045" s="1" t="n">
        <f aca="false">SUBTOTAL(9,N766:N770)</f>
        <v>0</v>
      </c>
      <c r="O1045" s="1" t="n">
        <f aca="false">SUBTOTAL(9,O766:O770)</f>
        <v>8</v>
      </c>
      <c r="P1045" s="1" t="n">
        <f aca="false">SUBTOTAL(9,P766:P770)</f>
        <v>12</v>
      </c>
      <c r="Q1045" s="1" t="n">
        <f aca="false">SUBTOTAL(9,Q766:Q770)</f>
        <v>0</v>
      </c>
      <c r="R1045" s="1" t="n">
        <f aca="false">SUBTOTAL(9,R766:R770)</f>
        <v>48</v>
      </c>
      <c r="S1045" s="1" t="n">
        <f aca="false">SUBTOTAL(9,S766:S770)</f>
        <v>0</v>
      </c>
      <c r="T1045" s="1" t="n">
        <f aca="false">SUBTOTAL(9,T766:T770)</f>
        <v>0</v>
      </c>
      <c r="U1045" s="1" t="n">
        <f aca="false">SUBTOTAL(9,U766:U770)</f>
        <v>0</v>
      </c>
      <c r="V1045" s="1" t="n">
        <f aca="false">SUBTOTAL(9,V766:V770)</f>
        <v>0</v>
      </c>
      <c r="W1045" s="1" t="n">
        <f aca="false">SUBTOTAL(9,W766:W770)</f>
        <v>48</v>
      </c>
      <c r="X1045" s="1" t="n">
        <f aca="false">SUBTOTAL(9,X766:X770)</f>
        <v>4</v>
      </c>
      <c r="Y1045" s="1" t="n">
        <f aca="false">SUBTOTAL(9,Y766:Y770)</f>
        <v>0</v>
      </c>
      <c r="Z1045" s="20" t="n">
        <f aca="false">SUBTOTAL(9,Z766:Z770)</f>
        <v>0</v>
      </c>
      <c r="AA1045" s="20" t="n">
        <f aca="false">SUBTOTAL(9,AA766:AA770)</f>
        <v>67.8</v>
      </c>
      <c r="AB1045" s="20" t="n">
        <f aca="false">SUBTOTAL(9,AB766:AB770)</f>
        <v>0</v>
      </c>
      <c r="AC1045" s="20" t="n">
        <f aca="false">SUBTOTAL(9,AC766:AC770)</f>
        <v>0</v>
      </c>
      <c r="AD1045" s="20" t="n">
        <f aca="false">SUBTOTAL(9,AD766:AD770)</f>
        <v>0</v>
      </c>
      <c r="AE1045" s="20" t="n">
        <f aca="false">SUBTOTAL(9,AE766:AE770)</f>
        <v>0</v>
      </c>
      <c r="AF1045" s="20" t="n">
        <f aca="false">SUBTOTAL(9,AF766:AF770)</f>
        <v>67.8</v>
      </c>
      <c r="AH1045" s="22" t="n">
        <f aca="false">SUBTOTAL(9,AH766:AH770)</f>
        <v>0</v>
      </c>
      <c r="AI1045" s="22" t="n">
        <f aca="false">SUBTOTAL(9,AI766:AI770)</f>
        <v>67.8</v>
      </c>
      <c r="AJ1045" s="22" t="n">
        <f aca="false">SUBTOTAL(9,AJ766:AJ770)</f>
        <v>0</v>
      </c>
      <c r="AK1045" s="22" t="n">
        <f aca="false">SUBTOTAL(9,AK766:AK770)</f>
        <v>0</v>
      </c>
      <c r="AL1045" s="22" t="n">
        <f aca="false">SUBTOTAL(9,AL766:AL770)</f>
        <v>0</v>
      </c>
      <c r="AM1045" s="22" t="n">
        <f aca="false">SUBTOTAL(9,AM766:AM770)</f>
        <v>0</v>
      </c>
      <c r="AN1045" s="22" t="n">
        <f aca="false">SUBTOTAL(9,AN766:AN770)</f>
        <v>67.8</v>
      </c>
    </row>
    <row r="1046" customFormat="false" ht="13.8" hidden="false" customHeight="false" outlineLevel="0" collapsed="false">
      <c r="A1046" s="1" t="s">
        <v>1171</v>
      </c>
      <c r="C1046" s="1" t="s">
        <v>954</v>
      </c>
      <c r="E1046" s="1" t="s">
        <v>953</v>
      </c>
      <c r="F1046" s="1" t="n">
        <f aca="false">SUBTOTAL(9,F771)</f>
        <v>3</v>
      </c>
      <c r="G1046" s="1" t="n">
        <f aca="false">SUBTOTAL(9,G771)</f>
        <v>1</v>
      </c>
      <c r="H1046" s="1" t="n">
        <f aca="false">SUBTOTAL(9,H771)</f>
        <v>12</v>
      </c>
      <c r="I1046" s="8" t="n">
        <f aca="false">SUBTOTAL(9,I771)</f>
        <v>85104</v>
      </c>
      <c r="J1046" s="1" t="n">
        <f aca="false">SUBTOTAL(9,J771)</f>
        <v>1</v>
      </c>
      <c r="L1046" s="1" t="n">
        <f aca="false">SUBTOTAL(9,L771)</f>
        <v>2</v>
      </c>
      <c r="M1046" s="1" t="n">
        <f aca="false">SUBTOTAL(9,M771)</f>
        <v>1</v>
      </c>
      <c r="N1046" s="1" t="n">
        <f aca="false">SUBTOTAL(9,N771)</f>
        <v>0</v>
      </c>
      <c r="O1046" s="1" t="n">
        <f aca="false">SUBTOTAL(9,O771)</f>
        <v>1</v>
      </c>
      <c r="P1046" s="1" t="n">
        <f aca="false">SUBTOTAL(9,P771)</f>
        <v>2</v>
      </c>
      <c r="Q1046" s="1" t="n">
        <f aca="false">SUBTOTAL(9,Q771)</f>
        <v>0</v>
      </c>
      <c r="R1046" s="1" t="n">
        <f aca="false">SUBTOTAL(9,R771)</f>
        <v>0</v>
      </c>
      <c r="S1046" s="1" t="n">
        <f aca="false">SUBTOTAL(9,S771)</f>
        <v>0</v>
      </c>
      <c r="T1046" s="1" t="n">
        <f aca="false">SUBTOTAL(9,T771)</f>
        <v>0</v>
      </c>
      <c r="U1046" s="1" t="n">
        <f aca="false">SUBTOTAL(9,U771)</f>
        <v>0</v>
      </c>
      <c r="V1046" s="1" t="n">
        <f aca="false">SUBTOTAL(9,V771)</f>
        <v>2</v>
      </c>
      <c r="W1046" s="1" t="n">
        <f aca="false">SUBTOTAL(9,W771)</f>
        <v>2</v>
      </c>
      <c r="X1046" s="1" t="n">
        <f aca="false">SUBTOTAL(9,X771)</f>
        <v>0</v>
      </c>
      <c r="Y1046" s="1" t="n">
        <f aca="false">SUBTOTAL(9,Y771)</f>
        <v>0</v>
      </c>
      <c r="Z1046" s="20" t="n">
        <f aca="false">SUBTOTAL(9,Z771)</f>
        <v>0</v>
      </c>
      <c r="AA1046" s="20" t="n">
        <f aca="false">SUBTOTAL(9,AA771)</f>
        <v>0</v>
      </c>
      <c r="AB1046" s="20" t="n">
        <f aca="false">SUBTOTAL(9,AB771)</f>
        <v>0</v>
      </c>
      <c r="AC1046" s="20" t="n">
        <f aca="false">SUBTOTAL(9,AC771)</f>
        <v>0</v>
      </c>
      <c r="AD1046" s="20" t="n">
        <f aca="false">SUBTOTAL(9,AD771)</f>
        <v>0</v>
      </c>
      <c r="AE1046" s="20" t="n">
        <f aca="false">SUBTOTAL(9,AE771)</f>
        <v>2.4</v>
      </c>
      <c r="AF1046" s="20" t="n">
        <f aca="false">SUBTOTAL(9,AF771)</f>
        <v>2.4</v>
      </c>
      <c r="AH1046" s="22" t="n">
        <f aca="false">SUBTOTAL(9,AH771)</f>
        <v>0</v>
      </c>
      <c r="AI1046" s="22" t="n">
        <f aca="false">SUBTOTAL(9,AI771)</f>
        <v>0</v>
      </c>
      <c r="AJ1046" s="22" t="n">
        <f aca="false">SUBTOTAL(9,AJ771)</f>
        <v>0</v>
      </c>
      <c r="AK1046" s="22" t="n">
        <f aca="false">SUBTOTAL(9,AK771)</f>
        <v>0</v>
      </c>
      <c r="AL1046" s="22" t="n">
        <f aca="false">SUBTOTAL(9,AL771)</f>
        <v>0</v>
      </c>
      <c r="AM1046" s="22" t="n">
        <f aca="false">SUBTOTAL(9,AM771)</f>
        <v>2.88</v>
      </c>
      <c r="AN1046" s="22" t="n">
        <f aca="false">SUBTOTAL(9,AN771)</f>
        <v>2.88</v>
      </c>
    </row>
    <row r="1047" customFormat="false" ht="13.8" hidden="false" customHeight="false" outlineLevel="0" collapsed="false">
      <c r="A1047" s="1" t="s">
        <v>1171</v>
      </c>
      <c r="C1047" s="1" t="s">
        <v>956</v>
      </c>
      <c r="E1047" s="1" t="s">
        <v>957</v>
      </c>
      <c r="F1047" s="1" t="n">
        <f aca="false">SUBTOTAL(9,F772:F774)</f>
        <v>5</v>
      </c>
      <c r="G1047" s="1" t="n">
        <f aca="false">SUBTOTAL(9,G772:G774)</f>
        <v>3</v>
      </c>
      <c r="H1047" s="1" t="n">
        <f aca="false">SUBTOTAL(9,H772:H774)</f>
        <v>21</v>
      </c>
      <c r="I1047" s="8" t="n">
        <f aca="false">SUBTOTAL(9,I772:I774)</f>
        <v>3726544</v>
      </c>
      <c r="J1047" s="1" t="n">
        <f aca="false">SUBTOTAL(9,J772:J774)</f>
        <v>3</v>
      </c>
      <c r="L1047" s="1" t="n">
        <f aca="false">SUBTOTAL(9,L772:L774)</f>
        <v>4</v>
      </c>
      <c r="M1047" s="1" t="n">
        <f aca="false">SUBTOTAL(9,M772:M774)</f>
        <v>1</v>
      </c>
      <c r="N1047" s="1" t="n">
        <f aca="false">SUBTOTAL(9,N772:N774)</f>
        <v>0</v>
      </c>
      <c r="O1047" s="1" t="n">
        <f aca="false">SUBTOTAL(9,O772:O774)</f>
        <v>2</v>
      </c>
      <c r="P1047" s="1" t="n">
        <f aca="false">SUBTOTAL(9,P772:P774)</f>
        <v>3</v>
      </c>
      <c r="Q1047" s="1" t="n">
        <f aca="false">SUBTOTAL(9,Q772:Q774)</f>
        <v>0</v>
      </c>
      <c r="R1047" s="1" t="n">
        <f aca="false">SUBTOTAL(9,R772:R774)</f>
        <v>0</v>
      </c>
      <c r="S1047" s="1" t="n">
        <f aca="false">SUBTOTAL(9,S772:S774)</f>
        <v>0</v>
      </c>
      <c r="T1047" s="1" t="n">
        <f aca="false">SUBTOTAL(9,T772:T774)</f>
        <v>2</v>
      </c>
      <c r="U1047" s="1" t="n">
        <f aca="false">SUBTOTAL(9,U772:U774)</f>
        <v>0</v>
      </c>
      <c r="V1047" s="1" t="n">
        <f aca="false">SUBTOTAL(9,V772:V774)</f>
        <v>0</v>
      </c>
      <c r="W1047" s="1" t="n">
        <f aca="false">SUBTOTAL(9,W772:W774)</f>
        <v>2</v>
      </c>
      <c r="X1047" s="1" t="n">
        <f aca="false">SUBTOTAL(9,X772:X774)</f>
        <v>0</v>
      </c>
      <c r="Y1047" s="1" t="n">
        <f aca="false">SUBTOTAL(9,Y772:Y774)</f>
        <v>0</v>
      </c>
      <c r="Z1047" s="20" t="n">
        <f aca="false">SUBTOTAL(9,Z772:Z774)</f>
        <v>0</v>
      </c>
      <c r="AA1047" s="20" t="n">
        <f aca="false">SUBTOTAL(9,AA772:AA774)</f>
        <v>0</v>
      </c>
      <c r="AB1047" s="20" t="n">
        <f aca="false">SUBTOTAL(9,AB772:AB774)</f>
        <v>0</v>
      </c>
      <c r="AC1047" s="20" t="n">
        <f aca="false">SUBTOTAL(9,AC772:AC774)</f>
        <v>2.4</v>
      </c>
      <c r="AD1047" s="20" t="n">
        <f aca="false">SUBTOTAL(9,AD772:AD774)</f>
        <v>0</v>
      </c>
      <c r="AE1047" s="20" t="n">
        <f aca="false">SUBTOTAL(9,AE772:AE774)</f>
        <v>0</v>
      </c>
      <c r="AF1047" s="20" t="n">
        <f aca="false">SUBTOTAL(9,AF772:AF774)</f>
        <v>2.4</v>
      </c>
      <c r="AH1047" s="22" t="n">
        <f aca="false">SUBTOTAL(9,AH772:AH774)</f>
        <v>0</v>
      </c>
      <c r="AI1047" s="22" t="n">
        <f aca="false">SUBTOTAL(9,AI772:AI774)</f>
        <v>0</v>
      </c>
      <c r="AJ1047" s="22" t="n">
        <f aca="false">SUBTOTAL(9,AJ772:AJ774)</f>
        <v>0</v>
      </c>
      <c r="AK1047" s="22" t="n">
        <f aca="false">SUBTOTAL(9,AK772:AK774)</f>
        <v>2.4</v>
      </c>
      <c r="AL1047" s="22" t="n">
        <f aca="false">SUBTOTAL(9,AL772:AL774)</f>
        <v>0</v>
      </c>
      <c r="AM1047" s="22" t="n">
        <f aca="false">SUBTOTAL(9,AM772:AM774)</f>
        <v>0</v>
      </c>
      <c r="AN1047" s="22" t="n">
        <f aca="false">SUBTOTAL(9,AN772:AN774)</f>
        <v>2.4</v>
      </c>
    </row>
    <row r="1048" customFormat="false" ht="13.8" hidden="false" customHeight="false" outlineLevel="0" collapsed="false">
      <c r="A1048" s="1" t="s">
        <v>1171</v>
      </c>
      <c r="C1048" s="1" t="s">
        <v>961</v>
      </c>
      <c r="E1048" s="1" t="s">
        <v>962</v>
      </c>
      <c r="F1048" s="1" t="n">
        <f aca="false">SUBTOTAL(9,F775:F795)</f>
        <v>234</v>
      </c>
      <c r="G1048" s="1" t="n">
        <f aca="false">SUBTOTAL(9,G775:G795)</f>
        <v>21</v>
      </c>
      <c r="H1048" s="1" t="n">
        <f aca="false">SUBTOTAL(9,H775:H795)</f>
        <v>177</v>
      </c>
      <c r="I1048" s="8" t="n">
        <f aca="false">SUBTOTAL(9,I775:I795)</f>
        <v>16277102</v>
      </c>
      <c r="J1048" s="1" t="n">
        <f aca="false">SUBTOTAL(9,J775:J795)</f>
        <v>40</v>
      </c>
      <c r="L1048" s="1" t="n">
        <f aca="false">SUBTOTAL(9,L775:L795)</f>
        <v>61</v>
      </c>
      <c r="M1048" s="1" t="n">
        <f aca="false">SUBTOTAL(9,M775:M795)</f>
        <v>4</v>
      </c>
      <c r="N1048" s="1" t="n">
        <f aca="false">SUBTOTAL(9,N775:N795)</f>
        <v>1</v>
      </c>
      <c r="O1048" s="1" t="n">
        <f aca="false">SUBTOTAL(9,O775:O795)</f>
        <v>11</v>
      </c>
      <c r="P1048" s="1" t="n">
        <f aca="false">SUBTOTAL(9,P775:P795)</f>
        <v>16</v>
      </c>
      <c r="Q1048" s="1" t="n">
        <f aca="false">SUBTOTAL(9,Q775:Q795)</f>
        <v>0</v>
      </c>
      <c r="R1048" s="1" t="n">
        <f aca="false">SUBTOTAL(9,R775:R795)</f>
        <v>0</v>
      </c>
      <c r="S1048" s="1" t="n">
        <f aca="false">SUBTOTAL(9,S775:S795)</f>
        <v>0</v>
      </c>
      <c r="T1048" s="1" t="n">
        <f aca="false">SUBTOTAL(9,T775:T795)</f>
        <v>0</v>
      </c>
      <c r="U1048" s="1" t="n">
        <f aca="false">SUBTOTAL(9,U775:U795)</f>
        <v>37</v>
      </c>
      <c r="V1048" s="1" t="n">
        <f aca="false">SUBTOTAL(9,V775:V795)</f>
        <v>211</v>
      </c>
      <c r="W1048" s="1" t="n">
        <f aca="false">SUBTOTAL(9,W775:W795)</f>
        <v>248</v>
      </c>
      <c r="X1048" s="1" t="n">
        <f aca="false">SUBTOTAL(9,X775:X795)</f>
        <v>16</v>
      </c>
      <c r="Y1048" s="1" t="n">
        <f aca="false">SUBTOTAL(9,Y775:Y795)</f>
        <v>31</v>
      </c>
      <c r="Z1048" s="20" t="n">
        <f aca="false">SUBTOTAL(9,Z775:Z795)</f>
        <v>0</v>
      </c>
      <c r="AA1048" s="20" t="n">
        <f aca="false">SUBTOTAL(9,AA775:AA795)</f>
        <v>0</v>
      </c>
      <c r="AB1048" s="20" t="n">
        <f aca="false">SUBTOTAL(9,AB775:AB795)</f>
        <v>0</v>
      </c>
      <c r="AC1048" s="20" t="n">
        <f aca="false">SUBTOTAL(9,AC775:AC795)</f>
        <v>0</v>
      </c>
      <c r="AD1048" s="20" t="n">
        <f aca="false">SUBTOTAL(9,AD775:AD795)</f>
        <v>51.8</v>
      </c>
      <c r="AE1048" s="20" t="n">
        <f aca="false">SUBTOTAL(9,AE775:AE795)</f>
        <v>295.4</v>
      </c>
      <c r="AF1048" s="20" t="n">
        <f aca="false">SUBTOTAL(9,AF775:AF795)</f>
        <v>347.2</v>
      </c>
      <c r="AH1048" s="22" t="n">
        <f aca="false">SUBTOTAL(9,AH775:AH795)</f>
        <v>0</v>
      </c>
      <c r="AI1048" s="22" t="n">
        <f aca="false">SUBTOTAL(9,AI775:AI795)</f>
        <v>0</v>
      </c>
      <c r="AJ1048" s="22" t="n">
        <f aca="false">SUBTOTAL(9,AJ775:AJ795)</f>
        <v>0</v>
      </c>
      <c r="AK1048" s="22" t="n">
        <f aca="false">SUBTOTAL(9,AK775:AK795)</f>
        <v>0</v>
      </c>
      <c r="AL1048" s="22" t="n">
        <f aca="false">SUBTOTAL(9,AL775:AL795)</f>
        <v>62.16</v>
      </c>
      <c r="AM1048" s="22" t="n">
        <f aca="false">SUBTOTAL(9,AM775:AM795)</f>
        <v>334.6</v>
      </c>
      <c r="AN1048" s="22" t="n">
        <f aca="false">SUBTOTAL(9,AN775:AN795)</f>
        <v>396.76</v>
      </c>
    </row>
    <row r="1049" customFormat="false" ht="13.8" hidden="false" customHeight="false" outlineLevel="0" collapsed="false">
      <c r="A1049" s="1" t="s">
        <v>1171</v>
      </c>
      <c r="C1049" s="1" t="s">
        <v>984</v>
      </c>
      <c r="E1049" s="1" t="s">
        <v>985</v>
      </c>
      <c r="F1049" s="13" t="n">
        <f aca="false">SUBTOTAL(9,F796:F887)</f>
        <v>407</v>
      </c>
      <c r="G1049" s="1" t="n">
        <f aca="false">SUBTOTAL(9,G796:G887)</f>
        <v>92</v>
      </c>
      <c r="H1049" s="13" t="n">
        <f aca="false">SUBTOTAL(9,H796:H887)</f>
        <v>453</v>
      </c>
      <c r="I1049" s="8" t="n">
        <f aca="false">SUBTOTAL(9,I796:I887)</f>
        <v>122532676</v>
      </c>
      <c r="J1049" s="1" t="n">
        <f aca="false">SUBTOTAL(9,J796:J887)</f>
        <v>192</v>
      </c>
      <c r="L1049" s="1" t="n">
        <f aca="false">SUBTOTAL(9,L796:L887)</f>
        <v>191</v>
      </c>
      <c r="M1049" s="1" t="n">
        <f aca="false">SUBTOTAL(9,M796:M887)</f>
        <v>14</v>
      </c>
      <c r="N1049" s="1" t="n">
        <f aca="false">SUBTOTAL(9,N796:N887)</f>
        <v>19</v>
      </c>
      <c r="O1049" s="1" t="n">
        <f aca="false">SUBTOTAL(9,O796:O887)</f>
        <v>33</v>
      </c>
      <c r="P1049" s="1" t="n">
        <f aca="false">SUBTOTAL(9,P796:P887)</f>
        <v>66</v>
      </c>
      <c r="Q1049" s="1" t="n">
        <f aca="false">SUBTOTAL(9,Q796:Q887)</f>
        <v>18</v>
      </c>
      <c r="R1049" s="1" t="n">
        <f aca="false">SUBTOTAL(9,R796:R887)</f>
        <v>88</v>
      </c>
      <c r="S1049" s="1" t="n">
        <f aca="false">SUBTOTAL(9,S796:S887)</f>
        <v>67</v>
      </c>
      <c r="T1049" s="1" t="n">
        <f aca="false">SUBTOTAL(9,T796:T887)</f>
        <v>39</v>
      </c>
      <c r="U1049" s="1" t="n">
        <f aca="false">SUBTOTAL(9,U796:U887)</f>
        <v>262</v>
      </c>
      <c r="V1049" s="1" t="n">
        <f aca="false">SUBTOTAL(9,V796:V887)</f>
        <v>133</v>
      </c>
      <c r="W1049" s="1" t="n">
        <f aca="false">SUBTOTAL(9,W796:W887)</f>
        <v>607</v>
      </c>
      <c r="X1049" s="1" t="n">
        <f aca="false">SUBTOTAL(9,X796:X887)</f>
        <v>105</v>
      </c>
      <c r="Y1049" s="13" t="n">
        <f aca="false">SUBTOTAL(9,Y796:Y887)</f>
        <v>185</v>
      </c>
      <c r="Z1049" s="20" t="n">
        <f aca="false">SUBTOTAL(9,Z796:Z887)</f>
        <v>24.4</v>
      </c>
      <c r="AA1049" s="20" t="n">
        <f aca="false">SUBTOTAL(9,AA796:AA887)</f>
        <v>113.8</v>
      </c>
      <c r="AB1049" s="20" t="n">
        <f aca="false">SUBTOTAL(9,AB796:AB887)</f>
        <v>93.8</v>
      </c>
      <c r="AC1049" s="20" t="n">
        <f aca="false">SUBTOTAL(9,AC796:AC887)</f>
        <v>56</v>
      </c>
      <c r="AD1049" s="20" t="n">
        <f aca="false">SUBTOTAL(9,AD796:AD887)</f>
        <v>445.2</v>
      </c>
      <c r="AE1049" s="20" t="n">
        <f aca="false">SUBTOTAL(9,AE796:AE887)</f>
        <v>168.2</v>
      </c>
      <c r="AF1049" s="20" t="n">
        <f aca="false">SUBTOTAL(9,AF796:AF887)</f>
        <v>901.4</v>
      </c>
      <c r="AH1049" s="22" t="n">
        <f aca="false">SUBTOTAL(9,AH796:AH887)</f>
        <v>29.28</v>
      </c>
      <c r="AI1049" s="22" t="n">
        <f aca="false">SUBTOTAL(9,AI796:AI887)</f>
        <v>134.96</v>
      </c>
      <c r="AJ1049" s="22" t="n">
        <f aca="false">SUBTOTAL(9,AJ796:AJ887)</f>
        <v>111.72</v>
      </c>
      <c r="AK1049" s="22" t="n">
        <f aca="false">SUBTOTAL(9,AK796:AK887)</f>
        <v>67.2</v>
      </c>
      <c r="AL1049" s="22" t="n">
        <f aca="false">SUBTOTAL(9,AL796:AL887)</f>
        <v>523.88</v>
      </c>
      <c r="AM1049" s="22" t="n">
        <f aca="false">SUBTOTAL(9,AM796:AM887)</f>
        <v>201.84</v>
      </c>
      <c r="AN1049" s="22" t="n">
        <f aca="false">SUBTOTAL(9,AN796:AN887)</f>
        <v>1068.88</v>
      </c>
    </row>
    <row r="1050" customFormat="false" ht="13.8" hidden="false" customHeight="false" outlineLevel="0" collapsed="false">
      <c r="A1050" s="1" t="s">
        <v>1171</v>
      </c>
      <c r="C1050" s="1" t="s">
        <v>1078</v>
      </c>
      <c r="E1050" s="1" t="s">
        <v>1079</v>
      </c>
      <c r="F1050" s="1" t="n">
        <f aca="false">SUBTOTAL(9,F888:F940)</f>
        <v>465</v>
      </c>
      <c r="G1050" s="1" t="n">
        <f aca="false">SUBTOTAL(9,G888:G940)</f>
        <v>53</v>
      </c>
      <c r="H1050" s="1" t="n">
        <f aca="false">SUBTOTAL(9,H888:H940)</f>
        <v>842</v>
      </c>
      <c r="I1050" s="8" t="n">
        <f aca="false">SUBTOTAL(9,I888:I940)</f>
        <v>125029601</v>
      </c>
      <c r="J1050" s="1" t="n">
        <f aca="false">SUBTOTAL(9,J888:J940)</f>
        <v>136</v>
      </c>
      <c r="L1050" s="1" t="n">
        <f aca="false">SUBTOTAL(9,L888:L940)</f>
        <v>262</v>
      </c>
      <c r="M1050" s="1" t="n">
        <f aca="false">SUBTOTAL(9,M888:M940)</f>
        <v>10</v>
      </c>
      <c r="N1050" s="1" t="n">
        <f aca="false">SUBTOTAL(9,N888:N940)</f>
        <v>22</v>
      </c>
      <c r="O1050" s="1" t="n">
        <f aca="false">SUBTOTAL(9,O888:O940)</f>
        <v>129</v>
      </c>
      <c r="P1050" s="1" t="n">
        <f aca="false">SUBTOTAL(9,P888:P940)</f>
        <v>161</v>
      </c>
      <c r="Q1050" s="1" t="n">
        <f aca="false">SUBTOTAL(9,Q888:Q940)</f>
        <v>680</v>
      </c>
      <c r="R1050" s="1" t="n">
        <f aca="false">SUBTOTAL(9,R888:R940)</f>
        <v>176</v>
      </c>
      <c r="S1050" s="1" t="n">
        <f aca="false">SUBTOTAL(9,S888:S940)</f>
        <v>0</v>
      </c>
      <c r="T1050" s="1" t="n">
        <f aca="false">SUBTOTAL(9,T888:T940)</f>
        <v>137</v>
      </c>
      <c r="U1050" s="1" t="n">
        <f aca="false">SUBTOTAL(9,U888:U940)</f>
        <v>505</v>
      </c>
      <c r="V1050" s="1" t="n">
        <f aca="false">SUBTOTAL(9,V888:V940)</f>
        <v>1</v>
      </c>
      <c r="W1050" s="1" t="n">
        <f aca="false">SUBTOTAL(9,W888:W940)</f>
        <v>1499</v>
      </c>
      <c r="X1050" s="1" t="n">
        <f aca="false">SUBTOTAL(9,X888:X940)</f>
        <v>117</v>
      </c>
      <c r="Y1050" s="1" t="n">
        <f aca="false">SUBTOTAL(9,Y888:Y940)</f>
        <v>121</v>
      </c>
      <c r="Z1050" s="20" t="n">
        <f aca="false">SUBTOTAL(9,Z888:Z940)</f>
        <v>1062</v>
      </c>
      <c r="AA1050" s="20" t="n">
        <f aca="false">SUBTOTAL(9,AA888:AA940)</f>
        <v>264</v>
      </c>
      <c r="AB1050" s="20" t="n">
        <f aca="false">SUBTOTAL(9,AB888:AB940)</f>
        <v>0</v>
      </c>
      <c r="AC1050" s="20" t="n">
        <f aca="false">SUBTOTAL(9,AC888:AC940)</f>
        <v>191.8</v>
      </c>
      <c r="AD1050" s="20" t="n">
        <f aca="false">SUBTOTAL(9,AD888:AD940)</f>
        <v>802.4</v>
      </c>
      <c r="AE1050" s="20" t="n">
        <f aca="false">SUBTOTAL(9,AE888:AE940)</f>
        <v>1.4</v>
      </c>
      <c r="AF1050" s="20" t="n">
        <f aca="false">SUBTOTAL(9,AF888:AF940)</f>
        <v>2321.6</v>
      </c>
      <c r="AH1050" s="22" t="n">
        <f aca="false">SUBTOTAL(9,AH888:AH940)</f>
        <v>1274.4</v>
      </c>
      <c r="AI1050" s="22" t="n">
        <f aca="false">SUBTOTAL(9,AI888:AI940)</f>
        <v>309.8</v>
      </c>
      <c r="AJ1050" s="22" t="n">
        <f aca="false">SUBTOTAL(9,AJ888:AJ940)</f>
        <v>0</v>
      </c>
      <c r="AK1050" s="22" t="n">
        <f aca="false">SUBTOTAL(9,AK888:AK940)</f>
        <v>221.2</v>
      </c>
      <c r="AL1050" s="22" t="n">
        <f aca="false">SUBTOTAL(9,AL888:AL940)</f>
        <v>943.28</v>
      </c>
      <c r="AM1050" s="22" t="n">
        <f aca="false">SUBTOTAL(9,AM888:AM940)</f>
        <v>1.68</v>
      </c>
      <c r="AN1050" s="22" t="n">
        <f aca="false">SUBTOTAL(9,AN888:AN940)</f>
        <v>2750.36</v>
      </c>
    </row>
    <row r="1051" customFormat="false" ht="13.8" hidden="false" customHeight="false" outlineLevel="0" collapsed="false">
      <c r="A1051" s="1" t="s">
        <v>1171</v>
      </c>
      <c r="C1051" s="1" t="s">
        <v>1132</v>
      </c>
      <c r="E1051" s="1" t="s">
        <v>1133</v>
      </c>
      <c r="F1051" s="13" t="n">
        <f aca="false">SUBTOTAL(9,F941:F943)</f>
        <v>14</v>
      </c>
      <c r="G1051" s="13" t="n">
        <f aca="false">SUBTOTAL(9,G941:G943)</f>
        <v>3</v>
      </c>
      <c r="H1051" s="1" t="n">
        <f aca="false">SUBTOTAL(9,H941:H943)</f>
        <v>13</v>
      </c>
      <c r="I1051" s="8" t="n">
        <f aca="false">SUBTOTAL(9,I941:I943)</f>
        <v>1736117</v>
      </c>
      <c r="J1051" s="13" t="n">
        <f aca="false">SUBTOTAL(9,J941:J943)</f>
        <v>6</v>
      </c>
      <c r="L1051" s="13" t="n">
        <f aca="false">SUBTOTAL(9,L941:L943)</f>
        <v>14</v>
      </c>
      <c r="M1051" s="13" t="n">
        <f aca="false">SUBTOTAL(9,M941:M943)</f>
        <v>2</v>
      </c>
      <c r="N1051" s="13" t="n">
        <f aca="false">SUBTOTAL(9,N941:N943)</f>
        <v>2</v>
      </c>
      <c r="O1051" s="1" t="n">
        <f aca="false">SUBTOTAL(9,O941:O943)</f>
        <v>6</v>
      </c>
      <c r="P1051" s="13" t="n">
        <f aca="false">SUBTOTAL(9,P941:P943)</f>
        <v>10</v>
      </c>
      <c r="Q1051" s="13" t="n">
        <f aca="false">SUBTOTAL(9,Q941:Q943)</f>
        <v>3</v>
      </c>
      <c r="R1051" s="1" t="n">
        <f aca="false">SUBTOTAL(9,R941:R943)</f>
        <v>0</v>
      </c>
      <c r="S1051" s="1" t="n">
        <f aca="false">SUBTOTAL(9,S941:S943)</f>
        <v>0</v>
      </c>
      <c r="T1051" s="1" t="n">
        <f aca="false">SUBTOTAL(9,T941:T943)</f>
        <v>0</v>
      </c>
      <c r="U1051" s="13" t="n">
        <f aca="false">SUBTOTAL(9,U941:U943)</f>
        <v>4</v>
      </c>
      <c r="V1051" s="1" t="n">
        <f aca="false">SUBTOTAL(9,V941:V943)</f>
        <v>0</v>
      </c>
      <c r="W1051" s="13" t="n">
        <f aca="false">SUBTOTAL(9,W941:W943)</f>
        <v>7</v>
      </c>
      <c r="X1051" s="1" t="n">
        <f aca="false">SUBTOTAL(9,X941:X943)</f>
        <v>1</v>
      </c>
      <c r="Y1051" s="1" t="n">
        <f aca="false">SUBTOTAL(9,Y941:Y943)</f>
        <v>6</v>
      </c>
      <c r="Z1051" s="23" t="n">
        <f aca="false">SUBTOTAL(9,Z941:Z943)</f>
        <v>3.6</v>
      </c>
      <c r="AA1051" s="20" t="n">
        <f aca="false">SUBTOTAL(9,AA941:AA943)</f>
        <v>0</v>
      </c>
      <c r="AB1051" s="20" t="n">
        <f aca="false">SUBTOTAL(9,AB941:AB943)</f>
        <v>0</v>
      </c>
      <c r="AC1051" s="20" t="n">
        <f aca="false">SUBTOTAL(9,AC941:AC943)</f>
        <v>0</v>
      </c>
      <c r="AD1051" s="23" t="n">
        <f aca="false">SUBTOTAL(9,AD941:AD943)</f>
        <v>6</v>
      </c>
      <c r="AE1051" s="20" t="n">
        <f aca="false">SUBTOTAL(9,AE941:AE943)</f>
        <v>0</v>
      </c>
      <c r="AF1051" s="23" t="n">
        <f aca="false">SUBTOTAL(9,AF941:AF943)</f>
        <v>9.6</v>
      </c>
      <c r="AH1051" s="24" t="n">
        <f aca="false">SUBTOTAL(9,AH941:AH943)</f>
        <v>3.6</v>
      </c>
      <c r="AI1051" s="22" t="n">
        <f aca="false">SUBTOTAL(9,AI941:AI943)</f>
        <v>0</v>
      </c>
      <c r="AJ1051" s="22" t="n">
        <f aca="false">SUBTOTAL(9,AJ941:AJ943)</f>
        <v>0</v>
      </c>
      <c r="AK1051" s="22" t="n">
        <f aca="false">SUBTOTAL(9,AK941:AK943)</f>
        <v>0</v>
      </c>
      <c r="AL1051" s="24" t="n">
        <f aca="false">SUBTOTAL(9,AL941:AL943)</f>
        <v>6.64</v>
      </c>
      <c r="AM1051" s="22" t="n">
        <f aca="false">SUBTOTAL(9,AM941:AM943)</f>
        <v>0</v>
      </c>
      <c r="AN1051" s="24" t="n">
        <f aca="false">SUBTOTAL(9,AN941:AN943)</f>
        <v>10.24</v>
      </c>
    </row>
    <row r="1052" customFormat="false" ht="13.8" hidden="false" customHeight="false" outlineLevel="0" collapsed="false">
      <c r="A1052" s="1" t="s">
        <v>1171</v>
      </c>
      <c r="C1052" s="1" t="s">
        <v>1137</v>
      </c>
      <c r="E1052" s="1" t="s">
        <v>1138</v>
      </c>
      <c r="F1052" s="1" t="n">
        <f aca="false">SUBTOTAL(9,F944:F946)</f>
        <v>7</v>
      </c>
      <c r="G1052" s="1" t="n">
        <f aca="false">SUBTOTAL(9,G944:G946)</f>
        <v>3</v>
      </c>
      <c r="H1052" s="13" t="n">
        <f aca="false">SUBTOTAL(9,H944:H946)</f>
        <v>26</v>
      </c>
      <c r="I1052" s="8" t="n">
        <f aca="false">SUBTOTAL(9,I944:I946)</f>
        <v>3160879</v>
      </c>
      <c r="J1052" s="1" t="n">
        <f aca="false">SUBTOTAL(9,J944:J946)</f>
        <v>5</v>
      </c>
      <c r="L1052" s="1" t="n">
        <f aca="false">SUBTOTAL(9,L944:L946)</f>
        <v>11</v>
      </c>
      <c r="M1052" s="1" t="n">
        <f aca="false">SUBTOTAL(9,M944:M946)</f>
        <v>1</v>
      </c>
      <c r="N1052" s="1" t="n">
        <f aca="false">SUBTOTAL(9,N944:N946)</f>
        <v>0</v>
      </c>
      <c r="O1052" s="1" t="n">
        <f aca="false">SUBTOTAL(9,O944:O946)</f>
        <v>7</v>
      </c>
      <c r="P1052" s="1" t="n">
        <f aca="false">SUBTOTAL(9,P944:P946)</f>
        <v>8</v>
      </c>
      <c r="Q1052" s="1" t="n">
        <f aca="false">SUBTOTAL(9,Q944:Q946)</f>
        <v>76</v>
      </c>
      <c r="R1052" s="1" t="n">
        <f aca="false">SUBTOTAL(9,R944:R946)</f>
        <v>0</v>
      </c>
      <c r="S1052" s="1" t="n">
        <f aca="false">SUBTOTAL(9,S944:S946)</f>
        <v>0</v>
      </c>
      <c r="T1052" s="1" t="n">
        <f aca="false">SUBTOTAL(9,T944:T946)</f>
        <v>0</v>
      </c>
      <c r="U1052" s="1" t="n">
        <f aca="false">SUBTOTAL(9,U944:U946)</f>
        <v>0</v>
      </c>
      <c r="V1052" s="1" t="n">
        <f aca="false">SUBTOTAL(9,V944:V946)</f>
        <v>0</v>
      </c>
      <c r="W1052" s="1" t="n">
        <f aca="false">SUBTOTAL(9,W944:W946)</f>
        <v>76</v>
      </c>
      <c r="X1052" s="1" t="n">
        <f aca="false">SUBTOTAL(9,X944:X946)</f>
        <v>2</v>
      </c>
      <c r="Y1052" s="1" t="n">
        <f aca="false">SUBTOTAL(9,Y944:Y946)</f>
        <v>10</v>
      </c>
      <c r="Z1052" s="20" t="n">
        <f aca="false">SUBTOTAL(9,Z944:Z946)</f>
        <v>106.4</v>
      </c>
      <c r="AA1052" s="20" t="n">
        <f aca="false">SUBTOTAL(9,AA944:AA946)</f>
        <v>0</v>
      </c>
      <c r="AB1052" s="20" t="n">
        <f aca="false">SUBTOTAL(9,AB944:AB946)</f>
        <v>0</v>
      </c>
      <c r="AC1052" s="20" t="n">
        <f aca="false">SUBTOTAL(9,AC944:AC946)</f>
        <v>0</v>
      </c>
      <c r="AD1052" s="20" t="n">
        <f aca="false">SUBTOTAL(9,AD944:AD946)</f>
        <v>0</v>
      </c>
      <c r="AE1052" s="20" t="n">
        <f aca="false">SUBTOTAL(9,AE944:AE946)</f>
        <v>0</v>
      </c>
      <c r="AF1052" s="20" t="n">
        <f aca="false">SUBTOTAL(9,AF944:AF946)</f>
        <v>106.4</v>
      </c>
      <c r="AH1052" s="22" t="n">
        <f aca="false">SUBTOTAL(9,AH944:AH946)</f>
        <v>127.68</v>
      </c>
      <c r="AI1052" s="22" t="n">
        <f aca="false">SUBTOTAL(9,AI944:AI946)</f>
        <v>0</v>
      </c>
      <c r="AJ1052" s="22" t="n">
        <f aca="false">SUBTOTAL(9,AJ944:AJ946)</f>
        <v>0</v>
      </c>
      <c r="AK1052" s="22" t="n">
        <f aca="false">SUBTOTAL(9,AK944:AK946)</f>
        <v>0</v>
      </c>
      <c r="AL1052" s="22" t="n">
        <f aca="false">SUBTOTAL(9,AL944:AL946)</f>
        <v>0</v>
      </c>
      <c r="AM1052" s="22" t="n">
        <f aca="false">SUBTOTAL(9,AM944:AM946)</f>
        <v>0</v>
      </c>
      <c r="AN1052" s="22" t="n">
        <f aca="false">SUBTOTAL(9,AN944:AN946)</f>
        <v>127.68</v>
      </c>
    </row>
    <row r="1053" customFormat="false" ht="13.8" hidden="false" customHeight="false" outlineLevel="0" collapsed="false">
      <c r="A1053" s="1" t="s">
        <v>1171</v>
      </c>
      <c r="C1053" s="1" t="s">
        <v>1142</v>
      </c>
      <c r="E1053" s="1" t="s">
        <v>1143</v>
      </c>
      <c r="F1053" s="1" t="n">
        <f aca="false">SUBTOTAL(9,F947:F953)</f>
        <v>16</v>
      </c>
      <c r="G1053" s="1" t="n">
        <f aca="false">SUBTOTAL(9,G947:G953)</f>
        <v>7</v>
      </c>
      <c r="H1053" s="1" t="n">
        <f aca="false">SUBTOTAL(9,H947:H953)</f>
        <v>72</v>
      </c>
      <c r="I1053" s="8" t="n">
        <f aca="false">SUBTOTAL(9,I947:I953)</f>
        <v>12394211</v>
      </c>
      <c r="J1053" s="1" t="n">
        <f aca="false">SUBTOTAL(9,J947:J953)</f>
        <v>9</v>
      </c>
      <c r="L1053" s="1" t="n">
        <f aca="false">SUBTOTAL(9,L947:L953)</f>
        <v>10</v>
      </c>
      <c r="M1053" s="1" t="n">
        <f aca="false">SUBTOTAL(9,M947:M953)</f>
        <v>1</v>
      </c>
      <c r="N1053" s="1" t="n">
        <f aca="false">SUBTOTAL(9,N947:N953)</f>
        <v>0</v>
      </c>
      <c r="O1053" s="1" t="n">
        <f aca="false">SUBTOTAL(9,O947:O953)</f>
        <v>5</v>
      </c>
      <c r="P1053" s="1" t="n">
        <f aca="false">SUBTOTAL(9,P947:P953)</f>
        <v>6</v>
      </c>
      <c r="Q1053" s="1" t="n">
        <f aca="false">SUBTOTAL(9,Q947:Q953)</f>
        <v>0</v>
      </c>
      <c r="R1053" s="1" t="n">
        <f aca="false">SUBTOTAL(9,R947:R953)</f>
        <v>0</v>
      </c>
      <c r="S1053" s="1" t="n">
        <f aca="false">SUBTOTAL(9,S947:S953)</f>
        <v>0</v>
      </c>
      <c r="T1053" s="1" t="n">
        <f aca="false">SUBTOTAL(9,T947:T953)</f>
        <v>1</v>
      </c>
      <c r="U1053" s="1" t="n">
        <f aca="false">SUBTOTAL(9,U947:U953)</f>
        <v>0</v>
      </c>
      <c r="V1053" s="1" t="n">
        <f aca="false">SUBTOTAL(9,V947:V953)</f>
        <v>0</v>
      </c>
      <c r="W1053" s="1" t="n">
        <f aca="false">SUBTOTAL(9,W947:W953)</f>
        <v>1</v>
      </c>
      <c r="X1053" s="1" t="n">
        <f aca="false">SUBTOTAL(9,X947:X953)</f>
        <v>0</v>
      </c>
      <c r="Y1053" s="1" t="n">
        <f aca="false">SUBTOTAL(9,Y947:Y953)</f>
        <v>0</v>
      </c>
      <c r="Z1053" s="20" t="n">
        <f aca="false">SUBTOTAL(9,Z947:Z953)</f>
        <v>0</v>
      </c>
      <c r="AA1053" s="20" t="n">
        <f aca="false">SUBTOTAL(9,AA947:AA953)</f>
        <v>0</v>
      </c>
      <c r="AB1053" s="20" t="n">
        <f aca="false">SUBTOTAL(9,AB947:AB953)</f>
        <v>0</v>
      </c>
      <c r="AC1053" s="20" t="n">
        <f aca="false">SUBTOTAL(9,AC947:AC953)</f>
        <v>1.4</v>
      </c>
      <c r="AD1053" s="20" t="n">
        <f aca="false">SUBTOTAL(9,AD947:AD953)</f>
        <v>0</v>
      </c>
      <c r="AE1053" s="20" t="n">
        <f aca="false">SUBTOTAL(9,AE947:AE953)</f>
        <v>0</v>
      </c>
      <c r="AF1053" s="20" t="n">
        <f aca="false">SUBTOTAL(9,AF947:AF953)</f>
        <v>1.4</v>
      </c>
      <c r="AH1053" s="22" t="n">
        <f aca="false">SUBTOTAL(9,AH947:AH953)</f>
        <v>0</v>
      </c>
      <c r="AI1053" s="22" t="n">
        <f aca="false">SUBTOTAL(9,AI947:AI953)</f>
        <v>0</v>
      </c>
      <c r="AJ1053" s="22" t="n">
        <f aca="false">SUBTOTAL(9,AJ947:AJ953)</f>
        <v>0</v>
      </c>
      <c r="AK1053" s="22" t="n">
        <f aca="false">SUBTOTAL(9,AK947:AK953)</f>
        <v>1.4</v>
      </c>
      <c r="AL1053" s="22" t="n">
        <f aca="false">SUBTOTAL(9,AL947:AL953)</f>
        <v>0</v>
      </c>
      <c r="AM1053" s="22" t="n">
        <f aca="false">SUBTOTAL(9,AM947:AM953)</f>
        <v>0</v>
      </c>
      <c r="AN1053" s="22" t="n">
        <f aca="false">SUBTOTAL(9,AN947:AN953)</f>
        <v>1.4</v>
      </c>
    </row>
    <row r="1054" customFormat="false" ht="13.8" hidden="false" customHeight="false" outlineLevel="0" collapsed="false">
      <c r="A1054" s="1" t="s">
        <v>1171</v>
      </c>
      <c r="C1054" s="1" t="s">
        <v>1151</v>
      </c>
      <c r="E1054" s="1" t="s">
        <v>1150</v>
      </c>
      <c r="F1054" s="1" t="n">
        <f aca="false">SUBTOTAL(9,F954)</f>
        <v>3</v>
      </c>
      <c r="G1054" s="1" t="n">
        <f aca="false">SUBTOTAL(9,G954)</f>
        <v>1</v>
      </c>
      <c r="H1054" s="1" t="n">
        <f aca="false">SUBTOTAL(9,H954)</f>
        <v>5</v>
      </c>
      <c r="I1054" s="8" t="n">
        <f aca="false">SUBTOTAL(9,I954)</f>
        <v>2492539</v>
      </c>
      <c r="J1054" s="1" t="n">
        <f aca="false">SUBTOTAL(9,J954)</f>
        <v>2</v>
      </c>
      <c r="L1054" s="1" t="n">
        <f aca="false">SUBTOTAL(9,L954)</f>
        <v>2</v>
      </c>
      <c r="M1054" s="1" t="n">
        <f aca="false">SUBTOTAL(9,M954)</f>
        <v>1</v>
      </c>
      <c r="N1054" s="1" t="n">
        <f aca="false">SUBTOTAL(9,N954)</f>
        <v>0</v>
      </c>
      <c r="O1054" s="1" t="n">
        <f aca="false">SUBTOTAL(9,O954)</f>
        <v>1</v>
      </c>
      <c r="P1054" s="1" t="n">
        <f aca="false">SUBTOTAL(9,P954)</f>
        <v>2</v>
      </c>
      <c r="Q1054" s="1" t="n">
        <f aca="false">SUBTOTAL(9,Q954)</f>
        <v>1</v>
      </c>
      <c r="R1054" s="1" t="n">
        <f aca="false">SUBTOTAL(9,R954)</f>
        <v>0</v>
      </c>
      <c r="S1054" s="1" t="n">
        <f aca="false">SUBTOTAL(9,S954)</f>
        <v>0</v>
      </c>
      <c r="T1054" s="1" t="n">
        <f aca="false">SUBTOTAL(9,T954)</f>
        <v>0</v>
      </c>
      <c r="U1054" s="1" t="n">
        <f aca="false">SUBTOTAL(9,U954)</f>
        <v>0</v>
      </c>
      <c r="V1054" s="1" t="n">
        <f aca="false">SUBTOTAL(9,V954)</f>
        <v>0</v>
      </c>
      <c r="W1054" s="1" t="n">
        <f aca="false">SUBTOTAL(9,W954)</f>
        <v>1</v>
      </c>
      <c r="X1054" s="1" t="n">
        <f aca="false">SUBTOTAL(9,X954)</f>
        <v>0</v>
      </c>
      <c r="Y1054" s="1" t="n">
        <f aca="false">SUBTOTAL(9,Y954)</f>
        <v>1</v>
      </c>
      <c r="Z1054" s="20" t="n">
        <f aca="false">SUBTOTAL(9,Z954)</f>
        <v>1.4</v>
      </c>
      <c r="AA1054" s="20" t="n">
        <f aca="false">SUBTOTAL(9,AA954)</f>
        <v>0</v>
      </c>
      <c r="AB1054" s="20" t="n">
        <f aca="false">SUBTOTAL(9,AB954)</f>
        <v>0</v>
      </c>
      <c r="AC1054" s="20" t="n">
        <f aca="false">SUBTOTAL(9,AC954)</f>
        <v>0</v>
      </c>
      <c r="AD1054" s="20" t="n">
        <f aca="false">SUBTOTAL(9,AD954)</f>
        <v>0</v>
      </c>
      <c r="AE1054" s="20" t="n">
        <f aca="false">SUBTOTAL(9,AE954)</f>
        <v>0</v>
      </c>
      <c r="AF1054" s="20" t="n">
        <f aca="false">SUBTOTAL(9,AF954)</f>
        <v>1.4</v>
      </c>
      <c r="AH1054" s="22" t="n">
        <f aca="false">SUBTOTAL(9,AH954)</f>
        <v>1.68</v>
      </c>
      <c r="AI1054" s="22" t="n">
        <f aca="false">SUBTOTAL(9,AI954)</f>
        <v>0</v>
      </c>
      <c r="AJ1054" s="22" t="n">
        <f aca="false">SUBTOTAL(9,AJ954)</f>
        <v>0</v>
      </c>
      <c r="AK1054" s="22" t="n">
        <f aca="false">SUBTOTAL(9,AK954)</f>
        <v>0</v>
      </c>
      <c r="AL1054" s="22" t="n">
        <f aca="false">SUBTOTAL(9,AL954)</f>
        <v>0</v>
      </c>
      <c r="AM1054" s="22" t="n">
        <f aca="false">SUBTOTAL(9,AM954)</f>
        <v>0</v>
      </c>
      <c r="AN1054" s="22" t="n">
        <f aca="false">SUBTOTAL(9,AN954)</f>
        <v>1.68</v>
      </c>
    </row>
    <row r="1055" customFormat="false" ht="13.8" hidden="false" customHeight="false" outlineLevel="0" collapsed="false">
      <c r="A1055" s="1" t="s">
        <v>1171</v>
      </c>
      <c r="C1055" s="1" t="s">
        <v>1153</v>
      </c>
      <c r="E1055" s="1" t="s">
        <v>1154</v>
      </c>
      <c r="F1055" s="1" t="n">
        <f aca="false">SUBTOTAL(9,F955:F968)</f>
        <v>59</v>
      </c>
      <c r="G1055" s="1" t="n">
        <f aca="false">SUBTOTAL(9,G955:G968)</f>
        <v>14</v>
      </c>
      <c r="H1055" s="1" t="n">
        <f aca="false">SUBTOTAL(9,H955:H968)</f>
        <v>99</v>
      </c>
      <c r="I1055" s="8" t="n">
        <f aca="false">SUBTOTAL(9,I955:I968)</f>
        <v>13780622</v>
      </c>
      <c r="J1055" s="1" t="n">
        <f aca="false">SUBTOTAL(9,J955:J968)</f>
        <v>35</v>
      </c>
      <c r="L1055" s="1" t="n">
        <f aca="false">SUBTOTAL(9,L955:L968)</f>
        <v>52</v>
      </c>
      <c r="M1055" s="1" t="n">
        <f aca="false">SUBTOTAL(9,M955:M968)</f>
        <v>3</v>
      </c>
      <c r="N1055" s="1" t="n">
        <f aca="false">SUBTOTAL(9,N955:N968)</f>
        <v>1</v>
      </c>
      <c r="O1055" s="1" t="n">
        <f aca="false">SUBTOTAL(9,O955:O968)</f>
        <v>14</v>
      </c>
      <c r="P1055" s="1" t="n">
        <f aca="false">SUBTOTAL(9,P955:P968)</f>
        <v>18</v>
      </c>
      <c r="Q1055" s="1" t="n">
        <f aca="false">SUBTOTAL(9,Q955:Q968)</f>
        <v>0</v>
      </c>
      <c r="R1055" s="1" t="n">
        <f aca="false">SUBTOTAL(9,R955:R968)</f>
        <v>100</v>
      </c>
      <c r="S1055" s="1" t="n">
        <f aca="false">SUBTOTAL(9,S955:S968)</f>
        <v>0</v>
      </c>
      <c r="T1055" s="1" t="n">
        <f aca="false">SUBTOTAL(9,T955:T968)</f>
        <v>0</v>
      </c>
      <c r="U1055" s="1" t="n">
        <f aca="false">SUBTOTAL(9,U955:U968)</f>
        <v>3</v>
      </c>
      <c r="V1055" s="1" t="n">
        <f aca="false">SUBTOTAL(9,V955:V968)</f>
        <v>90</v>
      </c>
      <c r="W1055" s="1" t="n">
        <f aca="false">SUBTOTAL(9,W955:W968)</f>
        <v>193</v>
      </c>
      <c r="X1055" s="1" t="n">
        <f aca="false">SUBTOTAL(9,X955:X968)</f>
        <v>9</v>
      </c>
      <c r="Y1055" s="1" t="n">
        <f aca="false">SUBTOTAL(9,Y955:Y968)</f>
        <v>6</v>
      </c>
      <c r="Z1055" s="20" t="n">
        <f aca="false">SUBTOTAL(9,Z955:Z968)</f>
        <v>0</v>
      </c>
      <c r="AA1055" s="20" t="n">
        <f aca="false">SUBTOTAL(9,AA955:AA968)</f>
        <v>141.4</v>
      </c>
      <c r="AB1055" s="20" t="n">
        <f aca="false">SUBTOTAL(9,AB955:AB968)</f>
        <v>0</v>
      </c>
      <c r="AC1055" s="20" t="n">
        <f aca="false">SUBTOTAL(9,AC955:AC968)</f>
        <v>0</v>
      </c>
      <c r="AD1055" s="20" t="n">
        <f aca="false">SUBTOTAL(9,AD955:AD968)</f>
        <v>4.2</v>
      </c>
      <c r="AE1055" s="20" t="n">
        <f aca="false">SUBTOTAL(9,AE955:AE968)</f>
        <v>126</v>
      </c>
      <c r="AF1055" s="20" t="n">
        <f aca="false">SUBTOTAL(9,AF955:AF968)</f>
        <v>271.6</v>
      </c>
      <c r="AH1055" s="22" t="n">
        <f aca="false">SUBTOTAL(9,AH955:AH968)</f>
        <v>0</v>
      </c>
      <c r="AI1055" s="22" t="n">
        <f aca="false">SUBTOTAL(9,AI955:AI968)</f>
        <v>165.48</v>
      </c>
      <c r="AJ1055" s="22" t="n">
        <f aca="false">SUBTOTAL(9,AJ955:AJ968)</f>
        <v>0</v>
      </c>
      <c r="AK1055" s="22" t="n">
        <f aca="false">SUBTOTAL(9,AK955:AK968)</f>
        <v>0</v>
      </c>
      <c r="AL1055" s="22" t="n">
        <f aca="false">SUBTOTAL(9,AL955:AL968)</f>
        <v>5.04</v>
      </c>
      <c r="AM1055" s="22" t="n">
        <f aca="false">SUBTOTAL(9,AM955:AM968)</f>
        <v>151.2</v>
      </c>
      <c r="AN1055" s="22" t="n">
        <f aca="false">SUBTOTAL(9,AN955:AN968)</f>
        <v>321.72</v>
      </c>
    </row>
    <row r="1056" customFormat="false" ht="13.8" hidden="false" customHeight="false" outlineLevel="0" collapsed="false">
      <c r="A1056" s="1" t="s">
        <v>1171</v>
      </c>
      <c r="C1056" s="1" t="s">
        <v>1169</v>
      </c>
      <c r="E1056" s="1" t="s">
        <v>1170</v>
      </c>
      <c r="F1056" s="1" t="n">
        <f aca="false">SUBTOTAL(9,F969:F970)</f>
        <v>13</v>
      </c>
      <c r="G1056" s="1" t="n">
        <f aca="false">SUBTOTAL(9,G969:G970)</f>
        <v>2</v>
      </c>
      <c r="H1056" s="1" t="n">
        <f aca="false">SUBTOTAL(9,H969:H970)</f>
        <v>25</v>
      </c>
      <c r="I1056" s="8" t="n">
        <f aca="false">SUBTOTAL(9,I969:I970)</f>
        <v>12009142</v>
      </c>
      <c r="J1056" s="1" t="n">
        <f aca="false">SUBTOTAL(9,J969:J970)</f>
        <v>4</v>
      </c>
      <c r="L1056" s="1" t="n">
        <f aca="false">SUBTOTAL(9,L969:L970)</f>
        <v>5</v>
      </c>
      <c r="M1056" s="1" t="n">
        <f aca="false">SUBTOTAL(9,M969:M970)</f>
        <v>1</v>
      </c>
      <c r="N1056" s="1" t="n">
        <f aca="false">SUBTOTAL(9,N969:N970)</f>
        <v>0</v>
      </c>
      <c r="O1056" s="1" t="n">
        <f aca="false">SUBTOTAL(9,O969:O970)</f>
        <v>3</v>
      </c>
      <c r="P1056" s="1" t="n">
        <f aca="false">SUBTOTAL(9,P969:P970)</f>
        <v>4</v>
      </c>
      <c r="Q1056" s="1" t="n">
        <f aca="false">SUBTOTAL(9,Q969:Q970)</f>
        <v>0</v>
      </c>
      <c r="R1056" s="1" t="n">
        <f aca="false">SUBTOTAL(9,R969:R970)</f>
        <v>0</v>
      </c>
      <c r="S1056" s="1" t="n">
        <f aca="false">SUBTOTAL(9,S969:S970)</f>
        <v>0</v>
      </c>
      <c r="T1056" s="1" t="n">
        <f aca="false">SUBTOTAL(9,T969:T970)</f>
        <v>2</v>
      </c>
      <c r="U1056" s="1" t="n">
        <f aca="false">SUBTOTAL(9,U969:U970)</f>
        <v>0</v>
      </c>
      <c r="V1056" s="1" t="n">
        <f aca="false">SUBTOTAL(9,V969:V970)</f>
        <v>0</v>
      </c>
      <c r="W1056" s="1" t="n">
        <f aca="false">SUBTOTAL(9,W969:W970)</f>
        <v>2</v>
      </c>
      <c r="X1056" s="1" t="n">
        <f aca="false">SUBTOTAL(9,X969:X970)</f>
        <v>0</v>
      </c>
      <c r="Y1056" s="1" t="n">
        <f aca="false">SUBTOTAL(9,Y969:Y970)</f>
        <v>0</v>
      </c>
      <c r="Z1056" s="20" t="n">
        <f aca="false">SUBTOTAL(9,Z969:Z970)</f>
        <v>0</v>
      </c>
      <c r="AA1056" s="20" t="n">
        <f aca="false">SUBTOTAL(9,AA969:AA970)</f>
        <v>0</v>
      </c>
      <c r="AB1056" s="20" t="n">
        <f aca="false">SUBTOTAL(9,AB969:AB970)</f>
        <v>0</v>
      </c>
      <c r="AC1056" s="20" t="n">
        <f aca="false">SUBTOTAL(9,AC969:AC970)</f>
        <v>2.8</v>
      </c>
      <c r="AD1056" s="20" t="n">
        <f aca="false">SUBTOTAL(9,AD969:AD970)</f>
        <v>0</v>
      </c>
      <c r="AE1056" s="20" t="n">
        <f aca="false">SUBTOTAL(9,AE969:AE970)</f>
        <v>0</v>
      </c>
      <c r="AF1056" s="20" t="n">
        <f aca="false">SUBTOTAL(9,AF969:AF970)</f>
        <v>2.8</v>
      </c>
      <c r="AH1056" s="22" t="n">
        <f aca="false">SUBTOTAL(9,AH969:AH970)</f>
        <v>0</v>
      </c>
      <c r="AI1056" s="22" t="n">
        <f aca="false">SUBTOTAL(9,AI969:AI970)</f>
        <v>0</v>
      </c>
      <c r="AJ1056" s="22" t="n">
        <f aca="false">SUBTOTAL(9,AJ969:AJ970)</f>
        <v>0</v>
      </c>
      <c r="AK1056" s="22" t="n">
        <f aca="false">SUBTOTAL(9,AK969:AK970)</f>
        <v>3.36</v>
      </c>
      <c r="AL1056" s="22" t="n">
        <f aca="false">SUBTOTAL(9,AL969:AL970)</f>
        <v>0</v>
      </c>
      <c r="AM1056" s="22" t="n">
        <f aca="false">SUBTOTAL(9,AM969:AM970)</f>
        <v>0</v>
      </c>
      <c r="AN1056" s="22" t="n">
        <f aca="false">SUBTOTAL(9,AN969:AN970)</f>
        <v>3.36</v>
      </c>
    </row>
    <row r="1057" customFormat="false" ht="13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I1057" s="0"/>
      <c r="AK1057" s="0"/>
      <c r="AL1057" s="0"/>
      <c r="AM1057" s="0"/>
      <c r="AN1057" s="0"/>
    </row>
    <row r="1058" customFormat="false" ht="13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I1058" s="0"/>
      <c r="AK1058" s="0"/>
      <c r="AL1058" s="0"/>
      <c r="AM1058" s="0"/>
      <c r="AN1058" s="0"/>
    </row>
    <row r="1048576" customFormat="false" ht="12.8" hidden="false" customHeight="false" outlineLevel="0" collapsed="false"/>
  </sheetData>
  <autoFilter ref="A1:AN97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41718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2020-06-10T18:05:30Z</dcterms:created>
  <dc:creator>Joseph</dc:creator>
  <dc:description/>
  <dc:language>en-US</dc:language>
  <cp:lastModifiedBy/>
  <dcterms:modified xsi:type="dcterms:W3CDTF">2026-10-14T16:46:40Z</dcterms:modified>
  <cp:revision>4671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